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425"/>
  </bookViews>
  <sheets>
    <sheet name="ТО" sheetId="1" r:id="rId1"/>
    <sheet name="СМР" sheetId="2" r:id="rId2"/>
  </sheets>
  <calcPr calcId="152511"/>
</workbook>
</file>

<file path=xl/calcChain.xml><?xml version="1.0" encoding="utf-8"?>
<calcChain xmlns="http://schemas.openxmlformats.org/spreadsheetml/2006/main">
  <c r="G18" i="1" l="1"/>
  <c r="G22" i="1" l="1"/>
  <c r="G12" i="1" l="1"/>
  <c r="G11" i="1" l="1"/>
  <c r="G13" i="1" l="1"/>
  <c r="G9" i="1"/>
</calcChain>
</file>

<file path=xl/sharedStrings.xml><?xml version="1.0" encoding="utf-8"?>
<sst xmlns="http://schemas.openxmlformats.org/spreadsheetml/2006/main" count="141" uniqueCount="100">
  <si>
    <t xml:space="preserve"> </t>
  </si>
  <si>
    <t xml:space="preserve">   </t>
  </si>
  <si>
    <t xml:space="preserve"> на согласовании</t>
  </si>
  <si>
    <t xml:space="preserve">Субподряд </t>
  </si>
  <si>
    <t>Стадия</t>
  </si>
  <si>
    <t>№№ п/п</t>
  </si>
  <si>
    <t>Наименование заказчика</t>
  </si>
  <si>
    <t>Предмет договора</t>
  </si>
  <si>
    <t xml:space="preserve">Договор </t>
  </si>
  <si>
    <t>СРОКИ</t>
  </si>
  <si>
    <t>Стоимость</t>
  </si>
  <si>
    <t>Стоимость в мес.</t>
  </si>
  <si>
    <t>аванс</t>
  </si>
  <si>
    <t>Оплата</t>
  </si>
  <si>
    <t>Платежки</t>
  </si>
  <si>
    <t>на подписи</t>
  </si>
  <si>
    <t xml:space="preserve">Остаток оплаты </t>
  </si>
  <si>
    <t>Cтадия</t>
  </si>
  <si>
    <t>Наименование</t>
  </si>
  <si>
    <t xml:space="preserve">Стоимость </t>
  </si>
  <si>
    <t>Аванс, оплата</t>
  </si>
  <si>
    <t xml:space="preserve">КC-2, КС-3           </t>
  </si>
  <si>
    <t xml:space="preserve">     ПлатежкиАКТ</t>
  </si>
  <si>
    <t>дата акта</t>
  </si>
  <si>
    <t>2025 г.</t>
  </si>
  <si>
    <t>Школа 1210</t>
  </si>
  <si>
    <t xml:space="preserve">услуги по техническому обслуживанию системы объединенных диспетчерских систем  и связанного с ними  лифтового и инженерного оборудования </t>
  </si>
  <si>
    <t xml:space="preserve">№ 65/1210/25 от
</t>
  </si>
  <si>
    <r>
      <t xml:space="preserve">01.07.2025 - </t>
    </r>
    <r>
      <rPr>
        <sz val="11"/>
        <color rgb="FFFF0000"/>
        <rFont val="Times New Roman"/>
        <family val="1"/>
        <charset val="204"/>
      </rPr>
      <t xml:space="preserve">30.06.2027 </t>
    </r>
    <r>
      <rPr>
        <sz val="11"/>
        <rFont val="Times New Roman"/>
        <family val="1"/>
        <charset val="204"/>
      </rPr>
      <t xml:space="preserve">
</t>
    </r>
  </si>
  <si>
    <t xml:space="preserve">198720
</t>
  </si>
  <si>
    <t>ГБОУ Школа 2055</t>
  </si>
  <si>
    <t xml:space="preserve">№ 2055-34/2025
</t>
  </si>
  <si>
    <t xml:space="preserve">239833
</t>
  </si>
  <si>
    <t>Косыгина</t>
  </si>
  <si>
    <t>с 01.07.2025 -30.09.2025 г.</t>
  </si>
  <si>
    <t xml:space="preserve">АО «ОЭК-Финанс»
</t>
  </si>
  <si>
    <t xml:space="preserve">Дог.№ 25-90200585
</t>
  </si>
  <si>
    <r>
      <t xml:space="preserve">с «09/07/ 2025 по </t>
    </r>
    <r>
      <rPr>
        <sz val="10"/>
        <color rgb="FFFF0000"/>
        <rFont val="Times New Roman"/>
        <family val="1"/>
        <charset val="204"/>
      </rPr>
      <t>«08/07/ 2026 г.</t>
    </r>
  </si>
  <si>
    <t>МИНЮСТ</t>
  </si>
  <si>
    <t>текущий ремонт пассажирского лифта OTIS Европа 2000
Z0593 E2KE6882 (лифт № 12) по адресу: г.Москва, ул. Житная, д. 14, стр. 1</t>
  </si>
  <si>
    <t>Дог.№ 100111746125100184 от 20.06.2025</t>
  </si>
  <si>
    <t>549500 от 09.07.2025</t>
  </si>
  <si>
    <t xml:space="preserve">услуги по эксплуатации лифтового оборудования  </t>
  </si>
  <si>
    <t>ДОГОВОР № 260-25-Е-44-2 от  30.06.25</t>
  </si>
  <si>
    <t>Реестр договоров по ООО "ПРОТИВОВЕС" на ТО и ремонт</t>
  </si>
  <si>
    <t>Минюст России</t>
  </si>
  <si>
    <t>проведение технического обслуживания, эксплуатации и диспетчеризации лифтов в административном здании Министерства юстиции Российской Федерации</t>
  </si>
  <si>
    <t>ГОСУДАРСТВЕННЫЙ КОНТРАКТ № 100111746125100190 от 30.06.2025</t>
  </si>
  <si>
    <t>01.07.25-31.08.25</t>
  </si>
  <si>
    <r>
      <t xml:space="preserve">от 31.07.25                     </t>
    </r>
    <r>
      <rPr>
        <sz val="10"/>
        <color rgb="FFFF0000"/>
        <rFont val="Calibri"/>
        <family val="2"/>
        <charset val="204"/>
        <scheme val="minor"/>
      </rPr>
      <t xml:space="preserve">от 31.08.25      </t>
    </r>
  </si>
  <si>
    <r>
      <t xml:space="preserve">274850                            </t>
    </r>
    <r>
      <rPr>
        <sz val="10"/>
        <color rgb="FFFF0000"/>
        <rFont val="Calibri"/>
        <family val="2"/>
        <charset val="204"/>
        <scheme val="minor"/>
      </rPr>
      <t>+274850</t>
    </r>
  </si>
  <si>
    <t>ФГБОУ ВО МГППУ (психолого-педагогический)</t>
  </si>
  <si>
    <t>техническое обслуживание лифтового оборудования в 2024-2025 годах по адресу: г.Москва ул. r. Москва, Открытое шоссе, д.24, корп.27;
r. Москва, Сретенка ул. 29</t>
  </si>
  <si>
    <t>14.10.2024-31.05.2026</t>
  </si>
  <si>
    <t>с 01.10.2025 г.  до 31.12.2025 г.</t>
  </si>
  <si>
    <t>ДОГОВОР № 357-25-Е-44-2 от 30.09.2025</t>
  </si>
  <si>
    <t>ДОГОВОР № 356-25-Е-44-2 от 30.09.2025</t>
  </si>
  <si>
    <t xml:space="preserve">услуги по техническому обслуживанию 27 (двадцати семи) лифтов и диспетчерской связи </t>
  </si>
  <si>
    <t xml:space="preserve">Техническое обслуживание и ремонт 2-х лифтов по адресу:            г. Москва, Ленинградский проспект, д. 47, стр.  </t>
  </si>
  <si>
    <t>584 000                       в мес.по расчету         2539,13 в день  +0,1 в расчете за май</t>
  </si>
  <si>
    <r>
      <t xml:space="preserve">Дог.№ ЛФТ_2025 от 14.10.2025 </t>
    </r>
    <r>
      <rPr>
        <u/>
        <sz val="10"/>
        <rFont val="Times New Roman"/>
        <family val="1"/>
        <charset val="204"/>
      </rPr>
      <t>поменялись реквизиты</t>
    </r>
  </si>
  <si>
    <t xml:space="preserve">ремонтные работы пассажирского лифта: 
- рег. № 051003 установленного по адресу: г. Москва, Проспект 60-ти летия Октября д. 13. </t>
  </si>
  <si>
    <t>ДОГОВОР №302-25-Е-44-2 от 25.08.2025</t>
  </si>
  <si>
    <t>от 10.09.2025</t>
  </si>
  <si>
    <t>Саядян                          Дог.№СР-302/25-Е                   от 29.08.2025</t>
  </si>
  <si>
    <t>от10.10.2025</t>
  </si>
  <si>
    <t>услуги по техническому обслуживанию системы объединенных диспетчерских систем и связанного с ними лифтового и инженерного оборудования</t>
  </si>
  <si>
    <t>за 07, 08,09</t>
  </si>
  <si>
    <t>Саядян                          Дог.№СР-184/25 от 23.06.2025</t>
  </si>
  <si>
    <t>СБИС</t>
  </si>
  <si>
    <t>07.2025        08.2025              09.2025                     10.2025                        11.2025</t>
  </si>
  <si>
    <t>6 131,18                8263,76                    8263,76                        8263,76                         8263,76</t>
  </si>
  <si>
    <t>10.2025                     11.2025</t>
  </si>
  <si>
    <t>10.25, 11/25</t>
  </si>
  <si>
    <t>10.25             11/25</t>
  </si>
  <si>
    <t>2026 г.</t>
  </si>
  <si>
    <r>
      <t xml:space="preserve">ТО и ремонт двух пассажирских лифтов </t>
    </r>
    <r>
      <rPr>
        <sz val="10"/>
        <rFont val="Times New Roman"/>
        <family val="1"/>
        <charset val="204"/>
      </rPr>
      <t xml:space="preserve">       г Москва, Симферопольский бульвар, д.13.                           </t>
    </r>
  </si>
  <si>
    <t xml:space="preserve">ТО-07/23                                         от 27.12.22                  </t>
  </si>
  <si>
    <t xml:space="preserve">автоматич                  продление </t>
  </si>
  <si>
    <t>16000,00 в мес.</t>
  </si>
  <si>
    <t xml:space="preserve">                     СБИС</t>
  </si>
  <si>
    <t xml:space="preserve">ООО                                                 "Ф-Клининг" </t>
  </si>
  <si>
    <t>01.01.26-31.12.26</t>
  </si>
  <si>
    <t>Эл.подпись</t>
  </si>
  <si>
    <t>неовый договор - ?</t>
  </si>
  <si>
    <t xml:space="preserve">комплексное  техническое обслуживание лифтов, рег. № 25833, №120288, №120294 (далее - лифты по адресу:  г. Москва, ул. Гиляровского, д. 31, стр.1, </t>
  </si>
  <si>
    <t>ФГБУ ИАЦ Судебного департамента</t>
  </si>
  <si>
    <t>Контракт № 778-ЕД/3-С25/25 от 03.12.2026</t>
  </si>
  <si>
    <t>НИУ МГСУ</t>
  </si>
  <si>
    <t>КОНТРАКТ № 153-ЕАТ44-103/25</t>
  </si>
  <si>
    <t xml:space="preserve">техническое обслуживание и текущий ремонт систем диспетчерского контроля лифтов </t>
  </si>
  <si>
    <t>УПД -бух</t>
  </si>
  <si>
    <t>Акт-Маша</t>
  </si>
  <si>
    <t>Гражданско-правовой договор бюджетного учреждения № 201/218-25</t>
  </si>
  <si>
    <t xml:space="preserve">     578 430,10
</t>
  </si>
  <si>
    <t>ГБУЗ «ГП № 218 ДЗМ»</t>
  </si>
  <si>
    <t>Оказание услуг по диспетчеризации лифтов на объектах ГБУЗ «ГП № 218 ДЗМ»</t>
  </si>
  <si>
    <t xml:space="preserve">Дог. № 496-25-Е-44-2                   от 19.12.2025 г. </t>
  </si>
  <si>
    <t>Дог. №  495-25-Е-44-2                от 19.12.2025 г.</t>
  </si>
  <si>
    <t>с 01.01.2026г.  до 31.03.2026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</si>
</sst>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2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rgb="FFFF00FF"/>
      <name val="Times New Roman"/>
      <family val="1"/>
      <charset val="204"/>
    </font>
    <font>
      <b/>
      <sz val="11"/>
      <color rgb="FF0000FF"/>
      <name val="Times New Roman"/>
      <family val="1"/>
      <charset val="204"/>
    </font>
    <font>
      <b/>
      <sz val="11"/>
      <color rgb="FF008000"/>
      <name val="Times New Roman"/>
      <family val="1"/>
      <charset val="204"/>
    </font>
    <font>
      <b/>
      <sz val="16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u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FFFF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3" borderId="0" xfId="0" applyFont="1" applyFill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5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49" fontId="1" fillId="0" borderId="7" xfId="0" applyNumberFormat="1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left" wrapText="1"/>
    </xf>
    <xf numFmtId="0" fontId="10" fillId="0" borderId="7" xfId="0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2" fontId="1" fillId="0" borderId="7" xfId="0" applyNumberFormat="1" applyFont="1" applyFill="1" applyBorder="1" applyAlignment="1">
      <alignment horizontal="right" wrapText="1"/>
    </xf>
    <xf numFmtId="0" fontId="1" fillId="0" borderId="8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2" fillId="0" borderId="7" xfId="0" applyFont="1" applyFill="1" applyBorder="1" applyAlignment="1">
      <alignment wrapText="1"/>
    </xf>
    <xf numFmtId="4" fontId="1" fillId="0" borderId="7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7" xfId="0" applyBorder="1"/>
    <xf numFmtId="0" fontId="14" fillId="0" borderId="7" xfId="0" applyFont="1" applyBorder="1"/>
    <xf numFmtId="0" fontId="15" fillId="0" borderId="7" xfId="0" applyFont="1" applyBorder="1" applyAlignment="1">
      <alignment wrapText="1"/>
    </xf>
    <xf numFmtId="49" fontId="16" fillId="0" borderId="7" xfId="0" applyNumberFormat="1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7" fillId="0" borderId="7" xfId="0" applyFont="1" applyBorder="1"/>
    <xf numFmtId="0" fontId="18" fillId="0" borderId="7" xfId="0" applyFont="1" applyBorder="1"/>
    <xf numFmtId="0" fontId="19" fillId="0" borderId="7" xfId="0" applyFont="1" applyBorder="1" applyAlignment="1">
      <alignment wrapText="1"/>
    </xf>
    <xf numFmtId="0" fontId="20" fillId="0" borderId="7" xfId="0" applyFont="1" applyBorder="1" applyAlignment="1">
      <alignment wrapText="1"/>
    </xf>
    <xf numFmtId="14" fontId="0" fillId="0" borderId="7" xfId="0" applyNumberFormat="1" applyFont="1" applyBorder="1" applyAlignment="1">
      <alignment wrapText="1"/>
    </xf>
    <xf numFmtId="4" fontId="0" fillId="0" borderId="7" xfId="0" applyNumberFormat="1" applyFont="1" applyBorder="1" applyAlignment="1">
      <alignment horizontal="center"/>
    </xf>
    <xf numFmtId="0" fontId="0" fillId="0" borderId="7" xfId="0" applyFont="1" applyBorder="1"/>
    <xf numFmtId="4" fontId="21" fillId="0" borderId="7" xfId="0" applyNumberFormat="1" applyFont="1" applyBorder="1" applyAlignment="1">
      <alignment horizontal="center" wrapText="1"/>
    </xf>
    <xf numFmtId="0" fontId="21" fillId="0" borderId="7" xfId="0" applyFont="1" applyBorder="1" applyAlignment="1">
      <alignment horizontal="center" wrapText="1"/>
    </xf>
    <xf numFmtId="0" fontId="22" fillId="0" borderId="7" xfId="0" applyFont="1" applyBorder="1" applyAlignment="1">
      <alignment horizontal="center" wrapText="1"/>
    </xf>
    <xf numFmtId="14" fontId="22" fillId="0" borderId="7" xfId="0" applyNumberFormat="1" applyFont="1" applyBorder="1"/>
    <xf numFmtId="0" fontId="22" fillId="0" borderId="7" xfId="0" applyFont="1" applyBorder="1"/>
    <xf numFmtId="0" fontId="17" fillId="0" borderId="0" xfId="0" applyFont="1"/>
    <xf numFmtId="0" fontId="12" fillId="0" borderId="12" xfId="0" applyFont="1" applyBorder="1"/>
    <xf numFmtId="0" fontId="25" fillId="0" borderId="13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2" fillId="0" borderId="14" xfId="0" applyFont="1" applyBorder="1"/>
    <xf numFmtId="0" fontId="12" fillId="0" borderId="0" xfId="0" applyFont="1"/>
    <xf numFmtId="49" fontId="28" fillId="0" borderId="7" xfId="0" applyNumberFormat="1" applyFont="1" applyFill="1" applyBorder="1" applyAlignment="1">
      <alignment wrapText="1"/>
    </xf>
    <xf numFmtId="49" fontId="10" fillId="0" borderId="7" xfId="0" applyNumberFormat="1" applyFont="1" applyFill="1" applyBorder="1" applyAlignment="1">
      <alignment horizontal="center" wrapText="1"/>
    </xf>
    <xf numFmtId="0" fontId="31" fillId="0" borderId="7" xfId="0" applyFont="1" applyFill="1" applyBorder="1" applyAlignment="1">
      <alignment horizontal="left" wrapText="1"/>
    </xf>
    <xf numFmtId="4" fontId="10" fillId="0" borderId="7" xfId="0" applyNumberFormat="1" applyFont="1" applyFill="1" applyBorder="1" applyAlignment="1">
      <alignment wrapText="1"/>
    </xf>
    <xf numFmtId="4" fontId="32" fillId="0" borderId="7" xfId="0" applyNumberFormat="1" applyFont="1" applyFill="1" applyBorder="1" applyAlignment="1">
      <alignment wrapText="1"/>
    </xf>
    <xf numFmtId="0" fontId="32" fillId="0" borderId="8" xfId="0" applyFont="1" applyFill="1" applyBorder="1" applyAlignment="1">
      <alignment wrapText="1"/>
    </xf>
    <xf numFmtId="0" fontId="10" fillId="0" borderId="6" xfId="0" applyFont="1" applyFill="1" applyBorder="1" applyAlignment="1">
      <alignment wrapText="1"/>
    </xf>
    <xf numFmtId="0" fontId="32" fillId="0" borderId="7" xfId="0" applyFont="1" applyFill="1" applyBorder="1" applyAlignment="1">
      <alignment wrapText="1"/>
    </xf>
    <xf numFmtId="0" fontId="10" fillId="0" borderId="8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0" xfId="0" applyFont="1" applyFill="1" applyAlignment="1">
      <alignment wrapText="1"/>
    </xf>
    <xf numFmtId="0" fontId="33" fillId="0" borderId="7" xfId="0" applyFont="1" applyBorder="1"/>
    <xf numFmtId="0" fontId="34" fillId="0" borderId="7" xfId="0" applyFont="1" applyBorder="1"/>
    <xf numFmtId="0" fontId="12" fillId="0" borderId="13" xfId="0" applyFont="1" applyFill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49" fontId="12" fillId="0" borderId="12" xfId="0" applyNumberFormat="1" applyFont="1" applyFill="1" applyBorder="1"/>
    <xf numFmtId="49" fontId="12" fillId="0" borderId="12" xfId="0" applyNumberFormat="1" applyFont="1" applyBorder="1" applyAlignment="1">
      <alignment horizontal="center"/>
    </xf>
    <xf numFmtId="0" fontId="23" fillId="0" borderId="12" xfId="0" applyFont="1" applyFill="1" applyBorder="1" applyAlignment="1">
      <alignment wrapText="1"/>
    </xf>
    <xf numFmtId="49" fontId="28" fillId="0" borderId="12" xfId="0" applyNumberFormat="1" applyFont="1" applyFill="1" applyBorder="1" applyAlignment="1">
      <alignment wrapText="1"/>
    </xf>
    <xf numFmtId="0" fontId="29" fillId="0" borderId="12" xfId="0" applyFont="1" applyFill="1" applyBorder="1" applyAlignment="1">
      <alignment wrapText="1"/>
    </xf>
    <xf numFmtId="0" fontId="26" fillId="0" borderId="12" xfId="0" applyFont="1" applyFill="1" applyBorder="1"/>
    <xf numFmtId="0" fontId="13" fillId="0" borderId="12" xfId="0" applyFont="1" applyFill="1" applyBorder="1" applyAlignment="1">
      <alignment wrapText="1"/>
    </xf>
    <xf numFmtId="0" fontId="27" fillId="0" borderId="12" xfId="0" applyFont="1" applyFill="1" applyBorder="1" applyAlignment="1">
      <alignment horizontal="right" wrapText="1"/>
    </xf>
    <xf numFmtId="14" fontId="27" fillId="0" borderId="12" xfId="0" applyNumberFormat="1" applyFont="1" applyFill="1" applyBorder="1" applyAlignment="1">
      <alignment horizontal="right" wrapText="1"/>
    </xf>
    <xf numFmtId="0" fontId="12" fillId="0" borderId="12" xfId="0" applyFont="1" applyFill="1" applyBorder="1"/>
    <xf numFmtId="0" fontId="4" fillId="7" borderId="9" xfId="0" applyFont="1" applyFill="1" applyBorder="1" applyAlignment="1">
      <alignment wrapText="1"/>
    </xf>
    <xf numFmtId="0" fontId="9" fillId="7" borderId="9" xfId="0" applyFont="1" applyFill="1" applyBorder="1" applyAlignment="1">
      <alignment wrapText="1"/>
    </xf>
    <xf numFmtId="0" fontId="4" fillId="8" borderId="9" xfId="0" applyFont="1" applyFill="1" applyBorder="1" applyAlignment="1">
      <alignment wrapText="1"/>
    </xf>
    <xf numFmtId="0" fontId="4" fillId="7" borderId="10" xfId="0" applyFont="1" applyFill="1" applyBorder="1" applyAlignment="1">
      <alignment wrapText="1"/>
    </xf>
    <xf numFmtId="0" fontId="4" fillId="8" borderId="11" xfId="0" applyFont="1" applyFill="1" applyBorder="1" applyAlignment="1">
      <alignment wrapText="1"/>
    </xf>
    <xf numFmtId="0" fontId="4" fillId="7" borderId="10" xfId="0" applyFont="1" applyFill="1" applyBorder="1" applyAlignment="1">
      <alignment horizontal="left" wrapText="1"/>
    </xf>
    <xf numFmtId="0" fontId="5" fillId="7" borderId="10" xfId="0" applyFont="1" applyFill="1" applyBorder="1" applyAlignment="1">
      <alignment wrapText="1"/>
    </xf>
    <xf numFmtId="0" fontId="4" fillId="7" borderId="10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6" fillId="7" borderId="7" xfId="0" applyFont="1" applyFill="1" applyBorder="1" applyAlignment="1">
      <alignment wrapText="1"/>
    </xf>
    <xf numFmtId="0" fontId="7" fillId="7" borderId="7" xfId="0" applyFont="1" applyFill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7" borderId="0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2" fillId="7" borderId="0" xfId="0" applyFont="1" applyFill="1"/>
    <xf numFmtId="0" fontId="0" fillId="0" borderId="0" xfId="0"/>
    <xf numFmtId="0" fontId="0" fillId="0" borderId="7" xfId="0" applyBorder="1"/>
    <xf numFmtId="0" fontId="15" fillId="0" borderId="7" xfId="0" applyFont="1" applyBorder="1" applyAlignment="1">
      <alignment wrapText="1"/>
    </xf>
    <xf numFmtId="0" fontId="12" fillId="9" borderId="7" xfId="0" applyFont="1" applyFill="1" applyBorder="1" applyAlignment="1">
      <alignment wrapText="1"/>
    </xf>
    <xf numFmtId="0" fontId="20" fillId="0" borderId="7" xfId="0" applyFont="1" applyBorder="1" applyAlignment="1">
      <alignment wrapText="1"/>
    </xf>
    <xf numFmtId="0" fontId="25" fillId="9" borderId="7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wrapText="1"/>
    </xf>
    <xf numFmtId="0" fontId="25" fillId="9" borderId="7" xfId="0" applyFont="1" applyFill="1" applyBorder="1" applyAlignment="1">
      <alignment horizontal="center" wrapText="1"/>
    </xf>
    <xf numFmtId="4" fontId="12" fillId="9" borderId="7" xfId="0" applyNumberFormat="1" applyFont="1" applyFill="1" applyBorder="1" applyAlignment="1">
      <alignment horizontal="center"/>
    </xf>
    <xf numFmtId="49" fontId="35" fillId="9" borderId="7" xfId="0" applyNumberFormat="1" applyFont="1" applyFill="1" applyBorder="1" applyAlignment="1">
      <alignment wrapText="1"/>
    </xf>
    <xf numFmtId="14" fontId="15" fillId="0" borderId="7" xfId="0" applyNumberFormat="1" applyFont="1" applyBorder="1" applyAlignment="1">
      <alignment wrapText="1"/>
    </xf>
    <xf numFmtId="0" fontId="32" fillId="0" borderId="7" xfId="0" applyFont="1" applyBorder="1"/>
    <xf numFmtId="4" fontId="12" fillId="9" borderId="7" xfId="0" applyNumberFormat="1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25" fillId="0" borderId="7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wrapText="1"/>
    </xf>
    <xf numFmtId="0" fontId="25" fillId="0" borderId="7" xfId="0" applyFont="1" applyFill="1" applyBorder="1" applyAlignment="1">
      <alignment horizontal="center" wrapText="1"/>
    </xf>
    <xf numFmtId="49" fontId="35" fillId="0" borderId="7" xfId="0" applyNumberFormat="1" applyFont="1" applyFill="1" applyBorder="1" applyAlignment="1">
      <alignment wrapText="1"/>
    </xf>
    <xf numFmtId="0" fontId="37" fillId="0" borderId="7" xfId="0" applyFont="1" applyBorder="1"/>
    <xf numFmtId="14" fontId="37" fillId="0" borderId="7" xfId="0" applyNumberFormat="1" applyFont="1" applyBorder="1"/>
    <xf numFmtId="14" fontId="16" fillId="0" borderId="7" xfId="0" applyNumberFormat="1" applyFont="1" applyBorder="1" applyAlignment="1">
      <alignment wrapText="1"/>
    </xf>
    <xf numFmtId="0" fontId="36" fillId="0" borderId="7" xfId="0" applyFont="1" applyBorder="1"/>
    <xf numFmtId="4" fontId="13" fillId="0" borderId="7" xfId="0" applyNumberFormat="1" applyFont="1" applyFill="1" applyBorder="1" applyAlignment="1">
      <alignment wrapText="1"/>
    </xf>
    <xf numFmtId="4" fontId="12" fillId="0" borderId="7" xfId="0" applyNumberFormat="1" applyFont="1" applyFill="1" applyBorder="1" applyAlignment="1"/>
    <xf numFmtId="4" fontId="15" fillId="0" borderId="7" xfId="0" applyNumberFormat="1" applyFont="1" applyBorder="1" applyAlignment="1"/>
    <xf numFmtId="49" fontId="13" fillId="0" borderId="12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3"/>
  <sheetViews>
    <sheetView tabSelected="1" topLeftCell="A19" workbookViewId="0">
      <selection activeCell="Q25" sqref="Q25"/>
    </sheetView>
  </sheetViews>
  <sheetFormatPr defaultRowHeight="15" x14ac:dyDescent="0.25"/>
  <cols>
    <col min="2" max="2" width="16.28515625" customWidth="1"/>
    <col min="3" max="3" width="25.85546875" customWidth="1"/>
    <col min="4" max="4" width="20.42578125" customWidth="1"/>
    <col min="5" max="5" width="13.28515625" customWidth="1"/>
    <col min="6" max="7" width="12.85546875" customWidth="1"/>
    <col min="9" max="9" width="9.85546875" bestFit="1" customWidth="1"/>
    <col min="10" max="10" width="11" customWidth="1"/>
    <col min="11" max="11" width="10.7109375" customWidth="1"/>
    <col min="12" max="12" width="11.140625" customWidth="1"/>
    <col min="19" max="19" width="10.42578125" customWidth="1"/>
  </cols>
  <sheetData>
    <row r="1" spans="1:257" s="3" customFormat="1" x14ac:dyDescent="0.25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 t="s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s="1" customFormat="1" ht="30" x14ac:dyDescent="0.4">
      <c r="B2" s="116" t="s">
        <v>44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257" s="3" customFormat="1" ht="45.75" thickBot="1" x14ac:dyDescent="0.3">
      <c r="A3" s="1"/>
      <c r="B3" s="4"/>
      <c r="C3" s="4"/>
      <c r="D3" s="1"/>
      <c r="E3" s="1"/>
      <c r="F3" s="1"/>
      <c r="G3" s="1"/>
      <c r="H3" s="1"/>
      <c r="I3" s="1"/>
      <c r="J3" s="1"/>
      <c r="K3" s="2"/>
      <c r="L3" s="1"/>
      <c r="M3" s="5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6"/>
      <c r="AB3" s="1" t="s">
        <v>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s="3" customFormat="1" ht="15.75" thickBot="1" x14ac:dyDescent="0.3">
      <c r="A4" s="7"/>
      <c r="B4" s="117" t="s">
        <v>0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8"/>
      <c r="N4" s="118" t="s">
        <v>3</v>
      </c>
      <c r="O4" s="119"/>
      <c r="P4" s="119"/>
      <c r="Q4" s="119"/>
      <c r="R4" s="119"/>
      <c r="S4" s="119"/>
      <c r="T4" s="119"/>
      <c r="U4" s="119"/>
      <c r="V4" s="119"/>
      <c r="W4" s="119"/>
      <c r="X4" s="9" t="s">
        <v>4</v>
      </c>
      <c r="Y4" s="9"/>
      <c r="Z4" s="10"/>
      <c r="AA4" s="11"/>
      <c r="AB4" s="11"/>
      <c r="AC4" s="11"/>
      <c r="AD4" s="12"/>
      <c r="AE4" s="11"/>
      <c r="AF4" s="11"/>
      <c r="AG4" s="11"/>
      <c r="AH4" s="11"/>
      <c r="AI4" s="1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s="3" customFormat="1" ht="43.5" x14ac:dyDescent="0.25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13" t="s">
        <v>13</v>
      </c>
      <c r="J5" s="13" t="s">
        <v>14</v>
      </c>
      <c r="K5" s="14" t="s">
        <v>15</v>
      </c>
      <c r="L5" s="15" t="s">
        <v>16</v>
      </c>
      <c r="M5" s="13" t="s">
        <v>17</v>
      </c>
      <c r="N5" s="16" t="s">
        <v>8</v>
      </c>
      <c r="O5" s="13" t="s">
        <v>18</v>
      </c>
      <c r="P5" s="13" t="s">
        <v>19</v>
      </c>
      <c r="Q5" s="13" t="s">
        <v>20</v>
      </c>
      <c r="R5" s="13" t="s">
        <v>21</v>
      </c>
      <c r="S5" s="17" t="s">
        <v>22</v>
      </c>
      <c r="T5" s="15" t="s">
        <v>23</v>
      </c>
      <c r="U5" s="18"/>
      <c r="V5" s="18"/>
      <c r="W5" s="19"/>
      <c r="X5" s="20"/>
      <c r="Y5" s="21"/>
      <c r="Z5" s="21"/>
      <c r="AA5" s="22"/>
      <c r="AB5" s="22"/>
      <c r="AC5" s="23"/>
      <c r="AD5" s="24"/>
      <c r="AE5" s="11"/>
      <c r="AF5" s="11"/>
      <c r="AG5" s="11"/>
      <c r="AH5" s="11"/>
      <c r="AI5" s="1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s="102" customFormat="1" ht="20.25" x14ac:dyDescent="0.3">
      <c r="A6" s="86"/>
      <c r="B6" s="86"/>
      <c r="C6" s="87" t="s">
        <v>24</v>
      </c>
      <c r="D6" s="86"/>
      <c r="E6" s="86"/>
      <c r="F6" s="86"/>
      <c r="G6" s="86"/>
      <c r="H6" s="86"/>
      <c r="I6" s="86"/>
      <c r="J6" s="86"/>
      <c r="K6" s="88"/>
      <c r="L6" s="89"/>
      <c r="M6" s="86"/>
      <c r="N6" s="90"/>
      <c r="O6" s="86"/>
      <c r="P6" s="86"/>
      <c r="Q6" s="86"/>
      <c r="R6" s="89"/>
      <c r="S6" s="91"/>
      <c r="T6" s="89"/>
      <c r="U6" s="92"/>
      <c r="V6" s="92"/>
      <c r="W6" s="93"/>
      <c r="X6" s="94"/>
      <c r="Y6" s="95"/>
      <c r="Z6" s="95"/>
      <c r="AA6" s="96"/>
      <c r="AB6" s="96"/>
      <c r="AC6" s="97"/>
      <c r="AD6" s="98"/>
      <c r="AE6" s="99"/>
      <c r="AF6" s="99"/>
      <c r="AG6" s="99"/>
      <c r="AH6" s="100"/>
      <c r="AI6" s="100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/>
      <c r="ES6" s="101"/>
      <c r="ET6" s="101"/>
      <c r="EU6" s="101"/>
      <c r="EV6" s="101"/>
      <c r="EW6" s="101"/>
      <c r="EX6" s="101"/>
      <c r="EY6" s="101"/>
      <c r="EZ6" s="101"/>
      <c r="FA6" s="101"/>
      <c r="FB6" s="101"/>
      <c r="FC6" s="101"/>
      <c r="FD6" s="101"/>
      <c r="FE6" s="101"/>
      <c r="FF6" s="101"/>
      <c r="FG6" s="101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  <c r="GY6" s="101"/>
      <c r="GZ6" s="101"/>
      <c r="HA6" s="101"/>
      <c r="HB6" s="101"/>
      <c r="HC6" s="101"/>
      <c r="HD6" s="101"/>
      <c r="HE6" s="101"/>
      <c r="HF6" s="101"/>
      <c r="HG6" s="101"/>
      <c r="HH6" s="101"/>
      <c r="HI6" s="101"/>
      <c r="HJ6" s="101"/>
      <c r="HK6" s="101"/>
      <c r="HL6" s="101"/>
      <c r="HM6" s="101"/>
      <c r="HN6" s="101"/>
      <c r="HO6" s="101"/>
      <c r="HP6" s="101"/>
      <c r="HQ6" s="101"/>
      <c r="HR6" s="101"/>
      <c r="HS6" s="101"/>
      <c r="HT6" s="101"/>
      <c r="HU6" s="101"/>
      <c r="HV6" s="101"/>
      <c r="HW6" s="101"/>
      <c r="HX6" s="101"/>
      <c r="HY6" s="101"/>
      <c r="HZ6" s="101"/>
      <c r="IA6" s="101"/>
      <c r="IB6" s="101"/>
      <c r="IC6" s="101"/>
      <c r="ID6" s="101"/>
      <c r="IE6" s="101"/>
      <c r="IF6" s="101"/>
      <c r="IG6" s="101"/>
      <c r="IH6" s="101"/>
      <c r="II6" s="101"/>
      <c r="IJ6" s="101"/>
      <c r="IK6" s="101"/>
      <c r="IL6" s="101"/>
      <c r="IM6" s="101"/>
      <c r="IN6" s="101"/>
      <c r="IO6" s="101"/>
      <c r="IP6" s="101"/>
      <c r="IQ6" s="101"/>
      <c r="IR6" s="101"/>
      <c r="IS6" s="101"/>
      <c r="IT6" s="101"/>
      <c r="IU6" s="101"/>
      <c r="IV6" s="101"/>
      <c r="IW6" s="101"/>
    </row>
    <row r="7" spans="1:257" s="32" customFormat="1" ht="76.5" customHeight="1" x14ac:dyDescent="0.25">
      <c r="A7" s="25"/>
      <c r="B7" s="26" t="s">
        <v>25</v>
      </c>
      <c r="C7" s="27" t="s">
        <v>26</v>
      </c>
      <c r="D7" s="28" t="s">
        <v>27</v>
      </c>
      <c r="E7" s="28" t="s">
        <v>28</v>
      </c>
      <c r="F7" s="29" t="s">
        <v>29</v>
      </c>
      <c r="G7" s="29">
        <v>8280</v>
      </c>
      <c r="H7" s="28"/>
      <c r="I7" s="28"/>
      <c r="J7" s="28"/>
      <c r="K7" s="28"/>
      <c r="L7" s="30"/>
      <c r="M7" s="28"/>
      <c r="N7" s="31"/>
      <c r="O7" s="28"/>
      <c r="P7" s="28"/>
      <c r="Q7" s="28"/>
      <c r="R7" s="30"/>
      <c r="S7" s="30"/>
      <c r="T7" s="30"/>
      <c r="U7" s="30"/>
      <c r="V7" s="30"/>
      <c r="W7" s="28"/>
      <c r="X7" s="28"/>
      <c r="Y7" s="28"/>
      <c r="Z7" s="28"/>
      <c r="AA7" s="28"/>
      <c r="AB7" s="28"/>
      <c r="AC7" s="28"/>
      <c r="AD7" s="30"/>
      <c r="AE7" s="28"/>
      <c r="AF7" s="28"/>
      <c r="AG7" s="28"/>
    </row>
    <row r="8" spans="1:257" s="32" customFormat="1" ht="78" customHeight="1" x14ac:dyDescent="0.25">
      <c r="A8" s="25"/>
      <c r="B8" s="26" t="s">
        <v>30</v>
      </c>
      <c r="C8" s="27" t="s">
        <v>66</v>
      </c>
      <c r="D8" s="28" t="s">
        <v>31</v>
      </c>
      <c r="E8" s="28" t="s">
        <v>28</v>
      </c>
      <c r="F8" s="29" t="s">
        <v>32</v>
      </c>
      <c r="G8" s="29">
        <v>9993.0400000000009</v>
      </c>
      <c r="H8" s="28"/>
      <c r="I8" s="28"/>
      <c r="J8" s="28"/>
      <c r="K8" s="28"/>
      <c r="L8" s="30"/>
      <c r="M8" s="28"/>
      <c r="N8" s="31"/>
      <c r="O8" s="28"/>
      <c r="P8" s="28"/>
      <c r="Q8" s="28"/>
      <c r="R8" s="30"/>
      <c r="S8" s="30"/>
      <c r="T8" s="30"/>
      <c r="U8" s="30"/>
      <c r="V8" s="30"/>
      <c r="W8" s="28"/>
      <c r="X8" s="28"/>
      <c r="Y8" s="28"/>
      <c r="Z8" s="28"/>
      <c r="AA8" s="28"/>
      <c r="AB8" s="28"/>
      <c r="AC8" s="28"/>
      <c r="AD8" s="30"/>
      <c r="AE8" s="28"/>
      <c r="AF8" s="28"/>
      <c r="AG8" s="28"/>
    </row>
    <row r="9" spans="1:257" s="32" customFormat="1" ht="30" x14ac:dyDescent="0.25">
      <c r="A9" s="25"/>
      <c r="B9" s="26" t="s">
        <v>33</v>
      </c>
      <c r="C9" s="28" t="s">
        <v>42</v>
      </c>
      <c r="D9" s="27" t="s">
        <v>43</v>
      </c>
      <c r="E9" s="33" t="s">
        <v>34</v>
      </c>
      <c r="F9" s="34">
        <v>599972.4</v>
      </c>
      <c r="G9" s="34">
        <f>F9/3</f>
        <v>199990.80000000002</v>
      </c>
      <c r="H9" s="28"/>
      <c r="I9" s="28"/>
      <c r="J9" s="67">
        <v>199990.8</v>
      </c>
      <c r="K9" s="65" t="s">
        <v>67</v>
      </c>
      <c r="L9" s="30"/>
      <c r="M9" s="28"/>
      <c r="N9" s="31"/>
      <c r="O9" s="28"/>
      <c r="P9" s="28"/>
      <c r="Q9" s="28"/>
      <c r="R9" s="30"/>
      <c r="S9" s="30"/>
      <c r="T9" s="30"/>
      <c r="U9" s="30"/>
      <c r="V9" s="30"/>
      <c r="W9" s="28"/>
      <c r="X9" s="28"/>
      <c r="Y9" s="28"/>
      <c r="Z9" s="28"/>
      <c r="AA9" s="28"/>
      <c r="AB9" s="28"/>
      <c r="AC9" s="28"/>
      <c r="AD9" s="30"/>
      <c r="AE9" s="28"/>
      <c r="AF9" s="28"/>
      <c r="AG9" s="28"/>
    </row>
    <row r="10" spans="1:257" s="70" customFormat="1" ht="60" x14ac:dyDescent="0.2">
      <c r="A10" s="61"/>
      <c r="B10" s="62" t="s">
        <v>33</v>
      </c>
      <c r="C10" s="27" t="s">
        <v>61</v>
      </c>
      <c r="D10" s="27" t="s">
        <v>62</v>
      </c>
      <c r="E10" s="27"/>
      <c r="F10" s="63">
        <v>289800</v>
      </c>
      <c r="G10" s="27"/>
      <c r="H10" s="27"/>
      <c r="I10" s="27"/>
      <c r="J10" s="64">
        <v>289800</v>
      </c>
      <c r="K10" s="65" t="s">
        <v>63</v>
      </c>
      <c r="L10" s="27"/>
      <c r="M10" s="66" t="s">
        <v>64</v>
      </c>
      <c r="N10" s="27"/>
      <c r="O10" s="67">
        <v>260000</v>
      </c>
      <c r="P10" s="27"/>
      <c r="Q10" s="68"/>
      <c r="R10" s="67">
        <v>260000</v>
      </c>
      <c r="S10" s="65" t="s">
        <v>65</v>
      </c>
      <c r="T10" s="68"/>
      <c r="U10" s="68"/>
      <c r="V10" s="27"/>
      <c r="W10" s="27"/>
      <c r="X10" s="27"/>
      <c r="Y10" s="27"/>
      <c r="Z10" s="69"/>
      <c r="AA10" s="69"/>
      <c r="AB10" s="69"/>
      <c r="AC10" s="69"/>
      <c r="AD10" s="69"/>
      <c r="AE10" s="69"/>
      <c r="AF10" s="69"/>
    </row>
    <row r="11" spans="1:257" s="32" customFormat="1" ht="30" x14ac:dyDescent="0.25">
      <c r="A11" s="25"/>
      <c r="B11" s="26" t="s">
        <v>33</v>
      </c>
      <c r="C11" s="28" t="s">
        <v>42</v>
      </c>
      <c r="D11" s="27" t="s">
        <v>55</v>
      </c>
      <c r="E11" s="33" t="s">
        <v>54</v>
      </c>
      <c r="F11" s="34">
        <v>599972.4</v>
      </c>
      <c r="G11" s="34">
        <f>F11/3</f>
        <v>199990.80000000002</v>
      </c>
      <c r="H11" s="28" t="s">
        <v>69</v>
      </c>
      <c r="I11" s="28"/>
      <c r="J11" s="28"/>
      <c r="K11" s="60" t="s">
        <v>73</v>
      </c>
      <c r="L11" s="30"/>
      <c r="M11" s="28"/>
      <c r="N11" s="31"/>
      <c r="O11" s="28"/>
      <c r="P11" s="28"/>
      <c r="Q11" s="28"/>
      <c r="R11" s="30"/>
      <c r="S11" s="30"/>
      <c r="T11" s="30"/>
      <c r="U11" s="30"/>
      <c r="V11" s="30"/>
      <c r="W11" s="28"/>
      <c r="X11" s="28"/>
      <c r="Y11" s="28"/>
      <c r="Z11" s="28"/>
      <c r="AA11" s="28"/>
      <c r="AB11" s="28"/>
      <c r="AC11" s="28"/>
      <c r="AD11" s="30"/>
      <c r="AE11" s="28"/>
      <c r="AF11" s="28"/>
      <c r="AG11" s="28"/>
    </row>
    <row r="12" spans="1:257" s="32" customFormat="1" ht="39" customHeight="1" x14ac:dyDescent="0.25">
      <c r="A12" s="25"/>
      <c r="B12" s="26" t="s">
        <v>33</v>
      </c>
      <c r="C12" s="27" t="s">
        <v>57</v>
      </c>
      <c r="D12" s="27" t="s">
        <v>56</v>
      </c>
      <c r="E12" s="33" t="s">
        <v>54</v>
      </c>
      <c r="F12" s="34">
        <v>599702.4</v>
      </c>
      <c r="G12" s="34">
        <f>F12/3</f>
        <v>199900.80000000002</v>
      </c>
      <c r="H12" s="28" t="s">
        <v>69</v>
      </c>
      <c r="I12" s="28"/>
      <c r="J12" s="28"/>
      <c r="K12" s="60" t="s">
        <v>74</v>
      </c>
      <c r="L12" s="30"/>
      <c r="M12" s="28"/>
      <c r="N12" s="31"/>
      <c r="O12" s="28"/>
      <c r="P12" s="28"/>
      <c r="Q12" s="28"/>
      <c r="R12" s="30"/>
      <c r="S12" s="30"/>
      <c r="T12" s="30"/>
      <c r="U12" s="30"/>
      <c r="V12" s="30"/>
      <c r="W12" s="28"/>
      <c r="X12" s="28"/>
      <c r="Y12" s="28"/>
      <c r="Z12" s="28"/>
      <c r="AA12" s="35"/>
      <c r="AB12" s="35"/>
      <c r="AC12" s="35"/>
      <c r="AD12" s="35"/>
      <c r="AE12" s="35"/>
      <c r="AF12" s="35"/>
      <c r="AG12" s="35"/>
    </row>
    <row r="13" spans="1:257" s="32" customFormat="1" ht="63.75" customHeight="1" x14ac:dyDescent="0.25">
      <c r="A13" s="25"/>
      <c r="B13" s="26" t="s">
        <v>35</v>
      </c>
      <c r="C13" s="27" t="s">
        <v>58</v>
      </c>
      <c r="D13" s="27" t="s">
        <v>36</v>
      </c>
      <c r="E13" s="33" t="s">
        <v>37</v>
      </c>
      <c r="F13" s="34">
        <v>198330.21</v>
      </c>
      <c r="G13" s="34">
        <f>F13/12</f>
        <v>16527.517499999998</v>
      </c>
      <c r="H13" s="28"/>
      <c r="I13" s="28"/>
      <c r="J13" s="64" t="s">
        <v>71</v>
      </c>
      <c r="K13" s="67" t="s">
        <v>70</v>
      </c>
      <c r="L13" s="30"/>
      <c r="M13" s="28"/>
      <c r="N13" s="31"/>
      <c r="O13" s="28"/>
      <c r="P13" s="28"/>
      <c r="Q13" s="28"/>
      <c r="R13" s="30"/>
      <c r="S13" s="30"/>
      <c r="T13" s="30"/>
      <c r="U13" s="30"/>
      <c r="V13" s="30"/>
      <c r="W13" s="28"/>
      <c r="X13" s="28"/>
      <c r="Y13" s="28"/>
      <c r="Z13" s="28"/>
      <c r="AA13" s="35"/>
      <c r="AB13" s="35"/>
      <c r="AC13" s="35"/>
      <c r="AD13" s="35"/>
      <c r="AE13" s="35"/>
      <c r="AF13" s="35"/>
      <c r="AG13" s="35"/>
    </row>
    <row r="14" spans="1:257" ht="60.75" x14ac:dyDescent="0.25">
      <c r="A14" s="36"/>
      <c r="B14" s="37" t="s">
        <v>38</v>
      </c>
      <c r="C14" s="38" t="s">
        <v>39</v>
      </c>
      <c r="D14" s="39" t="s">
        <v>40</v>
      </c>
      <c r="E14" s="36"/>
      <c r="F14" s="36">
        <v>549500</v>
      </c>
      <c r="G14" s="36"/>
      <c r="H14" s="36"/>
      <c r="I14" s="36"/>
      <c r="J14" s="36"/>
      <c r="K14" s="40" t="s">
        <v>41</v>
      </c>
      <c r="L14" s="36"/>
      <c r="M14" s="66" t="s">
        <v>68</v>
      </c>
      <c r="N14" s="71"/>
      <c r="O14" s="72">
        <v>301800</v>
      </c>
      <c r="P14" s="72"/>
      <c r="Q14" s="72"/>
      <c r="R14" s="72">
        <v>301800</v>
      </c>
      <c r="S14" s="65" t="s">
        <v>65</v>
      </c>
      <c r="T14" s="36"/>
      <c r="U14" s="36"/>
      <c r="V14" s="36"/>
      <c r="W14" s="36"/>
      <c r="X14" s="36"/>
      <c r="Y14" s="36"/>
      <c r="Z14" s="36"/>
    </row>
    <row r="15" spans="1:257" s="53" customFormat="1" ht="76.5" customHeight="1" x14ac:dyDescent="0.25">
      <c r="A15" s="41"/>
      <c r="B15" s="42" t="s">
        <v>45</v>
      </c>
      <c r="C15" s="43" t="s">
        <v>46</v>
      </c>
      <c r="D15" s="44" t="s">
        <v>47</v>
      </c>
      <c r="E15" s="45" t="s">
        <v>48</v>
      </c>
      <c r="F15" s="46">
        <v>549600</v>
      </c>
      <c r="G15" s="47"/>
      <c r="H15" s="41"/>
      <c r="I15" s="48"/>
      <c r="J15" s="49"/>
      <c r="K15" s="48" t="s">
        <v>50</v>
      </c>
      <c r="L15" s="49" t="s">
        <v>49</v>
      </c>
      <c r="M15" s="66"/>
      <c r="N15" s="71"/>
      <c r="O15" s="72"/>
      <c r="P15" s="72"/>
      <c r="Q15" s="72"/>
      <c r="R15" s="72"/>
      <c r="S15" s="65"/>
      <c r="T15" s="50"/>
      <c r="U15" s="51"/>
      <c r="V15" s="41"/>
      <c r="W15" s="52"/>
      <c r="X15" s="51"/>
      <c r="Y15" s="41"/>
      <c r="Z15" s="41"/>
      <c r="AA15" s="41"/>
    </row>
    <row r="16" spans="1:257" s="59" customFormat="1" ht="78.75" customHeight="1" x14ac:dyDescent="0.2">
      <c r="A16" s="54"/>
      <c r="B16" s="55" t="s">
        <v>51</v>
      </c>
      <c r="C16" s="56" t="s">
        <v>52</v>
      </c>
      <c r="D16" s="73" t="s">
        <v>60</v>
      </c>
      <c r="E16" s="74" t="s">
        <v>53</v>
      </c>
      <c r="F16" s="75" t="s">
        <v>59</v>
      </c>
      <c r="G16" s="76"/>
      <c r="H16" s="77"/>
      <c r="I16" s="78"/>
      <c r="J16" s="57"/>
      <c r="K16" s="79" t="s">
        <v>72</v>
      </c>
      <c r="L16" s="80"/>
      <c r="M16" s="81"/>
      <c r="N16" s="82"/>
      <c r="O16" s="83"/>
      <c r="P16" s="84"/>
      <c r="Q16" s="54"/>
      <c r="R16" s="54"/>
      <c r="S16" s="54"/>
      <c r="T16" s="54"/>
      <c r="U16" s="54"/>
      <c r="V16" s="54"/>
      <c r="W16" s="54"/>
      <c r="X16" s="54"/>
      <c r="Y16" s="85"/>
      <c r="Z16" s="85"/>
      <c r="AA16" s="54"/>
      <c r="AB16" s="58"/>
    </row>
    <row r="17" spans="1:257" s="102" customFormat="1" ht="20.25" x14ac:dyDescent="0.3">
      <c r="A17" s="86"/>
      <c r="B17" s="86"/>
      <c r="C17" s="87" t="s">
        <v>75</v>
      </c>
      <c r="D17" s="86"/>
      <c r="E17" s="86"/>
      <c r="F17" s="86"/>
      <c r="G17" s="86"/>
      <c r="H17" s="86"/>
      <c r="I17" s="86"/>
      <c r="J17" s="86"/>
      <c r="K17" s="88"/>
      <c r="L17" s="89"/>
      <c r="M17" s="86"/>
      <c r="N17" s="90"/>
      <c r="O17" s="86"/>
      <c r="P17" s="86"/>
      <c r="Q17" s="86"/>
      <c r="R17" s="89"/>
      <c r="S17" s="91"/>
      <c r="T17" s="89"/>
      <c r="U17" s="92"/>
      <c r="V17" s="92"/>
      <c r="W17" s="93"/>
      <c r="X17" s="94"/>
      <c r="Y17" s="95"/>
      <c r="Z17" s="95"/>
      <c r="AA17" s="96"/>
      <c r="AB17" s="96"/>
      <c r="AC17" s="97"/>
      <c r="AD17" s="98"/>
      <c r="AE17" s="99"/>
      <c r="AF17" s="99"/>
      <c r="AG17" s="99"/>
      <c r="AH17" s="100"/>
      <c r="AI17" s="100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101"/>
      <c r="EH17" s="101"/>
      <c r="EI17" s="101"/>
      <c r="EJ17" s="101"/>
      <c r="EK17" s="101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  <c r="HD17" s="101"/>
      <c r="HE17" s="101"/>
      <c r="HF17" s="101"/>
      <c r="HG17" s="101"/>
      <c r="HH17" s="101"/>
      <c r="HI17" s="101"/>
      <c r="HJ17" s="101"/>
      <c r="HK17" s="101"/>
      <c r="HL17" s="101"/>
      <c r="HM17" s="101"/>
      <c r="HN17" s="101"/>
      <c r="HO17" s="101"/>
      <c r="HP17" s="101"/>
      <c r="HQ17" s="101"/>
      <c r="HR17" s="101"/>
      <c r="HS17" s="101"/>
      <c r="HT17" s="101"/>
      <c r="HU17" s="101"/>
      <c r="HV17" s="101"/>
      <c r="HW17" s="101"/>
      <c r="HX17" s="101"/>
      <c r="HY17" s="101"/>
      <c r="HZ17" s="101"/>
      <c r="IA17" s="101"/>
      <c r="IB17" s="101"/>
      <c r="IC17" s="101"/>
      <c r="ID17" s="101"/>
      <c r="IE17" s="101"/>
      <c r="IF17" s="101"/>
      <c r="IG17" s="101"/>
      <c r="IH17" s="101"/>
      <c r="II17" s="101"/>
      <c r="IJ17" s="101"/>
      <c r="IK17" s="101"/>
      <c r="IL17" s="101"/>
      <c r="IM17" s="101"/>
      <c r="IN17" s="101"/>
      <c r="IO17" s="101"/>
      <c r="IP17" s="101"/>
      <c r="IQ17" s="101"/>
      <c r="IR17" s="101"/>
      <c r="IS17" s="101"/>
      <c r="IT17" s="101"/>
      <c r="IU17" s="101"/>
      <c r="IV17" s="101"/>
      <c r="IW17" s="101"/>
    </row>
    <row r="18" spans="1:257" s="32" customFormat="1" ht="30" x14ac:dyDescent="0.25">
      <c r="A18" s="25"/>
      <c r="B18" s="26" t="s">
        <v>33</v>
      </c>
      <c r="C18" s="28" t="s">
        <v>42</v>
      </c>
      <c r="D18" s="27" t="s">
        <v>98</v>
      </c>
      <c r="E18" s="33" t="s">
        <v>99</v>
      </c>
      <c r="F18" s="34">
        <v>589802.4</v>
      </c>
      <c r="G18" s="34">
        <f>F18/3</f>
        <v>196600.80000000002</v>
      </c>
      <c r="H18" s="28" t="s">
        <v>69</v>
      </c>
      <c r="I18" s="28"/>
      <c r="J18" s="28"/>
      <c r="K18" s="60"/>
      <c r="L18" s="30"/>
      <c r="M18" s="28"/>
      <c r="N18" s="31"/>
      <c r="O18" s="28"/>
      <c r="P18" s="28"/>
      <c r="Q18" s="28"/>
      <c r="R18" s="30"/>
      <c r="S18" s="30"/>
      <c r="T18" s="30"/>
      <c r="U18" s="30"/>
      <c r="V18" s="30"/>
      <c r="W18" s="28"/>
      <c r="X18" s="28"/>
      <c r="Y18" s="28"/>
      <c r="Z18" s="28"/>
      <c r="AA18" s="28"/>
      <c r="AB18" s="28"/>
      <c r="AC18" s="28"/>
      <c r="AD18" s="30"/>
      <c r="AE18" s="28"/>
      <c r="AF18" s="28"/>
      <c r="AG18" s="28"/>
    </row>
    <row r="19" spans="1:257" s="32" customFormat="1" ht="39" customHeight="1" x14ac:dyDescent="0.25">
      <c r="A19" s="25"/>
      <c r="B19" s="26" t="s">
        <v>33</v>
      </c>
      <c r="C19" s="27" t="s">
        <v>57</v>
      </c>
      <c r="D19" s="27" t="s">
        <v>97</v>
      </c>
      <c r="E19" s="33" t="s">
        <v>99</v>
      </c>
      <c r="F19" s="34">
        <v>590102.4</v>
      </c>
      <c r="G19" s="34">
        <v>196700.79999999999</v>
      </c>
      <c r="H19" s="28" t="s">
        <v>69</v>
      </c>
      <c r="I19" s="28"/>
      <c r="J19" s="28"/>
      <c r="K19" s="60"/>
      <c r="L19" s="30"/>
      <c r="M19" s="28"/>
      <c r="N19" s="31"/>
      <c r="O19" s="28"/>
      <c r="P19" s="28"/>
      <c r="Q19" s="28"/>
      <c r="R19" s="30"/>
      <c r="S19" s="30"/>
      <c r="T19" s="30"/>
      <c r="U19" s="30"/>
      <c r="V19" s="30"/>
      <c r="W19" s="28"/>
      <c r="X19" s="28"/>
      <c r="Y19" s="28"/>
      <c r="Z19" s="28"/>
      <c r="AA19" s="35"/>
      <c r="AB19" s="35"/>
      <c r="AC19" s="35"/>
      <c r="AD19" s="35"/>
      <c r="AE19" s="35"/>
      <c r="AF19" s="35"/>
      <c r="AG19" s="35"/>
    </row>
    <row r="20" spans="1:257" s="32" customFormat="1" ht="76.5" customHeight="1" x14ac:dyDescent="0.25">
      <c r="A20" s="25"/>
      <c r="B20" s="26" t="s">
        <v>25</v>
      </c>
      <c r="C20" s="27" t="s">
        <v>26</v>
      </c>
      <c r="D20" s="28" t="s">
        <v>27</v>
      </c>
      <c r="E20" s="28" t="s">
        <v>28</v>
      </c>
      <c r="F20" s="29" t="s">
        <v>29</v>
      </c>
      <c r="G20" s="29">
        <v>8280</v>
      </c>
      <c r="H20" s="28"/>
      <c r="I20" s="28"/>
      <c r="J20" s="28"/>
      <c r="K20" s="28"/>
      <c r="L20" s="30"/>
      <c r="M20" s="28"/>
      <c r="N20" s="31"/>
      <c r="O20" s="28"/>
      <c r="P20" s="28"/>
      <c r="Q20" s="28"/>
      <c r="R20" s="30"/>
      <c r="S20" s="30"/>
      <c r="T20" s="30"/>
      <c r="U20" s="30"/>
      <c r="V20" s="30"/>
      <c r="W20" s="28"/>
      <c r="X20" s="28"/>
      <c r="Y20" s="28"/>
      <c r="Z20" s="28"/>
      <c r="AA20" s="28"/>
      <c r="AB20" s="28"/>
      <c r="AC20" s="28"/>
      <c r="AD20" s="30"/>
      <c r="AE20" s="28"/>
      <c r="AF20" s="28"/>
      <c r="AG20" s="28"/>
    </row>
    <row r="21" spans="1:257" s="32" customFormat="1" ht="78" customHeight="1" x14ac:dyDescent="0.25">
      <c r="A21" s="25"/>
      <c r="B21" s="26" t="s">
        <v>30</v>
      </c>
      <c r="C21" s="27" t="s">
        <v>66</v>
      </c>
      <c r="D21" s="28" t="s">
        <v>31</v>
      </c>
      <c r="E21" s="28" t="s">
        <v>28</v>
      </c>
      <c r="F21" s="29" t="s">
        <v>32</v>
      </c>
      <c r="G21" s="29">
        <v>9993.0400000000009</v>
      </c>
      <c r="H21" s="28"/>
      <c r="I21" s="28"/>
      <c r="J21" s="28"/>
      <c r="K21" s="28"/>
      <c r="L21" s="30"/>
      <c r="M21" s="28"/>
      <c r="N21" s="31"/>
      <c r="O21" s="28"/>
      <c r="P21" s="28"/>
      <c r="Q21" s="28"/>
      <c r="R21" s="30"/>
      <c r="S21" s="30"/>
      <c r="T21" s="30"/>
      <c r="U21" s="30"/>
      <c r="V21" s="30"/>
      <c r="W21" s="28"/>
      <c r="X21" s="28"/>
      <c r="Y21" s="28"/>
      <c r="Z21" s="28"/>
      <c r="AA21" s="28"/>
      <c r="AB21" s="28"/>
      <c r="AC21" s="28"/>
      <c r="AD21" s="30"/>
      <c r="AE21" s="28"/>
      <c r="AF21" s="28"/>
      <c r="AG21" s="28"/>
    </row>
    <row r="22" spans="1:257" s="32" customFormat="1" ht="63.75" customHeight="1" x14ac:dyDescent="0.25">
      <c r="A22" s="25"/>
      <c r="B22" s="26" t="s">
        <v>35</v>
      </c>
      <c r="C22" s="27" t="s">
        <v>58</v>
      </c>
      <c r="D22" s="27" t="s">
        <v>36</v>
      </c>
      <c r="E22" s="33" t="s">
        <v>37</v>
      </c>
      <c r="F22" s="34">
        <v>198330.21</v>
      </c>
      <c r="G22" s="34">
        <f>F22/12</f>
        <v>16527.517499999998</v>
      </c>
      <c r="H22" s="28"/>
      <c r="I22" s="28"/>
      <c r="J22" s="64" t="s">
        <v>71</v>
      </c>
      <c r="K22" s="67" t="s">
        <v>70</v>
      </c>
      <c r="L22" s="30"/>
      <c r="M22" s="28"/>
      <c r="N22" s="31"/>
      <c r="O22" s="28"/>
      <c r="P22" s="28"/>
      <c r="Q22" s="28"/>
      <c r="R22" s="30"/>
      <c r="S22" s="30"/>
      <c r="T22" s="30"/>
      <c r="U22" s="30"/>
      <c r="V22" s="30"/>
      <c r="W22" s="28"/>
      <c r="X22" s="28"/>
      <c r="Y22" s="28"/>
      <c r="Z22" s="28"/>
      <c r="AA22" s="35"/>
      <c r="AB22" s="35"/>
      <c r="AC22" s="35"/>
      <c r="AD22" s="35"/>
      <c r="AE22" s="35"/>
      <c r="AF22" s="35"/>
      <c r="AG22" s="35"/>
    </row>
    <row r="23" spans="1:257" s="59" customFormat="1" ht="78.75" customHeight="1" x14ac:dyDescent="0.2">
      <c r="A23" s="54"/>
      <c r="B23" s="55" t="s">
        <v>51</v>
      </c>
      <c r="C23" s="56" t="s">
        <v>52</v>
      </c>
      <c r="D23" s="73" t="s">
        <v>60</v>
      </c>
      <c r="E23" s="74" t="s">
        <v>53</v>
      </c>
      <c r="F23" s="75" t="s">
        <v>59</v>
      </c>
      <c r="G23" s="131"/>
      <c r="H23" s="131" t="s">
        <v>69</v>
      </c>
      <c r="I23" s="78"/>
      <c r="J23" s="57"/>
      <c r="K23" s="79" t="s">
        <v>72</v>
      </c>
      <c r="L23" s="80"/>
      <c r="M23" s="81"/>
      <c r="N23" s="82"/>
      <c r="O23" s="83"/>
      <c r="P23" s="84"/>
      <c r="Q23" s="54"/>
      <c r="R23" s="54"/>
      <c r="S23" s="54"/>
      <c r="T23" s="54"/>
      <c r="U23" s="54"/>
      <c r="V23" s="54"/>
      <c r="W23" s="54"/>
      <c r="X23" s="54"/>
      <c r="Y23" s="85"/>
      <c r="Z23" s="85"/>
      <c r="AA23" s="54"/>
      <c r="AB23" s="58"/>
    </row>
    <row r="24" spans="1:257" ht="51.75" x14ac:dyDescent="0.25">
      <c r="A24" s="36"/>
      <c r="B24" s="108" t="s">
        <v>81</v>
      </c>
      <c r="C24" s="109" t="s">
        <v>76</v>
      </c>
      <c r="D24" s="110" t="s">
        <v>77</v>
      </c>
      <c r="E24" s="106" t="s">
        <v>78</v>
      </c>
      <c r="F24" s="111" t="s">
        <v>79</v>
      </c>
      <c r="G24" s="115" t="s">
        <v>84</v>
      </c>
      <c r="H24" s="112" t="s">
        <v>80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</row>
    <row r="25" spans="1:257" s="103" customFormat="1" ht="77.25" x14ac:dyDescent="0.25">
      <c r="A25" s="104"/>
      <c r="B25" s="120" t="s">
        <v>86</v>
      </c>
      <c r="C25" s="121" t="s">
        <v>85</v>
      </c>
      <c r="D25" s="122" t="s">
        <v>87</v>
      </c>
      <c r="E25" s="33"/>
      <c r="F25" s="129">
        <v>43180</v>
      </c>
      <c r="G25" s="128" t="s">
        <v>92</v>
      </c>
      <c r="H25" s="123"/>
      <c r="I25" s="104"/>
      <c r="J25" s="124">
        <v>43180</v>
      </c>
      <c r="K25" s="125">
        <v>46058</v>
      </c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</row>
    <row r="26" spans="1:257" ht="36.75" x14ac:dyDescent="0.25">
      <c r="A26" s="104"/>
      <c r="B26" s="127" t="s">
        <v>88</v>
      </c>
      <c r="C26" s="105" t="s">
        <v>90</v>
      </c>
      <c r="D26" s="105" t="s">
        <v>89</v>
      </c>
      <c r="E26" s="126" t="s">
        <v>82</v>
      </c>
      <c r="F26" s="130">
        <v>499800</v>
      </c>
      <c r="G26" s="114" t="s">
        <v>91</v>
      </c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spans="1:257" ht="38.25" customHeight="1" x14ac:dyDescent="0.25">
      <c r="A27" s="104"/>
      <c r="B27" s="107" t="s">
        <v>95</v>
      </c>
      <c r="C27" s="105" t="s">
        <v>96</v>
      </c>
      <c r="D27" s="105" t="s">
        <v>93</v>
      </c>
      <c r="E27" s="113" t="s">
        <v>82</v>
      </c>
      <c r="F27" s="105" t="s">
        <v>94</v>
      </c>
      <c r="G27" s="104"/>
      <c r="H27" s="114" t="s">
        <v>83</v>
      </c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spans="1:257" x14ac:dyDescent="0.25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1:257" x14ac:dyDescent="0.25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spans="1:257" x14ac:dyDescent="0.25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spans="1:257" x14ac:dyDescent="0.25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spans="1:257" x14ac:dyDescent="0.25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1:26" x14ac:dyDescent="0.25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</sheetData>
  <mergeCells count="3">
    <mergeCell ref="B2:M2"/>
    <mergeCell ref="B4:L4"/>
    <mergeCell ref="N4:W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</vt:lpstr>
      <vt:lpstr>СМР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2026-02-26T14:28:28Z</dcterms:modified>
</cp:coreProperties>
</file>