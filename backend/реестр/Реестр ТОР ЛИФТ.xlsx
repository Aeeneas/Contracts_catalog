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Филюткина\_comp_\"/>
    </mc:Choice>
  </mc:AlternateContent>
  <bookViews>
    <workbookView minimized="1" xWindow="0" yWindow="0" windowWidth="28800" windowHeight="13425" tabRatio="607" firstSheet="1" activeTab="1"/>
  </bookViews>
  <sheets>
    <sheet name="Диаграмма5" sheetId="9" r:id="rId1"/>
    <sheet name="ТО" sheetId="1" r:id="rId2"/>
    <sheet name="СМР " sheetId="2" r:id="rId3"/>
    <sheet name="Диаграмма6" sheetId="8" r:id="rId4"/>
    <sheet name="Саядян" sheetId="6" r:id="rId5"/>
    <sheet name="Лист1" sheetId="10" r:id="rId6"/>
    <sheet name="Миносян" sheetId="7" r:id="rId7"/>
  </sheets>
  <calcPr calcId="152511"/>
</workbook>
</file>

<file path=xl/calcChain.xml><?xml version="1.0" encoding="utf-8"?>
<calcChain xmlns="http://schemas.openxmlformats.org/spreadsheetml/2006/main">
  <c r="J721" i="2" l="1"/>
  <c r="J697" i="2" l="1"/>
  <c r="H680" i="2"/>
  <c r="H679" i="2"/>
  <c r="J646" i="2" l="1"/>
  <c r="J740" i="2" l="1"/>
  <c r="D735" i="2" l="1"/>
  <c r="I675" i="2" l="1"/>
  <c r="P740" i="2" l="1"/>
  <c r="P738" i="2"/>
  <c r="L729" i="2"/>
  <c r="I679" i="2" l="1"/>
  <c r="S37" i="7" l="1"/>
  <c r="L37" i="7"/>
  <c r="E36" i="7"/>
  <c r="Z30" i="7"/>
  <c r="AB29" i="7"/>
  <c r="Z29" i="7"/>
  <c r="AC9" i="7"/>
  <c r="AB9" i="7"/>
  <c r="G8" i="7"/>
  <c r="AB4" i="7"/>
  <c r="G4" i="7"/>
  <c r="J37" i="6"/>
  <c r="J35" i="6"/>
  <c r="J34" i="6"/>
  <c r="E34" i="6"/>
  <c r="O33" i="6"/>
  <c r="M32" i="6"/>
  <c r="G32" i="6"/>
  <c r="E32" i="6"/>
  <c r="M22" i="6"/>
  <c r="E22" i="6"/>
  <c r="G17" i="6"/>
  <c r="O15" i="6"/>
  <c r="M15" i="6"/>
  <c r="G15" i="6"/>
  <c r="E15" i="6"/>
  <c r="M12" i="6"/>
  <c r="M10" i="6"/>
  <c r="E10" i="6"/>
  <c r="O6" i="6"/>
  <c r="G5" i="6"/>
  <c r="J24" i="10"/>
  <c r="D22" i="10"/>
  <c r="D21" i="10"/>
  <c r="H3" i="10"/>
  <c r="P707" i="2"/>
  <c r="P706" i="2"/>
  <c r="L693" i="2"/>
  <c r="I684" i="2"/>
  <c r="H684" i="2"/>
  <c r="G678" i="2"/>
  <c r="I662" i="2"/>
  <c r="G662" i="2"/>
  <c r="J662" i="2" s="1"/>
  <c r="O660" i="2"/>
  <c r="O642" i="2"/>
  <c r="T639" i="2"/>
  <c r="N639" i="2"/>
  <c r="N638" i="2"/>
  <c r="S637" i="2"/>
  <c r="N637" i="2"/>
  <c r="N636" i="2"/>
  <c r="I632" i="2"/>
  <c r="J606" i="2"/>
  <c r="O595" i="2"/>
  <c r="O572" i="2"/>
  <c r="O566" i="2"/>
  <c r="N557" i="2"/>
  <c r="N553" i="2"/>
  <c r="N552" i="2"/>
  <c r="O544" i="2"/>
  <c r="O542" i="2"/>
  <c r="O539" i="2"/>
  <c r="O537" i="2"/>
  <c r="O535" i="2"/>
  <c r="H535" i="2"/>
  <c r="O532" i="2"/>
  <c r="O531" i="2"/>
  <c r="I531" i="2"/>
  <c r="H531" i="2"/>
  <c r="N529" i="2"/>
  <c r="T528" i="2"/>
  <c r="N528" i="2"/>
  <c r="N527" i="2"/>
  <c r="S526" i="2"/>
  <c r="N526" i="2"/>
  <c r="N525" i="2"/>
  <c r="P518" i="2"/>
  <c r="P517" i="2"/>
  <c r="O515" i="2"/>
  <c r="O514" i="2"/>
  <c r="O513" i="2"/>
  <c r="J513" i="2"/>
  <c r="O512" i="2"/>
  <c r="O511" i="2"/>
  <c r="I511" i="2" s="1"/>
  <c r="O508" i="2"/>
  <c r="J508" i="2"/>
  <c r="N505" i="2"/>
  <c r="N504" i="2"/>
  <c r="N503" i="2"/>
  <c r="O501" i="2"/>
  <c r="O500" i="2"/>
  <c r="R498" i="2"/>
  <c r="O496" i="2"/>
  <c r="O494" i="2"/>
  <c r="W494" i="2" s="1"/>
  <c r="R493" i="2"/>
  <c r="O493" i="2"/>
  <c r="I493" i="2"/>
  <c r="O492" i="2"/>
  <c r="O491" i="2"/>
  <c r="O489" i="2"/>
  <c r="O488" i="2"/>
  <c r="O484" i="2"/>
  <c r="O480" i="2"/>
  <c r="I480" i="2"/>
  <c r="O477" i="2"/>
  <c r="R475" i="2"/>
  <c r="O474" i="2"/>
  <c r="I467" i="2"/>
  <c r="O466" i="2"/>
  <c r="O465" i="2"/>
  <c r="O464" i="2"/>
  <c r="AC459" i="2"/>
  <c r="AD460" i="2" s="1"/>
  <c r="AD461" i="2" s="1"/>
  <c r="O459" i="2"/>
  <c r="Q455" i="2"/>
  <c r="O455" i="2"/>
  <c r="I455" i="2"/>
  <c r="R453" i="2"/>
  <c r="Q453" i="2"/>
  <c r="P453" i="2"/>
  <c r="C453" i="2"/>
  <c r="Q452" i="2"/>
  <c r="P452" i="2"/>
  <c r="O452" i="2"/>
  <c r="O446" i="2"/>
  <c r="P445" i="2"/>
  <c r="O445" i="2"/>
  <c r="O443" i="2"/>
  <c r="O439" i="2"/>
  <c r="O432" i="2"/>
  <c r="Q429" i="2"/>
  <c r="P429" i="2"/>
  <c r="O429" i="2"/>
  <c r="O428" i="2"/>
  <c r="O427" i="2"/>
  <c r="P425" i="2"/>
  <c r="J425" i="2"/>
  <c r="O423" i="2"/>
  <c r="Q421" i="2"/>
  <c r="O414" i="2"/>
  <c r="J413" i="2"/>
  <c r="Z405" i="2"/>
  <c r="O399" i="2"/>
  <c r="O394" i="2"/>
  <c r="O393" i="2"/>
  <c r="O374" i="2"/>
  <c r="O371" i="2"/>
  <c r="Q363" i="2"/>
  <c r="J350" i="2"/>
  <c r="F350" i="2"/>
  <c r="F349" i="2"/>
  <c r="J341" i="2"/>
  <c r="O338" i="2"/>
  <c r="J328" i="2"/>
  <c r="O326" i="2"/>
  <c r="O323" i="2"/>
  <c r="O322" i="2"/>
  <c r="J321" i="2"/>
  <c r="H311" i="2"/>
  <c r="F311" i="2"/>
  <c r="O310" i="2"/>
  <c r="J310" i="2"/>
  <c r="O309" i="2"/>
  <c r="R303" i="2"/>
  <c r="O303" i="2"/>
  <c r="O302" i="2"/>
  <c r="J300" i="2"/>
  <c r="N297" i="2"/>
  <c r="N296" i="2"/>
  <c r="N295" i="2"/>
  <c r="Q293" i="2"/>
  <c r="N288" i="2"/>
  <c r="O286" i="2"/>
  <c r="N286" i="2"/>
  <c r="N285" i="2"/>
  <c r="P284" i="2"/>
  <c r="N284" i="2"/>
  <c r="N283" i="2"/>
  <c r="N281" i="2"/>
  <c r="I281" i="2"/>
  <c r="N279" i="2"/>
  <c r="N276" i="2"/>
  <c r="O274" i="2"/>
  <c r="J272" i="2"/>
  <c r="G272" i="2"/>
  <c r="H271" i="2"/>
  <c r="J268" i="2"/>
  <c r="H268" i="2"/>
  <c r="J267" i="2"/>
  <c r="H267" i="2"/>
  <c r="R260" i="2"/>
  <c r="P260" i="2"/>
  <c r="O260" i="2"/>
  <c r="K260" i="2"/>
  <c r="H260" i="2"/>
  <c r="J248" i="2"/>
  <c r="H245" i="2"/>
  <c r="K245" i="2" s="1"/>
  <c r="J239" i="2"/>
  <c r="H239" i="2"/>
  <c r="AB236" i="2"/>
  <c r="J236" i="2"/>
  <c r="J230" i="2"/>
  <c r="I216" i="2"/>
  <c r="J215" i="2"/>
  <c r="J210" i="2"/>
  <c r="J207" i="2"/>
  <c r="J204" i="2"/>
  <c r="I204" i="2"/>
  <c r="J198" i="2"/>
  <c r="H198" i="2"/>
  <c r="H194" i="2"/>
  <c r="E191" i="2"/>
  <c r="J189" i="2"/>
  <c r="H189" i="2"/>
  <c r="I191" i="2" s="1"/>
  <c r="Q188" i="2"/>
  <c r="P188" i="2"/>
  <c r="J184" i="2"/>
  <c r="H184" i="2"/>
  <c r="H179" i="2"/>
  <c r="H178" i="2"/>
  <c r="D177" i="2"/>
  <c r="H176" i="2"/>
  <c r="H174" i="2"/>
  <c r="H169" i="2"/>
  <c r="H165" i="2"/>
  <c r="J164" i="2"/>
  <c r="H164" i="2"/>
  <c r="J163" i="2"/>
  <c r="H163" i="2"/>
  <c r="AB158" i="2"/>
  <c r="H154" i="2"/>
  <c r="F154" i="2"/>
  <c r="J151" i="2"/>
  <c r="H151" i="2"/>
  <c r="K148" i="2"/>
  <c r="J148" i="2"/>
  <c r="J147" i="2"/>
  <c r="H147" i="2"/>
  <c r="H141" i="2"/>
  <c r="F140" i="2"/>
  <c r="F144" i="2" s="1"/>
  <c r="J139" i="2"/>
  <c r="J135" i="2"/>
  <c r="R134" i="2"/>
  <c r="P132" i="2"/>
  <c r="H132" i="2"/>
  <c r="G132" i="2"/>
  <c r="P130" i="2"/>
  <c r="J130" i="2"/>
  <c r="H130" i="2"/>
  <c r="K130" i="2" s="1"/>
  <c r="G130" i="2"/>
  <c r="I129" i="2"/>
  <c r="P128" i="2"/>
  <c r="H128" i="2"/>
  <c r="P127" i="2"/>
  <c r="J127" i="2"/>
  <c r="H127" i="2"/>
  <c r="J126" i="2"/>
  <c r="J120" i="2"/>
  <c r="H120" i="2"/>
  <c r="G120" i="2"/>
  <c r="R116" i="2"/>
  <c r="H112" i="2"/>
  <c r="F112" i="2"/>
  <c r="P111" i="2"/>
  <c r="J108" i="2"/>
  <c r="H108" i="2"/>
  <c r="F108" i="2"/>
  <c r="P105" i="2"/>
  <c r="J104" i="2"/>
  <c r="H104" i="2"/>
  <c r="H105" i="2" s="1"/>
  <c r="J99" i="2"/>
  <c r="F99" i="2"/>
  <c r="J97" i="2"/>
  <c r="H96" i="2"/>
  <c r="H99" i="2" s="1"/>
  <c r="J95" i="2"/>
  <c r="H95" i="2"/>
  <c r="H94" i="2"/>
  <c r="P92" i="2"/>
  <c r="J91" i="2"/>
  <c r="P86" i="2"/>
  <c r="P84" i="2"/>
  <c r="O84" i="2"/>
  <c r="O82" i="2"/>
  <c r="J82" i="2"/>
  <c r="H82" i="2"/>
  <c r="G82" i="2"/>
  <c r="F82" i="2"/>
  <c r="J81" i="2"/>
  <c r="H81" i="2"/>
  <c r="R76" i="2"/>
  <c r="P76" i="2"/>
  <c r="P75" i="2"/>
  <c r="H75" i="2"/>
  <c r="H74" i="2"/>
  <c r="G74" i="2"/>
  <c r="P71" i="2"/>
  <c r="O69" i="2"/>
  <c r="J67" i="2"/>
  <c r="H64" i="2"/>
  <c r="G64" i="2"/>
  <c r="F64" i="2"/>
  <c r="H63" i="2"/>
  <c r="G63" i="2"/>
  <c r="O60" i="2"/>
  <c r="J60" i="2"/>
  <c r="H58" i="2"/>
  <c r="F58" i="2"/>
  <c r="J56" i="2"/>
  <c r="V55" i="2"/>
  <c r="J54" i="2"/>
  <c r="H54" i="2"/>
  <c r="G54" i="2"/>
  <c r="O52" i="2"/>
  <c r="G52" i="2"/>
  <c r="J51" i="2"/>
  <c r="R49" i="2"/>
  <c r="J49" i="2"/>
  <c r="R45" i="2"/>
  <c r="O45" i="2"/>
  <c r="J45" i="2"/>
  <c r="G45" i="2" s="1"/>
  <c r="F45" i="2"/>
  <c r="P44" i="2"/>
  <c r="R41" i="2"/>
  <c r="P41" i="2"/>
  <c r="J41" i="2"/>
  <c r="G41" i="2" s="1"/>
  <c r="F41" i="2"/>
  <c r="H39" i="2"/>
  <c r="G39" i="2"/>
  <c r="V34" i="2"/>
  <c r="H33" i="2"/>
  <c r="G33" i="2"/>
  <c r="R32" i="2"/>
  <c r="P32" i="2"/>
  <c r="O32" i="2"/>
  <c r="G28" i="2"/>
  <c r="H27" i="2"/>
  <c r="G27" i="2"/>
  <c r="G22" i="2"/>
  <c r="J14" i="2"/>
  <c r="V426" i="1"/>
  <c r="U425" i="1"/>
  <c r="N425" i="1"/>
  <c r="K425" i="1"/>
  <c r="J425" i="1"/>
  <c r="I425" i="1"/>
  <c r="N423" i="1"/>
  <c r="N402" i="1"/>
  <c r="R401" i="1"/>
  <c r="N401" i="1"/>
  <c r="S401" i="1" s="1"/>
  <c r="AF399" i="1"/>
  <c r="AC399" i="1"/>
  <c r="AB399" i="1"/>
  <c r="AA399" i="1"/>
  <c r="Z399" i="1"/>
  <c r="Y399" i="1"/>
  <c r="N399" i="1"/>
  <c r="K399" i="1" s="1"/>
  <c r="G399" i="1"/>
  <c r="N395" i="1"/>
  <c r="N392" i="1"/>
  <c r="N390" i="1"/>
  <c r="N389" i="1"/>
  <c r="I385" i="1"/>
  <c r="N382" i="1"/>
  <c r="Z377" i="1"/>
  <c r="Y377" i="1"/>
  <c r="X377" i="1"/>
  <c r="N377" i="1"/>
  <c r="R374" i="1"/>
  <c r="O374" i="1"/>
  <c r="U374" i="1" s="1"/>
  <c r="N374" i="1"/>
  <c r="N373" i="1"/>
  <c r="S371" i="1"/>
  <c r="N371" i="1"/>
  <c r="U366" i="1"/>
  <c r="S366" i="1"/>
  <c r="N366" i="1"/>
  <c r="N358" i="1"/>
  <c r="P356" i="1"/>
  <c r="N356" i="1"/>
  <c r="Y355" i="1"/>
  <c r="O355" i="1"/>
  <c r="N355" i="1"/>
  <c r="T353" i="1"/>
  <c r="S353" i="1"/>
  <c r="N353" i="1"/>
  <c r="AG352" i="1"/>
  <c r="AD352" i="1"/>
  <c r="AC352" i="1"/>
  <c r="AB352" i="1"/>
  <c r="AA352" i="1"/>
  <c r="Z352" i="1"/>
  <c r="W352" i="1"/>
  <c r="O352" i="1"/>
  <c r="N352" i="1"/>
  <c r="K352" i="1" s="1"/>
  <c r="J352" i="1"/>
  <c r="I352" i="1"/>
  <c r="R347" i="1"/>
  <c r="O347" i="1"/>
  <c r="N347" i="1"/>
  <c r="R346" i="1"/>
  <c r="O346" i="1"/>
  <c r="N346" i="1"/>
  <c r="Y338" i="1"/>
  <c r="N338" i="1"/>
  <c r="N336" i="1"/>
  <c r="J336" i="1" s="1"/>
  <c r="M333" i="1"/>
  <c r="N327" i="1"/>
  <c r="P319" i="1"/>
  <c r="N319" i="1"/>
  <c r="N308" i="1"/>
  <c r="K308" i="1"/>
  <c r="P307" i="1"/>
  <c r="N306" i="1"/>
  <c r="K306" i="1"/>
  <c r="N141" i="1"/>
  <c r="N139" i="1"/>
  <c r="K5" i="1"/>
  <c r="K4" i="1"/>
  <c r="Z453" i="2" l="1"/>
  <c r="O295" i="2"/>
  <c r="AA377" i="1"/>
  <c r="J399" i="1"/>
  <c r="H129" i="2"/>
  <c r="L525" i="2"/>
  <c r="L636" i="2"/>
  <c r="K311" i="2"/>
  <c r="K99" i="2"/>
  <c r="L491" i="2"/>
  <c r="F428" i="2"/>
  <c r="O505" i="2"/>
  <c r="L488" i="2"/>
  <c r="G531" i="2"/>
  <c r="G535" i="2" s="1"/>
  <c r="T496" i="2"/>
  <c r="T494" i="2"/>
</calcChain>
</file>

<file path=xl/sharedStrings.xml><?xml version="1.0" encoding="utf-8"?>
<sst xmlns="http://schemas.openxmlformats.org/spreadsheetml/2006/main" count="7792" uniqueCount="5615">
  <si>
    <t>б</t>
  </si>
  <si>
    <t>Реестр договоров на текущее обслуживание и текущий ремонт по ООО "ТОР ЛИФТ"</t>
  </si>
  <si>
    <t>№№ п/п</t>
  </si>
  <si>
    <t>Наименование заказчика</t>
  </si>
  <si>
    <t xml:space="preserve">Договор </t>
  </si>
  <si>
    <t>Дата окончания</t>
  </si>
  <si>
    <t>Подписан-ные акты 2016 г.</t>
  </si>
  <si>
    <t xml:space="preserve">  Акт на подписи</t>
  </si>
  <si>
    <t xml:space="preserve">нет актов </t>
  </si>
  <si>
    <t>Дог.субпод-             рядный</t>
  </si>
  <si>
    <t xml:space="preserve">Субподряд </t>
  </si>
  <si>
    <t>Стоимость по Дог.</t>
  </si>
  <si>
    <t>по Акту</t>
  </si>
  <si>
    <t>дата оплаты</t>
  </si>
  <si>
    <t xml:space="preserve">ГУЗ ГП№209 УЗ ЗАО </t>
  </si>
  <si>
    <t xml:space="preserve">Техническое обслуживание 2-х лифтов 1-го подъемника ул. Раменки д.29                                                       </t>
  </si>
  <si>
    <t>№ТО-28 от 04.12.09</t>
  </si>
  <si>
    <t>ежемес-но</t>
  </si>
  <si>
    <t>01, 02, 03- 2-а экз., 04</t>
  </si>
  <si>
    <t>ЗАО "ДО МЖК Бутово"</t>
  </si>
  <si>
    <r>
      <rPr>
        <sz val="9"/>
        <rFont val="Times New Roman"/>
        <family val="1"/>
        <charset val="204"/>
      </rPr>
      <t xml:space="preserve">Техническое обслуживание лифта  500 кг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Бульвар Дмитрия Донского д.16</t>
    </r>
  </si>
  <si>
    <t>Дог. №ТО-15 ПС  от 31.12.08</t>
  </si>
  <si>
    <r>
      <rPr>
        <sz val="9"/>
        <rFont val="Times New Roman"/>
        <family val="1"/>
        <charset val="204"/>
      </rPr>
      <t>за 01-12</t>
    </r>
    <r>
      <rPr>
        <sz val="9"/>
        <color rgb="FFFF00FF"/>
        <rFont val="Times New Roman"/>
        <family val="1"/>
        <charset val="204"/>
      </rPr>
      <t xml:space="preserve"> </t>
    </r>
    <r>
      <rPr>
        <sz val="9"/>
        <rFont val="Times New Roman"/>
        <family val="1"/>
        <charset val="204"/>
      </rPr>
      <t xml:space="preserve">                                            </t>
    </r>
  </si>
  <si>
    <t xml:space="preserve">  11/09, 12/09</t>
  </si>
  <si>
    <t>ДС №1 от 09.12.10 - нет</t>
  </si>
  <si>
    <r>
      <rPr>
        <sz val="9"/>
        <rFont val="Times New Roman"/>
        <family val="1"/>
        <charset val="204"/>
      </rPr>
      <t>12/10, 01/11 - 12/11, 01/12 - 12/12,  01/1</t>
    </r>
    <r>
      <rPr>
        <sz val="9"/>
        <color rgb="FFFF0000"/>
        <rFont val="Times New Roman"/>
        <family val="1"/>
        <charset val="204"/>
      </rPr>
      <t>3</t>
    </r>
    <r>
      <rPr>
        <sz val="9"/>
        <rFont val="Times New Roman"/>
        <family val="1"/>
        <charset val="204"/>
      </rPr>
      <t xml:space="preserve"> -12/13,                                                        01/14,      02/14 ,</t>
    </r>
  </si>
  <si>
    <t xml:space="preserve"> 07/14  </t>
  </si>
  <si>
    <t>Техническое освидетельствование и замер сопротивления изоляции</t>
  </si>
  <si>
    <t>Акт от 27.08.12</t>
  </si>
  <si>
    <t>Акт от 18.07.13</t>
  </si>
  <si>
    <t xml:space="preserve"> ГП№158 УЗ ЗАО </t>
  </si>
  <si>
    <t xml:space="preserve">Техническое обслуживание  лифтов ул. Веерная д.34                                                       </t>
  </si>
  <si>
    <t>№ТО-100/07 от 01.01.09</t>
  </si>
  <si>
    <t>на один м-ц</t>
  </si>
  <si>
    <t xml:space="preserve">ООО «СЕРВИСТОРГ-47» </t>
  </si>
  <si>
    <r>
      <rPr>
        <sz val="9"/>
        <rFont val="Times New Roman"/>
        <family val="1"/>
        <charset val="204"/>
      </rPr>
      <t xml:space="preserve">Техническое обслуживание лифта  1000 кг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УЛ. Малыгина д.2 корп.2</t>
    </r>
  </si>
  <si>
    <t xml:space="preserve"> дог. ТО-25 от 31.12.08</t>
  </si>
  <si>
    <t xml:space="preserve">01, 02, 04, 10, 11,12, 01/11-12/11, 01/12,-12/12, 01/13-12/13, 01/14 - 12/14, 01/15 - 12/15, </t>
  </si>
  <si>
    <t xml:space="preserve"> 01/16,  03/16,  </t>
  </si>
  <si>
    <r>
      <rPr>
        <sz val="9"/>
        <color rgb="FF0000FF"/>
        <rFont val="Arial"/>
        <family val="2"/>
        <charset val="204"/>
      </rPr>
      <t xml:space="preserve"> 02/16, </t>
    </r>
    <r>
      <rPr>
        <sz val="9"/>
        <color rgb="FFFF0000"/>
        <rFont val="Arial"/>
        <family val="2"/>
        <charset val="204"/>
      </rPr>
      <t xml:space="preserve"> </t>
    </r>
    <r>
      <rPr>
        <sz val="9"/>
        <color rgb="FF0000FF"/>
        <rFont val="Arial"/>
        <family val="2"/>
        <charset val="204"/>
      </rPr>
      <t xml:space="preserve">03/16,  </t>
    </r>
  </si>
  <si>
    <t xml:space="preserve">(03, 05, 07)/2010 (07, 08, 11,12)/2009, </t>
  </si>
  <si>
    <t>cделать акты недостающие</t>
  </si>
  <si>
    <t>6000 Акт от 30.06.15</t>
  </si>
  <si>
    <t>Акт от18.07.13</t>
  </si>
  <si>
    <t xml:space="preserve">ООО «Дымовское колбасное производство» </t>
  </si>
  <si>
    <r>
      <rPr>
        <sz val="9"/>
        <rFont val="Times New Roman"/>
        <family val="1"/>
        <charset val="204"/>
      </rPr>
      <t xml:space="preserve">Техническое обслуживание грузового подъемника  3200 кг                          </t>
    </r>
    <r>
      <rPr>
        <sz val="9"/>
        <color rgb="FF339966"/>
        <rFont val="Times New Roman"/>
        <family val="1"/>
        <charset val="204"/>
      </rPr>
      <t>ул. Крылатская д.37</t>
    </r>
  </si>
  <si>
    <t>Дог. №ТО-69  от 30.12.08</t>
  </si>
  <si>
    <r>
      <rPr>
        <sz val="9"/>
        <rFont val="Times New Roman"/>
        <family val="1"/>
        <charset val="204"/>
      </rPr>
      <t xml:space="preserve">10-10- 12-10, 01/11-  11/11, 02/12 - 12/12, </t>
    </r>
    <r>
      <rPr>
        <sz val="9"/>
        <color rgb="FF339966"/>
        <rFont val="Times New Roman"/>
        <family val="1"/>
        <charset val="204"/>
      </rPr>
      <t>01/13 - 12/13, 01/14 - 12/14,  01/15-12/15,</t>
    </r>
  </si>
  <si>
    <r>
      <rPr>
        <sz val="9"/>
        <color rgb="FFFF0000"/>
        <rFont val="Times New Roman"/>
        <family val="1"/>
        <charset val="204"/>
      </rPr>
      <t>01/16,</t>
    </r>
    <r>
      <rPr>
        <sz val="9"/>
        <color rgb="FF0000FF"/>
        <rFont val="Times New Roman"/>
        <family val="1"/>
        <charset val="204"/>
      </rPr>
      <t xml:space="preserve"> 02/16,  03/16,  </t>
    </r>
  </si>
  <si>
    <t>Замена приказного поста подъемника</t>
  </si>
  <si>
    <t>40330</t>
  </si>
  <si>
    <t>03.09.12</t>
  </si>
  <si>
    <r>
      <rPr>
        <sz val="10"/>
        <rFont val="Arial"/>
        <family val="2"/>
        <charset val="204"/>
      </rPr>
      <t xml:space="preserve">Поставка 6 дверей </t>
    </r>
    <r>
      <rPr>
        <b/>
        <sz val="10"/>
        <color rgb="FFFF0000"/>
        <rFont val="Arial"/>
        <family val="2"/>
        <charset val="204"/>
      </rPr>
      <t xml:space="preserve"> </t>
    </r>
  </si>
  <si>
    <t>Дог. 115П-14 от 06.10.4</t>
  </si>
  <si>
    <t>Накладные на 424000</t>
  </si>
  <si>
    <t>Замена дверей шахты</t>
  </si>
  <si>
    <t>Дог.№116-14 от 11.12.2014</t>
  </si>
  <si>
    <t>228000 От 23.01.15</t>
  </si>
  <si>
    <t>Комплекс ремонтных работ</t>
  </si>
  <si>
    <t>22/11 от 05.07.11</t>
  </si>
  <si>
    <t>220000</t>
  </si>
  <si>
    <r>
      <rPr>
        <b/>
        <sz val="9"/>
        <rFont val="Times New Roman"/>
        <family val="1"/>
        <charset val="204"/>
      </rPr>
      <t xml:space="preserve">ОАО "Московский ювелирный завод"                          </t>
    </r>
    <r>
      <rPr>
        <sz val="9"/>
        <color rgb="FFFF0000"/>
        <rFont val="Times New Roman"/>
        <family val="1"/>
        <charset val="204"/>
      </rPr>
      <t xml:space="preserve"> новый дог. С 2012 г.</t>
    </r>
  </si>
  <si>
    <r>
      <rPr>
        <sz val="9"/>
        <rFont val="Times New Roman"/>
        <family val="1"/>
        <charset val="204"/>
      </rPr>
      <t xml:space="preserve">Техническое обслуживание лифта  2000 кг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Нагатинская д.5</t>
    </r>
  </si>
  <si>
    <t xml:space="preserve">№70                                    от 28.12.2008 г.            </t>
  </si>
  <si>
    <t>01 - 09, 10, 11, 12, 01/11 - 12/11, 01/12,</t>
  </si>
  <si>
    <t xml:space="preserve"> </t>
  </si>
  <si>
    <t xml:space="preserve"> ДС№1  от 12.07.2010 г.</t>
  </si>
  <si>
    <t>Акт за 2011 г.</t>
  </si>
  <si>
    <t>Дополнительные работы по техническому обслуживанию лифта  2000 кг</t>
  </si>
  <si>
    <t xml:space="preserve"> ДС№2  от 21.03.2011 г.</t>
  </si>
  <si>
    <t>КС-2 на 49464,48 от 31.05/11</t>
  </si>
  <si>
    <t>дог. ТО-103/11 от 27.12.11</t>
  </si>
  <si>
    <t xml:space="preserve">01/12 - 12/12,  01/13 - 12/13, 01/14, 3/14,  04/14, </t>
  </si>
  <si>
    <t>Техническое обслуживание лифта  2000 кг                                                              Нагатинская д.5</t>
  </si>
  <si>
    <t>дог. ТО-143/14 от 27.12.13</t>
  </si>
  <si>
    <t xml:space="preserve"> 01/14 -  12/14,  01/15 - 12/15, </t>
  </si>
  <si>
    <r>
      <rPr>
        <b/>
        <sz val="9"/>
        <color rgb="FF339966"/>
        <rFont val="Times New Roman"/>
        <family val="1"/>
        <charset val="204"/>
      </rPr>
      <t xml:space="preserve">01/16, </t>
    </r>
    <r>
      <rPr>
        <b/>
        <sz val="9"/>
        <color rgb="FF0000FF"/>
        <rFont val="Times New Roman"/>
        <family val="1"/>
        <charset val="204"/>
      </rPr>
      <t xml:space="preserve">02/16, 03/16, </t>
    </r>
    <r>
      <rPr>
        <b/>
        <sz val="9"/>
        <color rgb="FF008080"/>
        <rFont val="Times New Roman"/>
        <family val="1"/>
        <charset val="204"/>
      </rPr>
      <t>04/16</t>
    </r>
  </si>
  <si>
    <t>Ремонт грузового лифта г/п 2000 кг</t>
  </si>
  <si>
    <t>ДС №1 к дог.ТО-143/14</t>
  </si>
  <si>
    <t>30736,76 от 23.11.15</t>
  </si>
  <si>
    <t>дог. ТО-163/16 от 10.03.16</t>
  </si>
  <si>
    <t xml:space="preserve"> 01/14 -  12/14,  01/15 -10/15, 12/15, </t>
  </si>
  <si>
    <t xml:space="preserve">01/16, 03/16,  </t>
  </si>
  <si>
    <t xml:space="preserve">11/15                                            02/16, </t>
  </si>
  <si>
    <t>Акт от 30.09.14</t>
  </si>
  <si>
    <r>
      <rPr>
        <sz val="9"/>
        <rFont val="Times New Roman"/>
        <family val="1"/>
        <charset val="204"/>
      </rPr>
      <t>ООО "И-Эм-Си""ЕМС"</t>
    </r>
    <r>
      <rPr>
        <b/>
        <sz val="9"/>
        <rFont val="Times New Roman"/>
        <family val="1"/>
        <charset val="204"/>
      </rPr>
      <t xml:space="preserve">                      ООО "ЕМС"</t>
    </r>
  </si>
  <si>
    <r>
      <rPr>
        <sz val="9"/>
        <rFont val="Times New Roman"/>
        <family val="1"/>
        <charset val="204"/>
      </rPr>
      <t xml:space="preserve">Техническое обслуживание 2-х лифтов   575 кг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  ул.Марксистская д.38 стр.1</t>
    </r>
  </si>
  <si>
    <t>Дог. №ТО-82   от 31.12.2008</t>
  </si>
  <si>
    <t>ежемес-но до 15-го опл.</t>
  </si>
  <si>
    <r>
      <rPr>
        <b/>
        <sz val="9"/>
        <rFont val="Times New Roman"/>
        <family val="1"/>
        <charset val="204"/>
      </rPr>
      <t>8000</t>
    </r>
    <r>
      <rPr>
        <sz val="9"/>
        <rFont val="Times New Roman"/>
        <family val="1"/>
        <charset val="204"/>
      </rPr>
      <t xml:space="preserve"> за 01, 02, 03,  04, 05, 06,</t>
    </r>
    <r>
      <rPr>
        <sz val="9"/>
        <color rgb="FFFF00FF"/>
        <rFont val="Times New Roman"/>
        <family val="1"/>
        <charset val="204"/>
      </rPr>
      <t xml:space="preserve"> </t>
    </r>
    <r>
      <rPr>
        <sz val="9"/>
        <rFont val="Times New Roman"/>
        <family val="1"/>
        <charset val="204"/>
      </rPr>
      <t>07</t>
    </r>
    <r>
      <rPr>
        <sz val="9"/>
        <color rgb="FFFF00FF"/>
        <rFont val="Times New Roman"/>
        <family val="1"/>
        <charset val="204"/>
      </rPr>
      <t xml:space="preserve"> </t>
    </r>
  </si>
  <si>
    <t xml:space="preserve">29.10.2010, 11/10, </t>
  </si>
  <si>
    <t xml:space="preserve"> 09/10, 08/10, все за 2009 г.</t>
  </si>
  <si>
    <t>Закрыт</t>
  </si>
  <si>
    <r>
      <rPr>
        <b/>
        <sz val="9"/>
        <rFont val="Times New Roman"/>
        <family val="1"/>
        <charset val="204"/>
      </rPr>
      <t>ООО "ЕМС" - по Соглашению от 29.06.12 - ООО "Торговый дом КРИСТАЛЛ"</t>
    </r>
    <r>
      <rPr>
        <b/>
        <sz val="9"/>
        <color rgb="FFFF0000"/>
        <rFont val="Times New Roman"/>
        <family val="1"/>
        <charset val="204"/>
      </rPr>
      <t xml:space="preserve"> - закрыт</t>
    </r>
  </si>
  <si>
    <t xml:space="preserve"> дом "КРИСТАЛЛ"</t>
  </si>
  <si>
    <t>5900                             6200</t>
  </si>
  <si>
    <t>Акт от 09.12.10,                                   20.12.11,</t>
  </si>
  <si>
    <t>Акт от 31.01.13</t>
  </si>
  <si>
    <t>Акт от 31.02.13</t>
  </si>
  <si>
    <r>
      <rPr>
        <sz val="9"/>
        <rFont val="Times New Roman"/>
        <family val="1"/>
        <charset val="204"/>
      </rPr>
      <t xml:space="preserve">Техническое обслуживание  лифта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  ул.Марксистская д.38 стр.1</t>
    </r>
  </si>
  <si>
    <t>Доп. Согл №1 от 01.09.10 к                     Дог. №ТО-82   от 31.12.2008 - привезти</t>
  </si>
  <si>
    <t>29/10 08.10-12/10, 01/11 - 12/11, 01/12 - 12/12, 01/13 -  09/13,</t>
  </si>
  <si>
    <t>06/14, 07/14,  08/14,</t>
  </si>
  <si>
    <t>ЗАО "АВИКОС"</t>
  </si>
  <si>
    <r>
      <rPr>
        <sz val="9"/>
        <rFont val="Times New Roman"/>
        <family val="1"/>
        <charset val="204"/>
      </rPr>
      <t xml:space="preserve">Техническое обслуживание лифта  400 кг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  ул.Садовая-Триумфальная д.20 корп.2</t>
    </r>
  </si>
  <si>
    <r>
      <rPr>
        <b/>
        <sz val="9"/>
        <rFont val="Times New Roman"/>
        <family val="1"/>
        <charset val="204"/>
      </rPr>
      <t xml:space="preserve">Дог. №ТО-20   от 01.01.2009 </t>
    </r>
    <r>
      <rPr>
        <b/>
        <sz val="9"/>
        <color rgb="FFFF0000"/>
        <rFont val="Times New Roman"/>
        <family val="1"/>
        <charset val="204"/>
      </rPr>
      <t>закрыт августом</t>
    </r>
  </si>
  <si>
    <t>01, 02, 03, 04,  05, 06, 07, 08,</t>
  </si>
  <si>
    <r>
      <rPr>
        <b/>
        <sz val="9"/>
        <rFont val="Times New Roman"/>
        <family val="1"/>
        <charset val="204"/>
      </rPr>
      <t>ИП Ильина Юлия Анатольевна</t>
    </r>
    <r>
      <rPr>
        <sz val="9"/>
        <rFont val="Times New Roman"/>
        <family val="1"/>
        <charset val="204"/>
      </rPr>
      <t xml:space="preserve"> </t>
    </r>
  </si>
  <si>
    <r>
      <rPr>
        <sz val="9"/>
        <rFont val="Times New Roman"/>
        <family val="1"/>
        <charset val="204"/>
      </rPr>
      <t xml:space="preserve">Техническое обслуживание лифта  400 кг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ул.Садовая-Триумфальная д.20 корп.2</t>
    </r>
  </si>
  <si>
    <t xml:space="preserve"> дог. ТО-20/10 от 01.09.10</t>
  </si>
  <si>
    <t xml:space="preserve">№3, №4, 29/10(№2),14.10/10 (6500), 09/1011 (№3),02/11(№5), 03/11                                      </t>
  </si>
  <si>
    <t xml:space="preserve"> № 8 за  04/11, № 9 за  05/11</t>
  </si>
  <si>
    <r>
      <rPr>
        <sz val="9"/>
        <color rgb="FFFF0000"/>
        <rFont val="Arial"/>
        <family val="2"/>
        <charset val="204"/>
      </rPr>
      <t>(01/11)</t>
    </r>
    <r>
      <rPr>
        <sz val="9"/>
        <rFont val="Arial"/>
        <family val="2"/>
        <charset val="204"/>
      </rPr>
      <t>09/10,№2 за окт.</t>
    </r>
  </si>
  <si>
    <r>
      <rPr>
        <b/>
        <sz val="9"/>
        <rFont val="Times New Roman"/>
        <family val="1"/>
        <charset val="204"/>
      </rPr>
      <t xml:space="preserve">ГУП Московский метрополитен эл.дэпо "Замоскворецкое"  </t>
    </r>
    <r>
      <rPr>
        <sz val="9"/>
        <color rgb="FFFF0000"/>
        <rFont val="Times New Roman"/>
        <family val="1"/>
        <charset val="204"/>
      </rPr>
      <t xml:space="preserve"> Закрыт </t>
    </r>
    <r>
      <rPr>
        <b/>
        <sz val="9"/>
        <rFont val="Times New Roman"/>
        <family val="1"/>
        <charset val="204"/>
      </rPr>
      <t xml:space="preserve">                 </t>
    </r>
  </si>
  <si>
    <r>
      <rPr>
        <sz val="9"/>
        <rFont val="Times New Roman"/>
        <family val="1"/>
        <charset val="204"/>
      </rPr>
      <t xml:space="preserve">Техническое обслуживание 3-х лифтов  1000 кг 500 кг 100 кг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Варшавское ш. д.93</t>
    </r>
  </si>
  <si>
    <t xml:space="preserve">№91                                    от 22.12.2009 г.            </t>
  </si>
  <si>
    <t>за 01- 07, 09-12</t>
  </si>
  <si>
    <t>08.10.г.</t>
  </si>
  <si>
    <t xml:space="preserve">№ 01-11                                      от  01.01.2011 г. ,                 </t>
  </si>
  <si>
    <t>01/11, 02/11, 03/11</t>
  </si>
  <si>
    <t>исправиьб договор - цена</t>
  </si>
  <si>
    <t>Дог. № ТО-12/11 от 01.04.11 г.</t>
  </si>
  <si>
    <t xml:space="preserve">04/11, 06/11 </t>
  </si>
  <si>
    <t xml:space="preserve"> 05/11, </t>
  </si>
  <si>
    <t>Дог. № ТО-21/11 от 01.06.11 г.</t>
  </si>
  <si>
    <t xml:space="preserve">07/11, 08/11, 09/11 </t>
  </si>
  <si>
    <t>Дог. № ТО-26/11 от 01.10.11 г.</t>
  </si>
  <si>
    <t>10/11, 11/11, 12/11</t>
  </si>
  <si>
    <t>2433 М от 01.01.12</t>
  </si>
  <si>
    <t xml:space="preserve"> 03/12, </t>
  </si>
  <si>
    <t>2485 М от 01.04.12</t>
  </si>
  <si>
    <t>ежемес-но (до 30.06.12)</t>
  </si>
  <si>
    <t xml:space="preserve"> 04/12,  05/12, 06/12</t>
  </si>
  <si>
    <t>5652М от 16.08.12</t>
  </si>
  <si>
    <t>ежемес-но (до 31.12.12)</t>
  </si>
  <si>
    <t>08, 09, 10/12, 11/12, 12/12</t>
  </si>
  <si>
    <t>07</t>
  </si>
  <si>
    <t>ДС №1от 27.09.12 к дог. 5652М</t>
  </si>
  <si>
    <t>89000</t>
  </si>
  <si>
    <t>от 30.09.12</t>
  </si>
  <si>
    <t>Передан в бух. 02.11.12 г.</t>
  </si>
  <si>
    <t>1015М от 07.02.13</t>
  </si>
  <si>
    <t>ежемес-но (1 квартал)</t>
  </si>
  <si>
    <t>01/13, 02/13, 03/13</t>
  </si>
  <si>
    <t>3892 М от 30.04.13</t>
  </si>
  <si>
    <t>Ежемес-но (2 квартал)</t>
  </si>
  <si>
    <t>04/13, 05/13, 06/13</t>
  </si>
  <si>
    <t>6626 М от 11.06.13</t>
  </si>
  <si>
    <t>Ежемес-но 3 квартал)</t>
  </si>
  <si>
    <t>07./13, 08/13, 09/13</t>
  </si>
  <si>
    <t>10218 м  от 14.10.13</t>
  </si>
  <si>
    <t>Ежемес-но 4-квартал)</t>
  </si>
  <si>
    <t xml:space="preserve"> 10/13, 11/13</t>
  </si>
  <si>
    <t xml:space="preserve"> Закрыт </t>
  </si>
  <si>
    <t>Замена: ограничителя скорости</t>
  </si>
  <si>
    <t>19.04.12</t>
  </si>
  <si>
    <t>Замена: эл. Двигателя, понижающего трансф-ра</t>
  </si>
  <si>
    <t xml:space="preserve"> сент  2010</t>
  </si>
  <si>
    <r>
      <rPr>
        <b/>
        <sz val="9"/>
        <rFont val="Times New Roman"/>
        <family val="1"/>
        <charset val="204"/>
      </rPr>
      <t>ГУЗ ГП№102 УЗ ЗАО  -</t>
    </r>
    <r>
      <rPr>
        <sz val="9"/>
        <rFont val="Times New Roman"/>
        <family val="1"/>
        <charset val="204"/>
      </rPr>
      <t xml:space="preserve"> </t>
    </r>
  </si>
  <si>
    <t xml:space="preserve">Техн. Освидет-е и змер сопр-я </t>
  </si>
  <si>
    <t>№128-11 от 15.11.11</t>
  </si>
  <si>
    <t xml:space="preserve"> 12/11</t>
  </si>
  <si>
    <r>
      <rPr>
        <sz val="9"/>
        <rFont val="Times New Roman"/>
        <family val="1"/>
        <charset val="204"/>
      </rPr>
      <t xml:space="preserve">Техническое обслуживание 2-х лифтов  400 кг 500    кг              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ул. Поклонная д.8/3</t>
    </r>
  </si>
  <si>
    <t>доп. Акт</t>
  </si>
  <si>
    <t xml:space="preserve">01- 10, 01.12  2010 </t>
  </si>
  <si>
    <t xml:space="preserve">за ноябрь, 9440 - техн. Освидет-е </t>
  </si>
  <si>
    <t>( 12)/ 2009  нет дог. от 28.12.08 г.</t>
  </si>
  <si>
    <t>№100/03 от 28.12.09; №27-10 от 15.12.10</t>
  </si>
  <si>
    <t xml:space="preserve">01/11  - 12/11,  </t>
  </si>
  <si>
    <t>Уточнить наличие Акта</t>
  </si>
  <si>
    <t xml:space="preserve">ООО "МАНАРДА-1" </t>
  </si>
  <si>
    <r>
      <rPr>
        <sz val="9"/>
        <rFont val="Times New Roman"/>
        <family val="1"/>
        <charset val="204"/>
      </rPr>
      <t xml:space="preserve">Техническое обслуживание 2-х лифтов 630 кг 100    кг                     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Весковский пер. д.7</t>
    </r>
  </si>
  <si>
    <t xml:space="preserve"> дог. ТО-19ПС от 01.01.09 ДС от 01.01.10</t>
  </si>
  <si>
    <t>6200                 5040</t>
  </si>
  <si>
    <t>01, 03, 04, 05/10</t>
  </si>
  <si>
    <t>за февраль</t>
  </si>
  <si>
    <r>
      <rPr>
        <sz val="9"/>
        <color rgb="FFFF0000"/>
        <rFont val="Arial"/>
        <family val="2"/>
        <charset val="204"/>
      </rPr>
      <t>01/11</t>
    </r>
    <r>
      <rPr>
        <sz val="9"/>
        <rFont val="Arial"/>
        <family val="2"/>
        <charset val="204"/>
      </rPr>
      <t xml:space="preserve"> (10, 09, 08, 07, 06, 02)/2010,                   ( c 04 по 12)/ 2009 г</t>
    </r>
  </si>
  <si>
    <t xml:space="preserve">  дог. ТО-10/11 от 25.03.11 </t>
  </si>
  <si>
    <t>04/11,</t>
  </si>
  <si>
    <t>НПФ«Газфонд»                          (Ф-сервис)</t>
  </si>
  <si>
    <t>Техническое обслуживание  лифта</t>
  </si>
  <si>
    <t>01, 02, 03, 04,  05, 06 (все)</t>
  </si>
  <si>
    <t>ООО "Ф-Сервис" (изменился на СТРОЙ-КАПИТАЛ)</t>
  </si>
  <si>
    <r>
      <rPr>
        <sz val="9"/>
        <rFont val="Times New Roman"/>
        <family val="1"/>
        <charset val="204"/>
      </rPr>
      <t xml:space="preserve">Техническое обслуживание 2-х лифтов 1000 кг 500кг  </t>
    </r>
    <r>
      <rPr>
        <sz val="9"/>
        <color rgb="FF339966"/>
        <rFont val="Times New Roman"/>
        <family val="1"/>
        <charset val="204"/>
      </rPr>
      <t>Симферопольский бульвар д.13</t>
    </r>
  </si>
  <si>
    <t>Дог. № 100/12 от 24.12.2008 г. на один год</t>
  </si>
  <si>
    <t>07/10-12/10, 01/11</t>
  </si>
  <si>
    <t>Дог. № ТО-20/10 от 01.07.2010 г. ДС №1 от 09.12.10</t>
  </si>
  <si>
    <t>14076; 15600</t>
  </si>
  <si>
    <t>02/11 -12/11</t>
  </si>
  <si>
    <t>08/11, 01/12, 12/13   01/14, 02/14 , 3/14    04/14, , 07/14, 08/14,</t>
  </si>
  <si>
    <r>
      <rPr>
        <b/>
        <sz val="9"/>
        <color rgb="FFFF0000"/>
        <rFont val="Times New Roman"/>
        <family val="1"/>
        <charset val="204"/>
      </rPr>
      <t xml:space="preserve">Оплата по декабрь включительно </t>
    </r>
    <r>
      <rPr>
        <b/>
        <sz val="9"/>
        <color rgb="FFFF0000"/>
        <rFont val="Times New Roman"/>
        <family val="1"/>
        <charset val="204"/>
      </rPr>
      <t>переименован на Стройкапитал</t>
    </r>
  </si>
  <si>
    <r>
      <rPr>
        <b/>
        <sz val="9"/>
        <rFont val="Times New Roman"/>
        <family val="1"/>
        <charset val="204"/>
      </rPr>
      <t>ООО ДК "Золотой дворец"</t>
    </r>
    <r>
      <rPr>
        <b/>
        <sz val="9"/>
        <color rgb="FFFF0000"/>
        <rFont val="Times New Roman"/>
        <family val="1"/>
        <charset val="204"/>
      </rPr>
      <t xml:space="preserve"> Закрыт с июля 2011 г.</t>
    </r>
  </si>
  <si>
    <r>
      <rPr>
        <sz val="9"/>
        <rFont val="Times New Roman"/>
        <family val="1"/>
        <charset val="204"/>
      </rPr>
      <t xml:space="preserve">Техническое обслуживание лифта  630 кг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   3-я</t>
    </r>
    <r>
      <rPr>
        <sz val="9"/>
        <rFont val="Times New Roman"/>
        <family val="1"/>
        <charset val="204"/>
      </rPr>
      <t xml:space="preserve"> </t>
    </r>
    <r>
      <rPr>
        <sz val="9"/>
        <color rgb="FF339966"/>
        <rFont val="Times New Roman"/>
        <family val="1"/>
        <charset val="204"/>
      </rPr>
      <t>ул.Ямского поля д.15</t>
    </r>
  </si>
  <si>
    <t>за июнь,                                               2010</t>
  </si>
  <si>
    <t>(с  01по 05)/2010,                       (c 05 по 12)/2009 г.</t>
  </si>
  <si>
    <t>cделать для подписи аты</t>
  </si>
  <si>
    <t xml:space="preserve"> дог. ТО-37 от 01/01/2009</t>
  </si>
  <si>
    <r>
      <rPr>
        <sz val="9"/>
        <rFont val="Times New Roman"/>
        <family val="1"/>
        <charset val="204"/>
      </rPr>
      <t>№</t>
    </r>
    <r>
      <rPr>
        <sz val="9"/>
        <color rgb="FFFF0000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 xml:space="preserve"> от </t>
    </r>
    <r>
      <rPr>
        <sz val="9"/>
        <color rgb="FF339966"/>
        <rFont val="Times New Roman"/>
        <family val="1"/>
        <charset val="204"/>
      </rPr>
      <t>30.09</t>
    </r>
    <r>
      <rPr>
        <sz val="9"/>
        <rFont val="Times New Roman"/>
        <family val="1"/>
        <charset val="204"/>
      </rPr>
      <t>, 29/10, №5 -12, 01/11 - 06/11</t>
    </r>
  </si>
  <si>
    <t xml:space="preserve"> 07/11</t>
  </si>
  <si>
    <t xml:space="preserve"> дог. ТО-37/2 от 01.07.2010 </t>
  </si>
  <si>
    <t>июль - 2-а акта</t>
  </si>
  <si>
    <t xml:space="preserve">ЗАО "Крафтвэй корпорэйшн ПЛС" </t>
  </si>
  <si>
    <r>
      <rPr>
        <sz val="9"/>
        <rFont val="Times New Roman"/>
        <family val="1"/>
        <charset val="204"/>
      </rPr>
      <t xml:space="preserve">Техническое обслуживание 2-х подъемников   575 кг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  ул.3-я Мытищинская  д.16</t>
    </r>
  </si>
  <si>
    <t>N ТО-38 от 01.04.2010</t>
  </si>
  <si>
    <t>за квартал</t>
  </si>
  <si>
    <r>
      <rPr>
        <b/>
        <sz val="9"/>
        <color rgb="FF000000"/>
        <rFont val="Times New Roman"/>
        <family val="1"/>
        <charset val="204"/>
      </rPr>
      <t xml:space="preserve">Акт за янв. февр. по 8200, 09/10, 12/10, 2-й кв.2010, 1-кв 2011, 2-й кв.11 г., 3-й кв.11 г., 4-й кв.11 г.,  </t>
    </r>
    <r>
      <rPr>
        <b/>
        <sz val="9"/>
        <color rgb="FF0000FF"/>
        <rFont val="Times New Roman"/>
        <family val="1"/>
        <charset val="204"/>
      </rPr>
      <t>2-й кв. 2012 г.  3-й кв. 2012,  г. 4-й кв.</t>
    </r>
    <r>
      <rPr>
        <b/>
        <sz val="9"/>
        <color rgb="FF000000"/>
        <rFont val="Times New Roman"/>
        <family val="1"/>
        <charset val="204"/>
      </rPr>
      <t xml:space="preserve">, </t>
    </r>
    <r>
      <rPr>
        <b/>
        <sz val="9"/>
        <color rgb="FF008000"/>
        <rFont val="Times New Roman"/>
        <family val="1"/>
        <charset val="204"/>
      </rPr>
      <t>2- кв. 13 г., 3- кв. 13 г., 4- кв. 13 г</t>
    </r>
  </si>
  <si>
    <t xml:space="preserve">                                   г. 1-й кв. 12  г. 1-й кв. 13, 1-й кв.14 г., 4- rd/14</t>
  </si>
  <si>
    <t>Узнать доверенность от________</t>
  </si>
  <si>
    <t>ООО «ВОСТОКИНВЕСТСТРОЙ</t>
  </si>
  <si>
    <t>Техническое обслуживание 5-и лифтов   г. Москва, Новоданиловская набережная, дом 2 корп.1 – МГАВТ ГОУ ВПО.</t>
  </si>
  <si>
    <t xml:space="preserve">Дог. № ТО-15/11 от 01.07.2011 г. </t>
  </si>
  <si>
    <t>07/11,08/11,09/11, 11/11</t>
  </si>
  <si>
    <t>, 01/12</t>
  </si>
  <si>
    <t>Бажаев И.Ю.</t>
  </si>
  <si>
    <t>Монтаж 2-х лифтов</t>
  </si>
  <si>
    <t>б/н</t>
  </si>
  <si>
    <t>ГБУЗ ГП №102 - закрыт</t>
  </si>
  <si>
    <t>Техническое обслуживание 2-х лифтов  400 кг 500кг                                                                                                         ул. Поклонная д.8/3</t>
  </si>
  <si>
    <t>ТО-106/12 от 01.01.12</t>
  </si>
  <si>
    <t>01/12 - 12/12</t>
  </si>
  <si>
    <t xml:space="preserve"> замер сопр-я</t>
  </si>
  <si>
    <t>ТО-107/12 от 16.01.12</t>
  </si>
  <si>
    <t>Акт на Т Замер.</t>
  </si>
  <si>
    <t>ТО-108/12 от 16.01.12</t>
  </si>
  <si>
    <t>Акт на Техн. Осв.</t>
  </si>
  <si>
    <t xml:space="preserve">ООО "Строй Капитал"                (Ф-cервис)"- Газфонд </t>
  </si>
  <si>
    <t>Техническое обслуживание  2-х лифтов                                                                                                         г.Москва, Симферопольский бульвар , д.13</t>
  </si>
  <si>
    <t>04-ТО/12 от 15.02.12 (с автомат. продолжением)</t>
  </si>
  <si>
    <t>Акт на Техн. Осв. и замену КВШ</t>
  </si>
  <si>
    <t>40000-?</t>
  </si>
  <si>
    <t>75000</t>
  </si>
  <si>
    <t>Акт на замна тяговых канатов и замена КВШ 75000</t>
  </si>
  <si>
    <t>01/12 - 12/12, 01/13 -  12/13,  01/14 - 12/14</t>
  </si>
  <si>
    <t xml:space="preserve">ФБОУ ВПО «МГАВТ» </t>
  </si>
  <si>
    <t xml:space="preserve">ТО-109/12 от« 10» января  2012г. </t>
  </si>
  <si>
    <t>янв. И февр.</t>
  </si>
  <si>
    <t>02/12</t>
  </si>
  <si>
    <t>Техническое обслуживание  лифтового хозяйства                                                                                                         г.Москва, Новоданиловская набережная, д. 2 корп.1</t>
  </si>
  <si>
    <t xml:space="preserve">ЗК-012 от« 10» от 13.03.2012г. </t>
  </si>
  <si>
    <t>по 30.06.12</t>
  </si>
  <si>
    <r>
      <rPr>
        <b/>
        <sz val="9"/>
        <rFont val="Times New Roman"/>
        <family val="1"/>
        <charset val="204"/>
      </rPr>
      <t xml:space="preserve">29500 - </t>
    </r>
    <r>
      <rPr>
        <b/>
        <sz val="9"/>
        <color rgb="FFFF0000"/>
        <rFont val="Times New Roman"/>
        <family val="1"/>
        <charset val="204"/>
      </rPr>
      <t xml:space="preserve">март </t>
    </r>
    <r>
      <rPr>
        <b/>
        <sz val="9"/>
        <rFont val="Times New Roman"/>
        <family val="1"/>
        <charset val="204"/>
      </rPr>
      <t xml:space="preserve">              59000 далее</t>
    </r>
  </si>
  <si>
    <t>03/12, 04/12, 05/12, 06/12</t>
  </si>
  <si>
    <t xml:space="preserve">ТО-112 от 02.07.2012г. </t>
  </si>
  <si>
    <t>по 31.07.12</t>
  </si>
  <si>
    <t>07/12</t>
  </si>
  <si>
    <t xml:space="preserve">ТО-113 от 02.07.2012г. </t>
  </si>
  <si>
    <t>по 31.08.12</t>
  </si>
  <si>
    <t xml:space="preserve">08/12, </t>
  </si>
  <si>
    <t xml:space="preserve">ТО-114 от 02.07.2012г. </t>
  </si>
  <si>
    <t>по 30.09.12</t>
  </si>
  <si>
    <t>09/12</t>
  </si>
  <si>
    <t xml:space="preserve">ТО-116/12 от 01.10.2012г. </t>
  </si>
  <si>
    <t>по 31.10.12</t>
  </si>
  <si>
    <t>10/12</t>
  </si>
  <si>
    <t xml:space="preserve">ТО-117/12 от 01.11.2012г. </t>
  </si>
  <si>
    <t>по 30.11.12</t>
  </si>
  <si>
    <t>11/12</t>
  </si>
  <si>
    <t xml:space="preserve">ТО-118/12 от 01.12.2012г. </t>
  </si>
  <si>
    <t>по 31.12.12</t>
  </si>
  <si>
    <t>12/12</t>
  </si>
  <si>
    <t xml:space="preserve">ТО-122/13 от 09.01.2013г. </t>
  </si>
  <si>
    <t>по 31.01.13</t>
  </si>
  <si>
    <t xml:space="preserve"> 01/13, </t>
  </si>
  <si>
    <t xml:space="preserve">ТО-123/13 от 01.02.2013г. </t>
  </si>
  <si>
    <t>по 28.02.13</t>
  </si>
  <si>
    <t xml:space="preserve">, 02/13, </t>
  </si>
  <si>
    <t xml:space="preserve">ТО-128/13 от 01.03.2013г. </t>
  </si>
  <si>
    <t>по 31.03.13</t>
  </si>
  <si>
    <t xml:space="preserve">, 03/13, </t>
  </si>
  <si>
    <t xml:space="preserve">ТО-131/13 от 01.04.2013г. </t>
  </si>
  <si>
    <t>по 30.04.13</t>
  </si>
  <si>
    <t xml:space="preserve">, 04/13, </t>
  </si>
  <si>
    <t xml:space="preserve">ТО-132/13 от 01.05.2013г. </t>
  </si>
  <si>
    <t>по 31.05.13</t>
  </si>
  <si>
    <t xml:space="preserve">05/13, </t>
  </si>
  <si>
    <t>ВШЭ 2013 - 2014 г.</t>
  </si>
  <si>
    <t>2/4.5-01-12</t>
  </si>
  <si>
    <r>
      <rPr>
        <sz val="9"/>
        <rFont val="Arial"/>
        <family val="2"/>
        <charset val="204"/>
      </rPr>
      <t xml:space="preserve">2700000 </t>
    </r>
    <r>
      <rPr>
        <sz val="9"/>
        <rFont val="Arial"/>
        <family val="2"/>
        <charset val="204"/>
      </rPr>
      <t>250000  - в мес-ц</t>
    </r>
  </si>
  <si>
    <t>01/12 -08/12</t>
  </si>
  <si>
    <t>Аварийно-техническое обсл.лифтов ВШЭ</t>
  </si>
  <si>
    <t>ДС №1 от 19.09.12</t>
  </si>
  <si>
    <r>
      <rPr>
        <sz val="9"/>
        <rFont val="Arial"/>
        <family val="2"/>
        <charset val="204"/>
      </rPr>
      <t xml:space="preserve">2796000 </t>
    </r>
    <r>
      <rPr>
        <sz val="9"/>
        <rFont val="Arial"/>
        <family val="2"/>
        <charset val="204"/>
      </rPr>
      <t xml:space="preserve">          249000 -  месяц</t>
    </r>
  </si>
  <si>
    <t>09/12, 10/12, 11/12, 12/12</t>
  </si>
  <si>
    <t>155/4.11-12-12 от 29.12.12                и ДС №№ 2,3,4</t>
  </si>
  <si>
    <r>
      <rPr>
        <sz val="9"/>
        <rFont val="Arial"/>
        <family val="2"/>
        <charset val="204"/>
      </rPr>
      <t xml:space="preserve">2565000 </t>
    </r>
    <r>
      <rPr>
        <sz val="9"/>
        <rFont val="Arial"/>
        <family val="2"/>
        <charset val="204"/>
      </rPr>
      <t>213750  - в мес-ц</t>
    </r>
  </si>
  <si>
    <t xml:space="preserve">01.13 - 12/13,  01/14 </t>
  </si>
  <si>
    <t>Замена лебедки на Славянской пл.</t>
  </si>
  <si>
    <t>от 31.10.12</t>
  </si>
  <si>
    <t>Замена преобразователя</t>
  </si>
  <si>
    <t>от 14.03.12</t>
  </si>
  <si>
    <t>Замена шкива и ограничителя скорости</t>
  </si>
  <si>
    <t>от 31.05.12</t>
  </si>
  <si>
    <t>Нет КС-3</t>
  </si>
  <si>
    <t>Замена КВШ на Кирпичной</t>
  </si>
  <si>
    <t>Замена червячной пары на Пионерской</t>
  </si>
  <si>
    <t>Ремонт  подъемника 1  г.Москва,  Мясницкая ул.,д.20</t>
  </si>
  <si>
    <t>Ремонт  подъемника 2  г.Москва,  Мясницкая ул.,д.20</t>
  </si>
  <si>
    <t xml:space="preserve">№ТР-125/13 от 01 марта 2013 </t>
  </si>
  <si>
    <t xml:space="preserve">Замена двигателя  г.Москва,  Трехсвятительский пер. , д.3 </t>
  </si>
  <si>
    <t>№ТО-124/13 от 04 февраля 2013</t>
  </si>
  <si>
    <t>ремонт пассажирского лифта г/п 1000 кг рег. № 123743</t>
  </si>
  <si>
    <t>№ТР-131/13 от 14 июня 2013</t>
  </si>
  <si>
    <t xml:space="preserve">ремонт пассажирского лифта г/п 1000 кг рег. № 123178  </t>
  </si>
  <si>
    <t>№ТР-134/13 от 01 июля 2013</t>
  </si>
  <si>
    <t xml:space="preserve">Замена двигателя  г.Москва,  ул.Мясницкая дом 20 </t>
  </si>
  <si>
    <t>№ ТР-138/13 от 25.09.13</t>
  </si>
  <si>
    <t>"Вороново"</t>
  </si>
  <si>
    <t>Ремонт лифта 400 кг</t>
  </si>
  <si>
    <t>№ТР 144/14 от 09.01.14</t>
  </si>
  <si>
    <t>Ремонт  пассажирского лифта  г/п 400 кг рег.№206067</t>
  </si>
  <si>
    <t>№ТР-145/14 от 03.03.14 г.</t>
  </si>
  <si>
    <t>Ремонт  пассажирского лифта  г/п 630 кг рег.№050630</t>
  </si>
  <si>
    <t>№ТР-149/14 от 07.04.14 г.</t>
  </si>
  <si>
    <t>Ремонт  двух малых грузовых лифта  г/п 100 кг рег.№ 001993 и 001994</t>
  </si>
  <si>
    <t>№ТР-150/14 от 05.05.14 г.</t>
  </si>
  <si>
    <t>Ремонт  лифта  г/п 630 кг рег.           № 050631</t>
  </si>
  <si>
    <t>№ТР-151/14 от 09.06.14 г.</t>
  </si>
  <si>
    <t>№ТР-154/14 от 07.07.14 г.</t>
  </si>
  <si>
    <t>99420,02 Нет КС-3</t>
  </si>
  <si>
    <t>Ремонт пассажирских лифтов № рег.45548 г/п 500 кг и № рег. 43535 г/п 350 кг  по адресу  г. Москва, Славянская пл.  дом 4 стр.2</t>
  </si>
  <si>
    <t>№ТР-156/14 от 01.12.14 г.</t>
  </si>
  <si>
    <t>97768,97 от 19.12.2014</t>
  </si>
  <si>
    <t>Аварийно-техническое обсл.лифтов ВШЭ "Вороново"</t>
  </si>
  <si>
    <t>№ 105/4.11-12-13 от 27.12.13</t>
  </si>
  <si>
    <t>01/14 - 11/14</t>
  </si>
  <si>
    <t>, 12/14</t>
  </si>
  <si>
    <t>ТАРКЕТТ СОММЕР</t>
  </si>
  <si>
    <t xml:space="preserve">Замена червячной пары редуктора лебедки подъемника г/п 5000 кг </t>
  </si>
  <si>
    <t>№ РЛ-04-2014 от 5.05.14</t>
  </si>
  <si>
    <t>107704,02                                      Акт скан от 16.05</t>
  </si>
  <si>
    <t xml:space="preserve">Техническое обслуживание  3-х лифтов                            Московская область, город Мытищи, улица Силикатная, дом 19.  </t>
  </si>
  <si>
    <t>№ ТО-2/2012  12.03.2012                    срок без ограничений</t>
  </si>
  <si>
    <t xml:space="preserve"> 04/12 - 12/12, 01/13 - 12/13, 01/14-12/14,  01/15,  02/15 ,   03/15, 04/15, </t>
  </si>
  <si>
    <t>июнь не обсл.</t>
  </si>
  <si>
    <t xml:space="preserve"> №СЕ 002-10(14) от 13.10.14</t>
  </si>
  <si>
    <t xml:space="preserve">ЗАО АБ «БПФ» </t>
  </si>
  <si>
    <r>
      <rPr>
        <sz val="9"/>
        <rFont val="Times New Roman"/>
        <family val="1"/>
        <charset val="204"/>
      </rPr>
      <t xml:space="preserve">Техническое обслуживание  лифта              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г. Москва, Ленинградский пр-т, дом 59                                                </t>
    </r>
  </si>
  <si>
    <t>разовое техн. Обсл.</t>
  </si>
  <si>
    <t>от 18.01.2012 г.</t>
  </si>
  <si>
    <t>от 17.06.2012 г.</t>
  </si>
  <si>
    <r>
      <rPr>
        <b/>
        <sz val="9"/>
        <rFont val="Arial"/>
        <family val="2"/>
        <charset val="204"/>
      </rPr>
      <t xml:space="preserve">ООО "Инжгрупсервис" - </t>
    </r>
    <r>
      <rPr>
        <b/>
        <sz val="9"/>
        <color rgb="FFFF0000"/>
        <rFont val="Arial"/>
        <family val="2"/>
        <charset val="204"/>
      </rPr>
      <t>переименован</t>
    </r>
  </si>
  <si>
    <t>Техническое обслуживание  3-х лифтов г. Москва, ул.Шаболовка, д.26</t>
  </si>
  <si>
    <r>
      <rPr>
        <b/>
        <sz val="9"/>
        <rFont val="Times New Roman"/>
        <family val="1"/>
        <charset val="204"/>
      </rPr>
      <t xml:space="preserve"> дог. ТО-16/11 от 02.07.12                     </t>
    </r>
    <r>
      <rPr>
        <b/>
        <sz val="9"/>
        <color rgb="FFFF0000"/>
        <rFont val="Times New Roman"/>
        <family val="1"/>
        <charset val="204"/>
      </rPr>
      <t xml:space="preserve"> на год  продл. Авт.</t>
    </r>
  </si>
  <si>
    <t xml:space="preserve"> 07/12 -12/12, 01/13- 12/13  01/14 , </t>
  </si>
  <si>
    <t xml:space="preserve">9/12,  02/14  , 3/14 </t>
  </si>
  <si>
    <t>Бидило И.В.</t>
  </si>
  <si>
    <t xml:space="preserve">Техническое обслуживание  лифта </t>
  </si>
  <si>
    <t>№ТО-110/12 от 01августа 2012</t>
  </si>
  <si>
    <t xml:space="preserve">ЗАО «777 и Компания»,  </t>
  </si>
  <si>
    <t xml:space="preserve">Техническое обслуживание  2-х грузовых лифтов,                                                     Москва, ул. Шипиловская, д.44А </t>
  </si>
  <si>
    <t>ТО-18/12 от 02.07.12</t>
  </si>
  <si>
    <r>
      <rPr>
        <sz val="9"/>
        <color rgb="FF339966"/>
        <rFont val="Arial"/>
        <family val="2"/>
        <charset val="204"/>
      </rPr>
      <t>09/12,</t>
    </r>
    <r>
      <rPr>
        <sz val="9"/>
        <rFont val="Arial"/>
        <family val="2"/>
        <charset val="204"/>
      </rPr>
      <t xml:space="preserve"> -</t>
    </r>
    <r>
      <rPr>
        <sz val="9"/>
        <color rgb="FF339966"/>
        <rFont val="Arial"/>
        <family val="2"/>
        <charset val="204"/>
      </rPr>
      <t>12/12, 01/13 - 05/13,</t>
    </r>
  </si>
  <si>
    <t xml:space="preserve"> 06/13, 07/13, 08/13, 09/13,10/13</t>
  </si>
  <si>
    <t xml:space="preserve">Техническое обслуживание  пассажирского лифта ,                                                       Москва, ул. Шипиловская, д.44А </t>
  </si>
  <si>
    <t>ТО-115/12 от 01.10.12</t>
  </si>
  <si>
    <t>11/12,12/12, 01/13, 02/13, 03/13, 04/13, 05/13,</t>
  </si>
  <si>
    <t xml:space="preserve">  06/13, 07/13, 08/13, 09/13,10/13</t>
  </si>
  <si>
    <t xml:space="preserve">
     МУЗ "ПДГБ"</t>
  </si>
  <si>
    <t xml:space="preserve">Техническое обслуживание и ремонт электрического пассажирского лифта на 4 остановки г/п 630 кг                                                 г. Подольск, ул._Кирова, д. 38 корп.1. </t>
  </si>
  <si>
    <t>№ ТО-111/12 от 20.12.12</t>
  </si>
  <si>
    <r>
      <rPr>
        <b/>
        <sz val="9"/>
        <rFont val="Arial"/>
        <family val="2"/>
        <charset val="204"/>
      </rPr>
      <t xml:space="preserve"> Дружинин Евгений Сергеевич, </t>
    </r>
    <r>
      <rPr>
        <b/>
        <sz val="9"/>
        <color rgb="FFFF0000"/>
        <rFont val="Arial"/>
        <family val="2"/>
        <charset val="204"/>
      </rPr>
      <t>(переименован на Квант-Н с 01.07.13)</t>
    </r>
  </si>
  <si>
    <t xml:space="preserve">Ремонт  подъемника и его дальнейшее ТО  г.Москва, 3-я Мытищинская ул., стр. 60  </t>
  </si>
  <si>
    <t>№ ТО-120/12 от 19.12.12</t>
  </si>
  <si>
    <t>ремонт</t>
  </si>
  <si>
    <t>34000 - нал</t>
  </si>
  <si>
    <t xml:space="preserve"> 02/13, 03/13,  04/13, 05/13</t>
  </si>
  <si>
    <t>, 06/13,, 09/13</t>
  </si>
  <si>
    <t xml:space="preserve">Техническое обслуживание 3-х (трех) подъемных электрогидравлических столов (СП, 2СП, 3СП3В), </t>
  </si>
  <si>
    <t>№ ТО-129/13 от __.__.13</t>
  </si>
  <si>
    <t>`</t>
  </si>
  <si>
    <t xml:space="preserve">ТСЖ «Сретенка 9» </t>
  </si>
  <si>
    <t xml:space="preserve">Техническое обслуживание 3-х (трех) лифтов фирмы «KONE» (Финляндия)                                г. Москва, ул. Сретенка, д. 9.  </t>
  </si>
  <si>
    <t>№ ТО-130/13 от 01.04.13</t>
  </si>
  <si>
    <t xml:space="preserve">16 900,00 </t>
  </si>
  <si>
    <t>04/13 - 12/13,     01/14, 3/14</t>
  </si>
  <si>
    <t xml:space="preserve">  04/14, 05/14, 06/14, 07/14, 08/14, 9/14, 10/14 - </t>
  </si>
  <si>
    <t>не обслуживаем</t>
  </si>
  <si>
    <t>ГСКБ  "Алмаз-Антей"</t>
  </si>
  <si>
    <t xml:space="preserve">Услуги по обсл-ю 4-х лифтов г. Москва, Ленинский пр-т, дом 80 корп. 16. </t>
  </si>
  <si>
    <t>№ ТУ-135/13 от 01.04.13</t>
  </si>
  <si>
    <t xml:space="preserve">30 000,00 </t>
  </si>
  <si>
    <t xml:space="preserve">Благотворительный фонд поддержки участников </t>
  </si>
  <si>
    <r>
      <rPr>
        <sz val="9"/>
        <rFont val="Arial"/>
        <family val="2"/>
        <charset val="204"/>
      </rPr>
      <t xml:space="preserve">Техническое обслуживание 3-х лифтов (2пассажирских  г/п 500 кг и 630 кг и  малого грузового)                                          </t>
    </r>
    <r>
      <rPr>
        <sz val="9"/>
        <rFont val="Times New Roman"/>
        <family val="1"/>
        <charset val="204"/>
      </rPr>
      <t xml:space="preserve">г.Москва, ул. Крутицкий Вал, д.14. </t>
    </r>
  </si>
  <si>
    <t>№ ТО-137/13 от 14.08.13</t>
  </si>
  <si>
    <t>ежемес-но с 1.09.13</t>
  </si>
  <si>
    <t>10/13</t>
  </si>
  <si>
    <t>переименован</t>
  </si>
  <si>
    <t>ООО ДДТ Логистик</t>
  </si>
  <si>
    <r>
      <rPr>
        <sz val="9"/>
        <rFont val="Arial"/>
        <family val="2"/>
        <charset val="204"/>
      </rPr>
      <t xml:space="preserve">Техническое обслуживание 3-х подъемников                                      </t>
    </r>
    <r>
      <rPr>
        <sz val="9"/>
        <rFont val="Times New Roman"/>
        <family val="1"/>
        <charset val="204"/>
      </rPr>
      <t>МО,Ленинский муниципальный р-н гор. Поселение Московский дер. Саларьево</t>
    </r>
  </si>
  <si>
    <t>по сч. №284 от 31.10.2013 г.</t>
  </si>
  <si>
    <t>18000 от 20 мая</t>
  </si>
  <si>
    <t>ООО "ЕМС" - по Соглашению от 29.06.12 - ООО "Торговый дом КРИСТАЛЛ" - закрыт</t>
  </si>
  <si>
    <t>Техническое обслуживание  лифта                                                            ул.Марксистская д.38 стр.1</t>
  </si>
  <si>
    <t>№ ТО-152/14 от 01.07.14</t>
  </si>
  <si>
    <t>, 07/14, 08/14,</t>
  </si>
  <si>
    <r>
      <rPr>
        <b/>
        <sz val="10"/>
        <rFont val="Arial"/>
        <family val="2"/>
        <charset val="204"/>
      </rPr>
      <t xml:space="preserve">МУЗ ПДГБ </t>
    </r>
    <r>
      <rPr>
        <sz val="10"/>
        <rFont val="Arial"/>
        <family val="2"/>
        <charset val="204"/>
      </rPr>
      <t>- г.Подольск</t>
    </r>
  </si>
  <si>
    <t xml:space="preserve">Техническое обслуживание 2-х  лифтов   </t>
  </si>
  <si>
    <r>
      <rPr>
        <sz val="10"/>
        <rFont val="Arial"/>
        <family val="2"/>
        <charset val="204"/>
      </rPr>
      <t xml:space="preserve">№2014.212911 от 18.08.14 </t>
    </r>
    <r>
      <rPr>
        <b/>
        <sz val="10"/>
        <color rgb="FFFF0000"/>
        <rFont val="Arial"/>
        <family val="2"/>
        <charset val="204"/>
      </rPr>
      <t>договор на эл.площадке</t>
    </r>
  </si>
  <si>
    <t>с 1.09.14-31.12.14</t>
  </si>
  <si>
    <t>12463,61             в месяц</t>
  </si>
  <si>
    <t>09/14, 10/14, 11/14,12/14</t>
  </si>
  <si>
    <t>выполнено</t>
  </si>
  <si>
    <r>
      <rPr>
        <b/>
        <sz val="10"/>
        <rFont val="Arial"/>
        <family val="2"/>
        <charset val="204"/>
      </rPr>
      <t>ООО "СтройПласт"</t>
    </r>
    <r>
      <rPr>
        <b/>
        <sz val="10"/>
        <color rgb="FFFF0000"/>
        <rFont val="Arial"/>
        <family val="2"/>
        <charset val="204"/>
      </rPr>
      <t xml:space="preserve">                               </t>
    </r>
    <r>
      <rPr>
        <sz val="10"/>
        <color rgb="FFFF000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 xml:space="preserve">Московская область, г. Ступино, торговый центр. </t>
    </r>
  </si>
  <si>
    <r>
      <rPr>
        <b/>
        <sz val="10"/>
        <rFont val="Arial"/>
        <family val="2"/>
        <charset val="204"/>
      </rPr>
      <t>ТО 4-х лифтов грузопассажирских, 4-х лифтов малых грузовых, 4-х подъемных электрических платформ, 2-х эскалаторов и 2-х траволаторов</t>
    </r>
    <r>
      <rPr>
        <sz val="10"/>
        <rFont val="Arial"/>
        <family val="2"/>
        <charset val="204"/>
      </rPr>
      <t xml:space="preserve">                                                             </t>
    </r>
  </si>
  <si>
    <t>ТО-157/14 от 27.12.14</t>
  </si>
  <si>
    <t>с 1.01.15-28.02.15</t>
  </si>
  <si>
    <t xml:space="preserve"> 01/15 - 02/15</t>
  </si>
  <si>
    <t xml:space="preserve">ГБУЗ «ГКБ № 13 ДЗМ»                               </t>
  </si>
  <si>
    <t xml:space="preserve">Ремонт лифтового оборудования, заменf лебедки главного привода и тяговых канатов  </t>
  </si>
  <si>
    <t>№ ЕП-15-002</t>
  </si>
  <si>
    <t>14 раб. Дн.</t>
  </si>
  <si>
    <t>260800 от  30.06</t>
  </si>
  <si>
    <t>у Кириченко</t>
  </si>
  <si>
    <t>2016 год-2017</t>
  </si>
  <si>
    <r>
      <rPr>
        <b/>
        <sz val="9"/>
        <rFont val="Arial"/>
        <family val="2"/>
        <charset val="204"/>
      </rPr>
      <t>Альфа-сити</t>
    </r>
    <r>
      <rPr>
        <b/>
        <sz val="9"/>
        <color rgb="FFFF0000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Дог. скан</t>
    </r>
  </si>
  <si>
    <t xml:space="preserve">Техническое обслуживание  5-и лифтов г. Москва, Ленинский пр., дом 87 </t>
  </si>
  <si>
    <r>
      <rPr>
        <b/>
        <sz val="9"/>
        <rFont val="Arial"/>
        <family val="2"/>
        <charset val="204"/>
      </rPr>
      <t xml:space="preserve">№ ТО-126/13 от 01.04.13 </t>
    </r>
    <r>
      <rPr>
        <b/>
        <sz val="9"/>
        <color rgb="FFFF0000"/>
        <rFont val="Arial"/>
        <family val="2"/>
        <charset val="204"/>
      </rPr>
      <t>автоматич.продление</t>
    </r>
  </si>
  <si>
    <t>где Акт</t>
  </si>
  <si>
    <t>, 04/13 - 12/13,                                            01/14  - 12/14,                                                 01/15 -10/15, 12/15</t>
  </si>
  <si>
    <t xml:space="preserve">  04/13,11/14-?,   11/15,  02/16,03/16,  04/16, 05/16,  07/16,08/16, 09/16,</t>
  </si>
  <si>
    <r>
      <rPr>
        <sz val="9"/>
        <color rgb="FF0000FF"/>
        <rFont val="Arial"/>
        <family val="2"/>
        <charset val="204"/>
      </rPr>
      <t xml:space="preserve"> 10/16,</t>
    </r>
    <r>
      <rPr>
        <sz val="9"/>
        <color rgb="FFFF0000"/>
        <rFont val="Arial"/>
        <family val="2"/>
        <charset val="204"/>
      </rPr>
      <t>11/16,</t>
    </r>
  </si>
  <si>
    <r>
      <rPr>
        <b/>
        <sz val="9"/>
        <rFont val="Times New Roman"/>
        <family val="1"/>
        <charset val="204"/>
      </rPr>
      <t xml:space="preserve">ООО «Управляющая компания Арбат» </t>
    </r>
    <r>
      <rPr>
        <b/>
        <sz val="9"/>
        <color rgb="FFFF0000"/>
        <rFont val="Times New Roman"/>
        <family val="1"/>
        <charset val="204"/>
      </rPr>
      <t xml:space="preserve">     (РЭЛЕНА с 2016 г)                                   </t>
    </r>
    <r>
      <rPr>
        <b/>
        <sz val="9"/>
        <color rgb="FFFF0000"/>
        <rFont val="Times New Roman"/>
        <family val="1"/>
        <charset val="204"/>
      </rPr>
      <t xml:space="preserve">дог. скан      </t>
    </r>
  </si>
  <si>
    <r>
      <rPr>
        <sz val="9"/>
        <rFont val="Times New Roman"/>
        <family val="1"/>
        <charset val="204"/>
      </rPr>
      <t xml:space="preserve">Техническое обслуживание  лифта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г.Москва, Большой Николопесковский переулок, д.13 стр.1</t>
    </r>
  </si>
  <si>
    <t xml:space="preserve">Дог. №ТО-20/11   от 01.06.2011  </t>
  </si>
  <si>
    <r>
      <rPr>
        <sz val="9"/>
        <rFont val="Times New Roman"/>
        <family val="1"/>
        <charset val="204"/>
      </rPr>
      <t xml:space="preserve">  06/11 -12/11,  01/12 - 12/12, </t>
    </r>
    <r>
      <rPr>
        <sz val="9"/>
        <color rgb="FF008000"/>
        <rFont val="Times New Roman"/>
        <family val="1"/>
        <charset val="204"/>
      </rPr>
      <t xml:space="preserve"> 01/13 - 12/13,  01/14 -12/14,  01/15 - 8/15, </t>
    </r>
  </si>
  <si>
    <t xml:space="preserve">09/15,10/15, 11/15,    12/15,                 </t>
  </si>
  <si>
    <t>ООО «Барнаульская сетевая компания</t>
  </si>
  <si>
    <t>Техническое обслуживание лифта «Lm liftmaterial gmbh» г/п 630 кг                                         г. Москва, Староконюшенный,       д. 6-8</t>
  </si>
  <si>
    <t>№ ТО-162/16 от 19.02.16</t>
  </si>
  <si>
    <t>с 1.03.16 - 31.03.17</t>
  </si>
  <si>
    <r>
      <rPr>
        <sz val="9"/>
        <color rgb="FF0000FF"/>
        <rFont val="Arial"/>
        <family val="2"/>
        <charset val="204"/>
      </rPr>
      <t>03/16-06/16,-08/16,-</t>
    </r>
    <r>
      <rPr>
        <sz val="9"/>
        <color rgb="FF008000"/>
        <rFont val="Arial"/>
        <family val="2"/>
        <charset val="204"/>
      </rPr>
      <t xml:space="preserve">10/16,11/16,12/16, 01/17, </t>
    </r>
  </si>
  <si>
    <t>"Банк "МБА-Москва" ООО</t>
  </si>
  <si>
    <t>обслуживание и ремонт двух лифтов, пассажирский и гидравлический, по адресу: г.Москва, ул.Рочдельская д.14 стр.1.</t>
  </si>
  <si>
    <t>№ ТО-174/16 от 01.07.16</t>
  </si>
  <si>
    <r>
      <rPr>
        <sz val="10"/>
        <rFont val="Arial"/>
        <family val="2"/>
        <charset val="204"/>
      </rPr>
      <t>с 1.07.16 -</t>
    </r>
    <r>
      <rPr>
        <sz val="10"/>
        <color rgb="FFFF0000"/>
        <rFont val="Arial"/>
        <family val="2"/>
        <charset val="204"/>
      </rPr>
      <t xml:space="preserve"> 31.07.17</t>
    </r>
  </si>
  <si>
    <t>07/16-12/16, 01/17</t>
  </si>
  <si>
    <t>ВШЭ</t>
  </si>
  <si>
    <t>ТО лифтов и систем диспетчеризации лифтов в зданиях НИУ ВШЭ</t>
  </si>
  <si>
    <t>№ 124/4.11-12-15 от 30.12.15 г.ДС №1 оть 17.02.16</t>
  </si>
  <si>
    <t>463066,58 в месяц</t>
  </si>
  <si>
    <t xml:space="preserve"> 01/16 - 11/16,</t>
  </si>
  <si>
    <t>12/16,</t>
  </si>
  <si>
    <t xml:space="preserve">Диспетчеризация лифтов по адресу: г. Москва, Б.Переяславская д.50 стр.1 </t>
  </si>
  <si>
    <t>№ 29/4.11-03-16 от 15.03.16 г.</t>
  </si>
  <si>
    <t>98245,99 от 31.03.16</t>
  </si>
  <si>
    <t xml:space="preserve"> 04/16, 05/16, 06/16, </t>
  </si>
  <si>
    <t xml:space="preserve">Аварийный ремонт лифтового оборудования  по адресу: г. Москва, ул.Пионерская д.12 </t>
  </si>
  <si>
    <t>№51/4.11-09-16 от 23.09.16 г.    ДС №1 на срок до15 .12.16</t>
  </si>
  <si>
    <t xml:space="preserve">419910,61                       +1967967,44     +3227441,47         +579087,26              </t>
  </si>
  <si>
    <t xml:space="preserve">ВШЭ </t>
  </si>
  <si>
    <t xml:space="preserve">ремонтные работы пяти лифтов (заводские номера  № exsu 04496, № exsu 04497, № exsu 04498, № exsu 04499)  по адресу: г. Москва, ул.Таллинская д.34 </t>
  </si>
  <si>
    <t>№55/4.11-04-16 от 19.04.16 г.</t>
  </si>
  <si>
    <t xml:space="preserve"> Диспетчеризация на лифтах  по адресу: г. Москва, Старая Басманная д.21/4 стр. 1 </t>
  </si>
  <si>
    <t>№56/4.11-04-16 от 19.04.16 г.</t>
  </si>
  <si>
    <t xml:space="preserve"> Диспетчеризация на лифтах  по адресу: г. Москва, Б.Трехсвятительский пер.д.3 </t>
  </si>
  <si>
    <t>№ТР 173/16 от 30.05.16 г.</t>
  </si>
  <si>
    <t xml:space="preserve"> Диспетчеризация на лифтах  по адресу: г. Москва, ул. Мясницкая д.20</t>
  </si>
  <si>
    <t>№ТР 171/16 от 23.05.16 г.</t>
  </si>
  <si>
    <t xml:space="preserve"> Диспетчеризация на лифтах  по адресу: г. Москва, Кочновский пр-д д.3</t>
  </si>
  <si>
    <t>№ТР 172/16 от 27.05.16 г.</t>
  </si>
  <si>
    <t xml:space="preserve"> ремонт лифтового оборудования на лифтах пассажирских регистрационный № 206067, рег. № 050632, рег. № 050631, лифта малого грузового г/п 100 кг на 2-е остановки,  по адресу: г. Москва, Троицкий административный округ, поселение Вороновское, </t>
  </si>
  <si>
    <t>17/4.11-11-16 от 01.11.16</t>
  </si>
  <si>
    <t xml:space="preserve"> ремонт лифтового оборудования на лифтах регистрационный № 35007, № 133659, установленных в принадлежащем Заказчику здании, расположенном по адресу: г. Москва, ул. Старая Басманная, д. 21/4 стр. 1, </t>
  </si>
  <si>
    <t>18/4.11-11-16 от 01.11.16</t>
  </si>
  <si>
    <r>
      <rPr>
        <b/>
        <sz val="14"/>
        <rFont val="Arial"/>
        <family val="2"/>
        <charset val="204"/>
      </rPr>
      <t xml:space="preserve">ВШЭ                   </t>
    </r>
    <r>
      <rPr>
        <b/>
        <sz val="11"/>
        <rFont val="Arial"/>
        <family val="2"/>
        <charset val="204"/>
      </rPr>
      <t xml:space="preserve"> </t>
    </r>
  </si>
  <si>
    <t xml:space="preserve"> замене фотозавесы на  двух пассажирских лифтах Рег. № 11J00016, 
Рег. № 11J00014
  по адресу: ул. Шаболовка 26, корп. 3 и корп. 5</t>
  </si>
  <si>
    <r>
      <rPr>
        <b/>
        <sz val="9"/>
        <rFont val="Arial"/>
        <family val="2"/>
        <charset val="204"/>
      </rPr>
      <t xml:space="preserve">(№10/4/11-10-16) </t>
    </r>
    <r>
      <rPr>
        <b/>
        <sz val="9"/>
        <color rgb="FFFF0000"/>
        <rFont val="Arial"/>
        <family val="2"/>
        <charset val="204"/>
      </rPr>
      <t>183ТР/16</t>
    </r>
    <r>
      <rPr>
        <b/>
        <sz val="9"/>
        <rFont val="Arial"/>
        <family val="2"/>
        <charset val="204"/>
      </rPr>
      <t xml:space="preserve"> от 04.10.16</t>
    </r>
  </si>
  <si>
    <t xml:space="preserve">ВШЭ                           </t>
  </si>
  <si>
    <t xml:space="preserve"> ремонт и заменалифтового оборудования на  двух пассажирских лифтах Рег. № 93931, Рег. № 93933
  по адресу: ул. Б. Переяславская, д. 50, стр. </t>
  </si>
  <si>
    <r>
      <rPr>
        <b/>
        <sz val="9"/>
        <rFont val="Arial"/>
        <family val="2"/>
        <charset val="204"/>
      </rPr>
      <t xml:space="preserve">(9/4.111-10-16) </t>
    </r>
    <r>
      <rPr>
        <b/>
        <sz val="9"/>
        <color rgb="FFFF0000"/>
        <rFont val="Arial"/>
        <family val="2"/>
        <charset val="204"/>
      </rPr>
      <t>184ТР/16</t>
    </r>
    <r>
      <rPr>
        <b/>
        <sz val="9"/>
        <rFont val="Arial"/>
        <family val="2"/>
        <charset val="204"/>
      </rPr>
      <t xml:space="preserve"> от 04.10.16</t>
    </r>
  </si>
  <si>
    <t xml:space="preserve">выверка направляющих кабины (противовеса) в лифте пассажирском г/п 630 кг. на 3 остановки рег. № 050630
  по адресу: г.  Москва, Троицкий административный округ, поселение Вороновское, УЦ «Вороново» </t>
  </si>
  <si>
    <r>
      <rPr>
        <b/>
        <sz val="9"/>
        <rFont val="Arial"/>
        <family val="2"/>
        <charset val="204"/>
      </rPr>
      <t xml:space="preserve">(№11/4/11-10-16) </t>
    </r>
    <r>
      <rPr>
        <b/>
        <sz val="9"/>
        <color rgb="FFFF0000"/>
        <rFont val="Arial"/>
        <family val="2"/>
        <charset val="204"/>
      </rPr>
      <t>185ТР/16</t>
    </r>
    <r>
      <rPr>
        <b/>
        <sz val="9"/>
        <rFont val="Arial"/>
        <family val="2"/>
        <charset val="204"/>
      </rPr>
      <t xml:space="preserve">  от 04.10.16</t>
    </r>
  </si>
  <si>
    <t xml:space="preserve">Ремонт лифтового оборудования
  по адресу: г.  Москва, Троицкий административный округ, поселение Вороновское, УЦ «Вороново» </t>
  </si>
  <si>
    <r>
      <rPr>
        <b/>
        <sz val="9"/>
        <rFont val="Arial"/>
        <family val="2"/>
        <charset val="204"/>
      </rPr>
      <t>№</t>
    </r>
    <r>
      <rPr>
        <b/>
        <sz val="9"/>
        <color rgb="FFFF0000"/>
        <rFont val="Arial"/>
        <family val="2"/>
        <charset val="204"/>
      </rPr>
      <t>187ТР/16</t>
    </r>
    <r>
      <rPr>
        <b/>
        <sz val="9"/>
        <rFont val="Arial"/>
        <family val="2"/>
        <charset val="204"/>
      </rPr>
      <t xml:space="preserve">  от 01.12.16</t>
    </r>
  </si>
  <si>
    <r>
      <rPr>
        <b/>
        <sz val="10"/>
        <rFont val="Arial"/>
        <family val="2"/>
        <charset val="204"/>
      </rPr>
      <t xml:space="preserve">ООО «Дымовское колбасное производство»                                </t>
    </r>
    <r>
      <rPr>
        <b/>
        <sz val="10"/>
        <color rgb="FFFF0000"/>
        <rFont val="Arial"/>
        <family val="2"/>
        <charset val="204"/>
      </rPr>
      <t>Дог. скан</t>
    </r>
  </si>
  <si>
    <r>
      <rPr>
        <sz val="9"/>
        <color rgb="FF008000"/>
        <rFont val="Times New Roman"/>
        <family val="1"/>
        <charset val="204"/>
      </rPr>
      <t xml:space="preserve"> 04/16,  05/16,  06/16,  </t>
    </r>
    <r>
      <rPr>
        <sz val="9"/>
        <color rgb="FF0000FF"/>
        <rFont val="Times New Roman"/>
        <family val="1"/>
        <charset val="204"/>
      </rPr>
      <t xml:space="preserve"> 07/16,</t>
    </r>
    <r>
      <rPr>
        <sz val="9"/>
        <color rgb="FF008000"/>
        <rFont val="Times New Roman"/>
        <family val="1"/>
        <charset val="204"/>
      </rPr>
      <t xml:space="preserve">   </t>
    </r>
    <r>
      <rPr>
        <sz val="9"/>
        <color rgb="FF0000FF"/>
        <rFont val="Times New Roman"/>
        <family val="1"/>
        <charset val="204"/>
      </rPr>
      <t>08/16,</t>
    </r>
    <r>
      <rPr>
        <sz val="9"/>
        <color rgb="FF008000"/>
        <rFont val="Times New Roman"/>
        <family val="1"/>
        <charset val="204"/>
      </rPr>
      <t xml:space="preserve">  </t>
    </r>
  </si>
  <si>
    <r>
      <rPr>
        <sz val="9"/>
        <color rgb="FFFF0000"/>
        <rFont val="Times New Roman"/>
        <family val="1"/>
        <charset val="204"/>
      </rPr>
      <t>01/16,</t>
    </r>
    <r>
      <rPr>
        <sz val="9"/>
        <color rgb="FF0000FF"/>
        <rFont val="Times New Roman"/>
        <family val="1"/>
        <charset val="204"/>
      </rPr>
      <t xml:space="preserve"> 02/16,  03/16, 05/16,  09/16,</t>
    </r>
    <r>
      <rPr>
        <sz val="9"/>
        <color rgb="FFFF0000"/>
        <rFont val="Times New Roman"/>
        <family val="1"/>
        <charset val="204"/>
      </rPr>
      <t xml:space="preserve"> 10/16, </t>
    </r>
  </si>
  <si>
    <t>Замена вкладышей</t>
  </si>
  <si>
    <t>16000</t>
  </si>
  <si>
    <t>12.07.16 №29163</t>
  </si>
  <si>
    <t>ОАО «Квант-Н</t>
  </si>
  <si>
    <t xml:space="preserve">Ремонт  подъемника и его дальнейшее ТО  г.Москва, 3-я Мытищинская ул., стр. 60 </t>
  </si>
  <si>
    <t>№ ТО-136/13 от 01.07.13</t>
  </si>
  <si>
    <t xml:space="preserve"> 07/13, - 12/13,                                                                  01/14    -12/14                                                    01/15 - 12/15,</t>
  </si>
  <si>
    <t>01/16,  02/16,08/16-11/16</t>
  </si>
  <si>
    <r>
      <rPr>
        <sz val="9"/>
        <color rgb="FFFF0000"/>
        <rFont val="Arial"/>
        <family val="2"/>
        <charset val="204"/>
      </rPr>
      <t xml:space="preserve"> </t>
    </r>
    <r>
      <rPr>
        <sz val="9"/>
        <color rgb="FF0000FF"/>
        <rFont val="Arial"/>
        <family val="2"/>
        <charset val="204"/>
      </rPr>
      <t xml:space="preserve">03/16-07/16, 12/16, </t>
    </r>
  </si>
  <si>
    <t>Дубликат сч.ф за март</t>
  </si>
  <si>
    <r>
      <rPr>
        <b/>
        <sz val="9"/>
        <rFont val="Times New Roman"/>
        <family val="1"/>
        <charset val="204"/>
      </rPr>
      <t xml:space="preserve">ООО "КЕСКО-М"                  </t>
    </r>
    <r>
      <rPr>
        <b/>
        <sz val="9"/>
        <color rgb="FFFF0000"/>
        <rFont val="Times New Roman"/>
        <family val="1"/>
        <charset val="204"/>
      </rPr>
      <t xml:space="preserve">                       Дог.  скан</t>
    </r>
  </si>
  <si>
    <t>Техническое обслуживание  лифта                                                                                                         г.Москва, Малый Новопесковский переулок, д. 8</t>
  </si>
  <si>
    <t>ТО-101/11 от 29.02.12</t>
  </si>
  <si>
    <r>
      <rPr>
        <b/>
        <sz val="9"/>
        <rFont val="Times New Roman"/>
        <family val="1"/>
        <charset val="204"/>
      </rPr>
      <t xml:space="preserve">ежемес-но </t>
    </r>
    <r>
      <rPr>
        <b/>
        <i/>
        <sz val="9"/>
        <color rgb="FFFF0000"/>
        <rFont val="Times New Roman"/>
        <family val="1"/>
        <charset val="204"/>
      </rPr>
      <t>до 1.02.13</t>
    </r>
  </si>
  <si>
    <t xml:space="preserve"> 02/12 - 12/12 ,</t>
  </si>
  <si>
    <t>ДС №1 от 29.12.12</t>
  </si>
  <si>
    <r>
      <rPr>
        <b/>
        <sz val="9"/>
        <rFont val="Times New Roman"/>
        <family val="1"/>
        <charset val="204"/>
      </rPr>
      <t xml:space="preserve">ежемес-но </t>
    </r>
    <r>
      <rPr>
        <b/>
        <i/>
        <sz val="9"/>
        <color rgb="FFFF0000"/>
        <rFont val="Times New Roman"/>
        <family val="1"/>
        <charset val="204"/>
      </rPr>
      <t>до 1.02.14</t>
    </r>
  </si>
  <si>
    <t xml:space="preserve"> 01/13 -12/13,  01/14 -12/14, 01/15 -12/15, </t>
  </si>
  <si>
    <r>
      <rPr>
        <sz val="9"/>
        <color rgb="FF008000"/>
        <rFont val="Times New Roman"/>
        <family val="1"/>
        <charset val="204"/>
      </rPr>
      <t xml:space="preserve">01/16,  </t>
    </r>
    <r>
      <rPr>
        <sz val="9"/>
        <color rgb="FF0000FF"/>
        <rFont val="Times New Roman"/>
        <family val="1"/>
        <charset val="204"/>
      </rPr>
      <t xml:space="preserve">03/16,  04/16, 05/16,   06/16,   08/16, 09/16,  11/16, </t>
    </r>
  </si>
  <si>
    <r>
      <rPr>
        <b/>
        <sz val="10"/>
        <color rgb="FFFF0000"/>
        <rFont val="Times New Roman"/>
        <family val="1"/>
        <charset val="204"/>
      </rPr>
      <t xml:space="preserve">02/16,   </t>
    </r>
    <r>
      <rPr>
        <b/>
        <sz val="10"/>
        <color rgb="FF0000FF"/>
        <rFont val="Times New Roman"/>
        <family val="1"/>
        <charset val="204"/>
      </rPr>
      <t xml:space="preserve">   07/16,   </t>
    </r>
    <r>
      <rPr>
        <b/>
        <sz val="10"/>
        <color rgb="FFFF0000"/>
        <rFont val="Times New Roman"/>
        <family val="1"/>
        <charset val="204"/>
      </rPr>
      <t xml:space="preserve">  10/16,  </t>
    </r>
  </si>
  <si>
    <t>Замена двигателя  привода дверей кабины лифта</t>
  </si>
  <si>
    <t xml:space="preserve">       61000</t>
  </si>
  <si>
    <r>
      <rPr>
        <sz val="9"/>
        <rFont val="Arial"/>
        <family val="2"/>
        <charset val="204"/>
      </rPr>
      <t xml:space="preserve"> </t>
    </r>
    <r>
      <rPr>
        <sz val="12"/>
        <rFont val="Arial"/>
        <family val="2"/>
        <charset val="204"/>
      </rPr>
      <t xml:space="preserve"> </t>
    </r>
    <r>
      <rPr>
        <b/>
        <sz val="12"/>
        <rFont val="Arial"/>
        <family val="2"/>
        <charset val="204"/>
      </rPr>
      <t>МИРЭА</t>
    </r>
    <r>
      <rPr>
        <sz val="12"/>
        <rFont val="Arial"/>
        <family val="2"/>
        <charset val="204"/>
      </rPr>
      <t xml:space="preserve">, </t>
    </r>
    <r>
      <rPr>
        <sz val="9"/>
        <rFont val="Arial"/>
        <family val="2"/>
        <charset val="204"/>
      </rPr>
      <t>г.Москва, Проспект Вернадского 86, стрр. 1, 4, 5, 7, 8</t>
    </r>
    <r>
      <rPr>
        <b/>
        <sz val="12"/>
        <color rgb="FFFF0000"/>
        <rFont val="Arial"/>
        <family val="2"/>
        <charset val="204"/>
      </rPr>
      <t xml:space="preserve"> ДС №1</t>
    </r>
  </si>
  <si>
    <t>Ремонтные работы на 2-а лифта</t>
  </si>
  <si>
    <t>ТР-168 ТР-2016 от 27.07.16</t>
  </si>
  <si>
    <t>258000</t>
  </si>
  <si>
    <t>Техническое обслуживание лифтов</t>
  </si>
  <si>
    <t>№ 0373100029515000051 от 11.01.16</t>
  </si>
  <si>
    <t>с 1.01.16 - 31.12.16</t>
  </si>
  <si>
    <t>714000 в год, 59500 мес.</t>
  </si>
  <si>
    <t xml:space="preserve"> 01/16-12/16,</t>
  </si>
  <si>
    <r>
      <rPr>
        <b/>
        <sz val="12"/>
        <rFont val="Arial"/>
        <family val="2"/>
        <charset val="204"/>
      </rPr>
      <t xml:space="preserve">ОИВТ РАН                  </t>
    </r>
    <r>
      <rPr>
        <sz val="10"/>
        <rFont val="Arial"/>
        <family val="2"/>
        <charset val="204"/>
      </rPr>
      <t xml:space="preserve">     г. Москва, ул. Красноказарменная, д. 17а, </t>
    </r>
  </si>
  <si>
    <t>Техническое обслуживание 2-х лифтов</t>
  </si>
  <si>
    <t>№ 6-02-16 от 16.11.2015 г.</t>
  </si>
  <si>
    <t>97411,82                 (8117,65 за месяц)</t>
  </si>
  <si>
    <t xml:space="preserve"> 01/16, 03/16- 06/16, 07/16-11/16, </t>
  </si>
  <si>
    <r>
      <rPr>
        <sz val="9"/>
        <color rgb="FF0000FF"/>
        <rFont val="Arial"/>
        <family val="2"/>
        <charset val="204"/>
      </rPr>
      <t xml:space="preserve"> 02/16,                      </t>
    </r>
    <r>
      <rPr>
        <sz val="9"/>
        <color rgb="FFFF0000"/>
        <rFont val="Arial"/>
        <family val="2"/>
        <charset val="204"/>
      </rPr>
      <t xml:space="preserve">12/16, </t>
    </r>
  </si>
  <si>
    <t>ЗАО «ТОРГОВЫЙ ДОМ «ПЕРОВСКИЙ»</t>
  </si>
  <si>
    <t xml:space="preserve">Техническое обслуживание  3-х лифтов и 3-х грузовых подъемниковг. Москва, Свободный пр-т, д.33. </t>
  </si>
  <si>
    <r>
      <rPr>
        <b/>
        <sz val="9"/>
        <rFont val="Arial"/>
        <family val="2"/>
        <charset val="204"/>
      </rPr>
      <t xml:space="preserve">№ ТО-121/12 от 28.12.12                                  </t>
    </r>
    <r>
      <rPr>
        <b/>
        <sz val="9"/>
        <color rgb="FFFF0000"/>
        <rFont val="Arial"/>
        <family val="2"/>
        <charset val="204"/>
      </rPr>
      <t>Дог. скан</t>
    </r>
  </si>
  <si>
    <t xml:space="preserve">01/13,   -   12/13 , </t>
  </si>
  <si>
    <t xml:space="preserve">                                        </t>
  </si>
  <si>
    <t>Доп.согл. №1 от 20.05.13 г.</t>
  </si>
  <si>
    <t xml:space="preserve"> 01/16 - 06/16, </t>
  </si>
  <si>
    <t>№ ТР-170/16 от 27.06.16</t>
  </si>
  <si>
    <t xml:space="preserve"> 08/16,</t>
  </si>
  <si>
    <r>
      <rPr>
        <sz val="9"/>
        <color rgb="FF0000FF"/>
        <rFont val="Arial"/>
        <family val="2"/>
        <charset val="204"/>
      </rPr>
      <t xml:space="preserve">07/16, 09/16, </t>
    </r>
    <r>
      <rPr>
        <sz val="9"/>
        <color rgb="FFFF0000"/>
        <rFont val="Arial"/>
        <family val="2"/>
        <charset val="204"/>
      </rPr>
      <t>10/16,11/16,12/16,</t>
    </r>
  </si>
  <si>
    <t>Ремонт лифта</t>
  </si>
  <si>
    <t>№ ТР-163/16 от 24.02.16</t>
  </si>
  <si>
    <t>от 27/09/16</t>
  </si>
  <si>
    <t>Замена изношенных частей грузового лифта 1000 кг</t>
  </si>
  <si>
    <t>№ ТР-160/16 от 03.02.16</t>
  </si>
  <si>
    <t>от 27.05.16</t>
  </si>
  <si>
    <r>
      <rPr>
        <b/>
        <sz val="9"/>
        <rFont val="Arial"/>
        <family val="2"/>
        <charset val="204"/>
      </rPr>
      <t xml:space="preserve">ООО «Прентисон Проперти»),                 </t>
    </r>
    <r>
      <rPr>
        <b/>
        <sz val="9"/>
        <color rgb="FFFF0000"/>
        <rFont val="Arial"/>
        <family val="2"/>
        <charset val="204"/>
      </rPr>
      <t xml:space="preserve"> Дог.скан</t>
    </r>
  </si>
  <si>
    <t>10000 за 2013-14 г.</t>
  </si>
  <si>
    <t>10000 от 30.04.15</t>
  </si>
  <si>
    <t>10000 от 31.05.16</t>
  </si>
  <si>
    <t>№ ТО-140/13 от 01.11.13</t>
  </si>
  <si>
    <t>ежемес-но с 1.11.13</t>
  </si>
  <si>
    <t>15500     13000 - на 2016 г.</t>
  </si>
  <si>
    <t>11/13, 12/13, 01/14 -12/14,  01/15 -12/15,</t>
  </si>
  <si>
    <t xml:space="preserve">01/16-11/16, </t>
  </si>
  <si>
    <t>ОАО  «РЖДстрой»</t>
  </si>
  <si>
    <r>
      <rPr>
        <sz val="9"/>
        <rFont val="Times New Roman"/>
        <family val="1"/>
        <charset val="204"/>
      </rPr>
      <t xml:space="preserve">Техническое обслуживание  лифта              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г.Москва, ул. Казакова, д.8 стр.6  </t>
    </r>
  </si>
  <si>
    <t xml:space="preserve"> №20-16-04-0375  от 15.01.16</t>
  </si>
  <si>
    <t xml:space="preserve"> 02/16-12/16,</t>
  </si>
  <si>
    <t xml:space="preserve"> 01/16,  </t>
  </si>
  <si>
    <t>, 06/13</t>
  </si>
  <si>
    <r>
      <rPr>
        <b/>
        <sz val="9"/>
        <rFont val="Arial"/>
        <family val="2"/>
        <charset val="204"/>
      </rPr>
      <t xml:space="preserve">ОАО  «РЖДстрой»                                    </t>
    </r>
    <r>
      <rPr>
        <b/>
        <sz val="9"/>
        <color rgb="FFFF0000"/>
        <rFont val="Arial"/>
        <family val="2"/>
        <charset val="204"/>
      </rPr>
      <t xml:space="preserve"> Дог.скан</t>
    </r>
  </si>
  <si>
    <t>ДС №2 от 18.07.13</t>
  </si>
  <si>
    <t>Отдать экземпляр Заказчика</t>
  </si>
  <si>
    <t>ДС №1 от 20.08.12</t>
  </si>
  <si>
    <t xml:space="preserve"> дог. ТО-16/11 от 28.11.11</t>
  </si>
  <si>
    <r>
      <rPr>
        <sz val="9"/>
        <rFont val="Arial"/>
        <family val="2"/>
        <charset val="204"/>
      </rPr>
      <t>11/11, 12/11, 01/12 -12/12,</t>
    </r>
    <r>
      <rPr>
        <sz val="9"/>
        <color rgb="FF800000"/>
        <rFont val="Arial"/>
        <family val="2"/>
        <charset val="204"/>
      </rPr>
      <t xml:space="preserve"> 01/13, 02/13, 03/13, 08/13, 09/13, 10/13, 11/13,12/13, </t>
    </r>
    <r>
      <rPr>
        <sz val="9"/>
        <color rgb="FF008080"/>
        <rFont val="Arial"/>
        <family val="2"/>
        <charset val="204"/>
      </rPr>
      <t xml:space="preserve">  01/14 - 12/14, </t>
    </r>
    <r>
      <rPr>
        <sz val="9"/>
        <color rgb="FFFF0000"/>
        <rFont val="Arial"/>
        <family val="2"/>
        <charset val="204"/>
      </rPr>
      <t xml:space="preserve">01/15 - 12/15,  </t>
    </r>
  </si>
  <si>
    <t xml:space="preserve"> 01/16, 02/16, 04/16- 09/16,</t>
  </si>
  <si>
    <t xml:space="preserve">, 06/15, 11/15,              </t>
  </si>
  <si>
    <r>
      <rPr>
        <b/>
        <sz val="9"/>
        <rFont val="Times New Roman"/>
        <family val="1"/>
        <charset val="204"/>
      </rPr>
      <t xml:space="preserve">ООО «РЕЛЕНА 2000» </t>
    </r>
    <r>
      <rPr>
        <b/>
        <sz val="9"/>
        <color rgb="FFFF0000"/>
        <rFont val="Times New Roman"/>
        <family val="1"/>
        <charset val="204"/>
      </rPr>
      <t xml:space="preserve">              </t>
    </r>
  </si>
  <si>
    <t xml:space="preserve">Дог. №ТО-166/16   от 11.01.2016  </t>
  </si>
  <si>
    <t xml:space="preserve"> 01/16- 08/16, 10/16- 12/16,</t>
  </si>
  <si>
    <r>
      <rPr>
        <sz val="9"/>
        <color rgb="FFFF0000"/>
        <rFont val="Times New Roman"/>
        <family val="1"/>
        <charset val="204"/>
      </rPr>
      <t xml:space="preserve">       </t>
    </r>
    <r>
      <rPr>
        <sz val="9"/>
        <color rgb="FF0000FF"/>
        <rFont val="Times New Roman"/>
        <family val="1"/>
        <charset val="204"/>
      </rPr>
      <t xml:space="preserve">  </t>
    </r>
    <r>
      <rPr>
        <sz val="9"/>
        <color rgb="FFFF0000"/>
        <rFont val="Times New Roman"/>
        <family val="1"/>
        <charset val="204"/>
      </rPr>
      <t>09/16</t>
    </r>
  </si>
  <si>
    <r>
      <rPr>
        <b/>
        <sz val="9"/>
        <rFont val="Times New Roman"/>
        <family val="1"/>
        <charset val="204"/>
      </rPr>
      <t xml:space="preserve">ООО «СЕРВИСТОРГ-47»                              </t>
    </r>
    <r>
      <rPr>
        <b/>
        <sz val="9"/>
        <color rgb="FFFF0000"/>
        <rFont val="Times New Roman"/>
        <family val="1"/>
        <charset val="204"/>
      </rPr>
      <t xml:space="preserve"> Дог.скан</t>
    </r>
  </si>
  <si>
    <r>
      <rPr>
        <sz val="9"/>
        <color rgb="FF0000FF"/>
        <rFont val="Arial"/>
        <family val="2"/>
        <charset val="204"/>
      </rPr>
      <t xml:space="preserve"> 01/16,  03/16-10/16,10/16, </t>
    </r>
    <r>
      <rPr>
        <sz val="9"/>
        <color rgb="FF339966"/>
        <rFont val="Arial"/>
        <family val="2"/>
        <charset val="204"/>
      </rPr>
      <t xml:space="preserve">11/16,  12/16, </t>
    </r>
  </si>
  <si>
    <t xml:space="preserve"> 02/16,  </t>
  </si>
  <si>
    <r>
      <rPr>
        <b/>
        <sz val="9"/>
        <rFont val="Arial"/>
        <family val="2"/>
        <charset val="204"/>
      </rPr>
      <t xml:space="preserve">Спектр                                                   </t>
    </r>
    <r>
      <rPr>
        <b/>
        <sz val="9"/>
        <color rgb="FFFF0000"/>
        <rFont val="Arial"/>
        <family val="2"/>
        <charset val="204"/>
      </rPr>
      <t xml:space="preserve">  Дог.скан</t>
    </r>
  </si>
  <si>
    <r>
      <rPr>
        <sz val="9"/>
        <rFont val="Arial"/>
        <family val="2"/>
        <charset val="204"/>
      </rPr>
      <t xml:space="preserve">Техническое обслуживание 2-х лифтов                                       </t>
    </r>
    <r>
      <rPr>
        <sz val="9"/>
        <rFont val="Times New Roman"/>
        <family val="1"/>
        <charset val="204"/>
      </rPr>
      <t xml:space="preserve">г.Москва, ул.Рочдельская д.14 стр.1. </t>
    </r>
  </si>
  <si>
    <t>№ ТО-141/14 от 01.01.14</t>
  </si>
  <si>
    <t>ежемес-но с 1.01.14</t>
  </si>
  <si>
    <t xml:space="preserve"> 01/14  - 12.500,  02/14 -12/14, 01/15 -12/15,</t>
  </si>
  <si>
    <r>
      <rPr>
        <sz val="9"/>
        <color rgb="FF008000"/>
        <rFont val="Arial"/>
        <family val="2"/>
        <charset val="204"/>
      </rPr>
      <t xml:space="preserve">01/16,  02/16,  03/16,  </t>
    </r>
    <r>
      <rPr>
        <sz val="9"/>
        <color rgb="FF0000FF"/>
        <rFont val="Arial"/>
        <family val="2"/>
        <charset val="204"/>
      </rPr>
      <t xml:space="preserve"> 04/16, </t>
    </r>
    <r>
      <rPr>
        <sz val="9"/>
        <color rgb="FF008000"/>
        <rFont val="Arial"/>
        <family val="2"/>
        <charset val="204"/>
      </rPr>
      <t xml:space="preserve"> </t>
    </r>
    <r>
      <rPr>
        <sz val="9"/>
        <color rgb="FF0000FF"/>
        <rFont val="Arial"/>
        <family val="2"/>
        <charset val="204"/>
      </rPr>
      <t xml:space="preserve"> 05/16,</t>
    </r>
  </si>
  <si>
    <t xml:space="preserve">  06/16,  </t>
  </si>
  <si>
    <t>закрыт</t>
  </si>
  <si>
    <r>
      <rPr>
        <b/>
        <sz val="10"/>
        <rFont val="Arial"/>
        <family val="2"/>
        <charset val="204"/>
      </rPr>
      <t xml:space="preserve">ООО «Строй Капитал»                         </t>
    </r>
    <r>
      <rPr>
        <sz val="10"/>
        <rFont val="Arial"/>
        <family val="2"/>
        <charset val="204"/>
      </rPr>
      <t>г Москва, Симферопольский бульвар, д.13</t>
    </r>
    <r>
      <rPr>
        <b/>
        <sz val="10"/>
        <rFont val="Arial"/>
        <family val="2"/>
        <charset val="204"/>
      </rPr>
      <t xml:space="preserve">.       </t>
    </r>
    <r>
      <rPr>
        <b/>
        <sz val="10"/>
        <color rgb="FFFF0000"/>
        <rFont val="Arial"/>
        <family val="2"/>
        <charset val="204"/>
      </rPr>
      <t xml:space="preserve"> </t>
    </r>
    <r>
      <rPr>
        <sz val="12"/>
        <color rgb="FFFF0000"/>
        <rFont val="Arial"/>
        <family val="2"/>
        <charset val="204"/>
      </rPr>
      <t xml:space="preserve"> </t>
    </r>
  </si>
  <si>
    <r>
      <rPr>
        <b/>
        <sz val="10"/>
        <rFont val="Arial"/>
        <family val="2"/>
        <charset val="204"/>
      </rPr>
      <t xml:space="preserve">ТО и ремонт двух пассажирских лифтов </t>
    </r>
    <r>
      <rPr>
        <sz val="10"/>
        <rFont val="Arial"/>
        <family val="2"/>
        <charset val="204"/>
      </rPr>
      <t xml:space="preserve">                              </t>
    </r>
  </si>
  <si>
    <t>№ ТО-158/16                    от 30.12.15</t>
  </si>
  <si>
    <t xml:space="preserve">    </t>
  </si>
  <si>
    <r>
      <rPr>
        <sz val="9"/>
        <rFont val="Times New Roman"/>
        <family val="1"/>
        <charset val="204"/>
      </rPr>
      <t xml:space="preserve"> 01/16-12</t>
    </r>
    <r>
      <rPr>
        <sz val="9"/>
        <color rgb="FF0000FF"/>
        <rFont val="Times New Roman"/>
        <family val="1"/>
        <charset val="204"/>
      </rPr>
      <t>/16,</t>
    </r>
  </si>
  <si>
    <r>
      <rPr>
        <b/>
        <sz val="9"/>
        <rFont val="Times New Roman"/>
        <family val="1"/>
        <charset val="204"/>
      </rPr>
      <t xml:space="preserve">ООО «Техносервис»                                                       </t>
    </r>
    <r>
      <rPr>
        <sz val="9"/>
        <color rgb="FFFF0000"/>
        <rFont val="Times New Roman"/>
        <family val="1"/>
        <charset val="204"/>
      </rPr>
      <t xml:space="preserve"> </t>
    </r>
    <r>
      <rPr>
        <b/>
        <sz val="9"/>
        <color rgb="FFFF0000"/>
        <rFont val="Times New Roman"/>
        <family val="1"/>
        <charset val="204"/>
      </rPr>
      <t xml:space="preserve">с 1.01.15 без НДС                                  </t>
    </r>
    <r>
      <rPr>
        <b/>
        <sz val="9"/>
        <color rgb="FFFF0000"/>
        <rFont val="Times New Roman"/>
        <family val="1"/>
        <charset val="204"/>
      </rPr>
      <t xml:space="preserve"> Дог. скан</t>
    </r>
  </si>
  <si>
    <r>
      <rPr>
        <sz val="9"/>
        <rFont val="Arial"/>
        <family val="2"/>
        <charset val="204"/>
      </rPr>
      <t xml:space="preserve">Техническое обслуживание 3-х лифтов  </t>
    </r>
    <r>
      <rPr>
        <sz val="9"/>
        <rFont val="Times New Roman"/>
        <family val="1"/>
        <charset val="204"/>
      </rPr>
      <t>Московская область, г. Подольск, ул. Федорова, д.19</t>
    </r>
  </si>
  <si>
    <t>№ 133/13 от 31.05.13</t>
  </si>
  <si>
    <t>Ежемес-но с 15.08.13</t>
  </si>
  <si>
    <t>9/13 - 12/13, , 01/14 -12/14,  01/15 -12/15,</t>
  </si>
  <si>
    <t xml:space="preserve">01/16, 02/16,  03/16, </t>
  </si>
  <si>
    <t>04/16, 05/16,  06/16-07/16-10/16,  11/16</t>
  </si>
  <si>
    <t>ДС №1 от 09.07.14</t>
  </si>
  <si>
    <t>Акт на Техн. Осв.14000</t>
  </si>
  <si>
    <r>
      <rPr>
        <b/>
        <sz val="9"/>
        <rFont val="Times New Roman"/>
        <family val="1"/>
        <charset val="204"/>
      </rPr>
      <t xml:space="preserve">ООО "Московский завод "ФИЗПРИБОР"                   </t>
    </r>
    <r>
      <rPr>
        <b/>
        <sz val="9"/>
        <color rgb="FFFF0000"/>
        <rFont val="Times New Roman"/>
        <family val="1"/>
        <charset val="204"/>
      </rPr>
      <t xml:space="preserve"> ДОГ.СКАН</t>
    </r>
  </si>
  <si>
    <r>
      <rPr>
        <sz val="9"/>
        <rFont val="Times New Roman"/>
        <family val="1"/>
        <charset val="204"/>
      </rPr>
      <t xml:space="preserve">Техническое обслуживание  подъемника                  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г.Подольск, ул. Парковая, д.2</t>
    </r>
  </si>
  <si>
    <t xml:space="preserve"> дог. ТО-102/11 от 30.11.11</t>
  </si>
  <si>
    <t xml:space="preserve">ежемес-но </t>
  </si>
  <si>
    <t>01/12 - 12/12,  01/13 - 12/13,  01/14 -  07/14 , 9/14 -12/14, 01/15 -12/15,</t>
  </si>
  <si>
    <r>
      <rPr>
        <sz val="9"/>
        <color rgb="FF339966"/>
        <rFont val="Arial"/>
        <family val="2"/>
        <charset val="204"/>
      </rPr>
      <t xml:space="preserve">01/16 </t>
    </r>
    <r>
      <rPr>
        <sz val="9"/>
        <color rgb="FF0000FF"/>
        <rFont val="Arial"/>
        <family val="2"/>
        <charset val="204"/>
      </rPr>
      <t xml:space="preserve">- 09/16,      </t>
    </r>
  </si>
  <si>
    <t xml:space="preserve">10/16-12/16,           </t>
  </si>
  <si>
    <t>ОАО "Московский ювелирный завод"                           новый дог. С 2012 г.</t>
  </si>
  <si>
    <t>01/16, 02/16, 03/16, 04/16</t>
  </si>
  <si>
    <t>2017 год</t>
  </si>
  <si>
    <r>
      <rPr>
        <b/>
        <sz val="11"/>
        <rFont val="Times New Roman"/>
        <family val="1"/>
        <charset val="204"/>
      </rPr>
      <t xml:space="preserve">Альфа-сити           </t>
    </r>
    <r>
      <rPr>
        <b/>
        <sz val="11"/>
        <color rgb="FFFF0000"/>
        <rFont val="Times New Roman"/>
        <family val="1"/>
        <charset val="204"/>
      </rPr>
      <t xml:space="preserve"> Дог.скан</t>
    </r>
  </si>
  <si>
    <t>№ ТО-126/13 от 01.04.13 автоматич.продление</t>
  </si>
  <si>
    <r>
      <rPr>
        <sz val="9"/>
        <color rgb="FF008000"/>
        <rFont val="Arial"/>
        <family val="2"/>
        <charset val="204"/>
      </rPr>
      <t xml:space="preserve">  04/13,11/14-?,   11/15,  02/16,- 12/16,    </t>
    </r>
    <r>
      <rPr>
        <sz val="9"/>
        <color rgb="FF993300"/>
        <rFont val="Arial"/>
        <family val="2"/>
        <charset val="204"/>
      </rPr>
      <t>01/17- 07/17</t>
    </r>
  </si>
  <si>
    <t xml:space="preserve">05/16               </t>
  </si>
  <si>
    <r>
      <rPr>
        <sz val="9"/>
        <color rgb="FF0000FF"/>
        <rFont val="Arial"/>
        <family val="2"/>
        <charset val="204"/>
      </rPr>
      <t>03/16-06/16,08/16,</t>
    </r>
    <r>
      <rPr>
        <sz val="9"/>
        <rFont val="Arial"/>
        <family val="2"/>
        <charset val="204"/>
      </rPr>
      <t xml:space="preserve">-10/16-12/16,    </t>
    </r>
    <r>
      <rPr>
        <sz val="9"/>
        <color rgb="FF008000"/>
        <rFont val="Arial"/>
        <family val="2"/>
        <charset val="204"/>
      </rPr>
      <t xml:space="preserve">                                     01/17- 11/17</t>
    </r>
  </si>
  <si>
    <t>Замена Двигателя привода дверей</t>
  </si>
  <si>
    <t>от 13.04.17</t>
  </si>
  <si>
    <t xml:space="preserve">01.01.2017 – </t>
  </si>
  <si>
    <t>коммерческий</t>
  </si>
  <si>
    <t>нет</t>
  </si>
  <si>
    <t>01/17</t>
  </si>
  <si>
    <t>№ 125/4.11-12-16 от 23.12.16 г.                                            ДС №1 от 03.04.2017        ДС №2 от 02.10.17</t>
  </si>
  <si>
    <t xml:space="preserve">  Устройство двухсторонней переговорной связи на двух пассажирских лифтах и ремонтные работы по лифтам рег. №100613 и 100614 по адресу: ул. Мясницкая д.13 стр.4 </t>
  </si>
  <si>
    <t>№ ТР 190/17  от ______________</t>
  </si>
  <si>
    <t>Рмонтные работы лифта  в здании Заказчика по адресу: ул. Кибальчича  д.7</t>
  </si>
  <si>
    <t>№ ТР 191/17                         о т   29.06.17</t>
  </si>
  <si>
    <t>47843,9 от 22.08.17</t>
  </si>
  <si>
    <t>Рмонтные работы лифта  в здании Заказчика по адресу: Кочновский проезд, д.3</t>
  </si>
  <si>
    <t>№ 55/4.11-10-17                        о т   05.10.17</t>
  </si>
  <si>
    <t>149356,97</t>
  </si>
  <si>
    <t>ФГБУ "Гидроспецгеология"</t>
  </si>
  <si>
    <t>техническое обслуживание лифтов (три лифта грузоподъемностью 630 кг и один лифт грузоподъемностью 500 кг)   г.Москва, ул. Маршала Рыбалко, д.4</t>
  </si>
  <si>
    <t xml:space="preserve">№ 0373100135816000375-0774667-01 от 03.02.17 </t>
  </si>
  <si>
    <t xml:space="preserve">276 079,50 /11=25 098,14 </t>
  </si>
  <si>
    <t>02/17-04/17,  07/17-12/17</t>
  </si>
  <si>
    <t>06/17   05/17</t>
  </si>
  <si>
    <r>
      <rPr>
        <sz val="9"/>
        <color rgb="FF008000"/>
        <rFont val="Times New Roman"/>
        <family val="1"/>
        <charset val="204"/>
      </rPr>
      <t>01/16, 03/16 04/16 -</t>
    </r>
    <r>
      <rPr>
        <sz val="9"/>
        <color rgb="FF0000FF"/>
        <rFont val="Times New Roman"/>
        <family val="1"/>
        <charset val="204"/>
      </rPr>
      <t>12/16,</t>
    </r>
    <r>
      <rPr>
        <sz val="9"/>
        <color rgb="FF008000"/>
        <rFont val="Times New Roman"/>
        <family val="1"/>
        <charset val="204"/>
      </rPr>
      <t xml:space="preserve">  01/17, 02/17,  </t>
    </r>
    <r>
      <rPr>
        <sz val="9"/>
        <color rgb="FF33CCCC"/>
        <rFont val="Times New Roman"/>
        <family val="1"/>
        <charset val="204"/>
      </rPr>
      <t>03/17,</t>
    </r>
    <r>
      <rPr>
        <sz val="9"/>
        <color rgb="FF008000"/>
        <rFont val="Times New Roman"/>
        <family val="1"/>
        <charset val="204"/>
      </rPr>
      <t xml:space="preserve"> 04/17, 05/17</t>
    </r>
  </si>
  <si>
    <t>02/16</t>
  </si>
  <si>
    <t>Илья Глазунов</t>
  </si>
  <si>
    <t xml:space="preserve">ТО лифтов и систем диспетчеризации лифтов </t>
  </si>
  <si>
    <t xml:space="preserve">№ А-16/005 от 24.10.2016 </t>
  </si>
  <si>
    <t>28873,35               ежемес-но</t>
  </si>
  <si>
    <t xml:space="preserve">01/17-07/17,  </t>
  </si>
  <si>
    <t xml:space="preserve">08/17- 12/17, </t>
  </si>
  <si>
    <r>
      <rPr>
        <sz val="9"/>
        <rFont val="Arial"/>
        <family val="2"/>
        <charset val="204"/>
      </rPr>
      <t xml:space="preserve">01/16, 02/16,  12/16,    </t>
    </r>
    <r>
      <rPr>
        <sz val="9"/>
        <color rgb="FF008000"/>
        <rFont val="Arial"/>
        <family val="2"/>
        <charset val="204"/>
      </rPr>
      <t xml:space="preserve">                                            01/17- 12/17</t>
    </r>
  </si>
  <si>
    <t xml:space="preserve">  03/16--07/16, </t>
  </si>
  <si>
    <t>Замена каната</t>
  </si>
  <si>
    <t>от 13.12.16</t>
  </si>
  <si>
    <t>ООО "КЕСКО-М"</t>
  </si>
  <si>
    <r>
      <rPr>
        <b/>
        <sz val="9"/>
        <rFont val="Times New Roman"/>
        <family val="1"/>
        <charset val="204"/>
      </rPr>
      <t xml:space="preserve">ТО-101/11 от 29.02.12  </t>
    </r>
    <r>
      <rPr>
        <b/>
        <sz val="9"/>
        <color rgb="FFFF0000"/>
        <rFont val="Times New Roman"/>
        <family val="1"/>
        <charset val="204"/>
      </rPr>
      <t xml:space="preserve"> скан договора</t>
    </r>
  </si>
  <si>
    <r>
      <rPr>
        <sz val="9"/>
        <color rgb="FF008000"/>
        <rFont val="Times New Roman"/>
        <family val="1"/>
        <charset val="204"/>
      </rPr>
      <t xml:space="preserve">01/16,  </t>
    </r>
    <r>
      <rPr>
        <sz val="9"/>
        <color rgb="FF0000FF"/>
        <rFont val="Times New Roman"/>
        <family val="1"/>
        <charset val="204"/>
      </rPr>
      <t>03/16- 06/16,   08/16- 12/16,      01/17</t>
    </r>
  </si>
  <si>
    <r>
      <rPr>
        <b/>
        <sz val="10"/>
        <color rgb="FFFF0000"/>
        <rFont val="Times New Roman"/>
        <family val="1"/>
        <charset val="204"/>
      </rPr>
      <t xml:space="preserve">02/16,   </t>
    </r>
    <r>
      <rPr>
        <b/>
        <sz val="10"/>
        <color rgb="FF0000FF"/>
        <rFont val="Times New Roman"/>
        <family val="1"/>
        <charset val="204"/>
      </rPr>
      <t xml:space="preserve">   07/16,   </t>
    </r>
    <r>
      <rPr>
        <b/>
        <sz val="10"/>
        <color rgb="FFFF0000"/>
        <rFont val="Times New Roman"/>
        <family val="1"/>
        <charset val="204"/>
      </rPr>
      <t xml:space="preserve">  02/17, 03/17</t>
    </r>
  </si>
  <si>
    <r>
      <rPr>
        <b/>
        <sz val="9"/>
        <rFont val="Arial"/>
        <family val="2"/>
        <charset val="204"/>
      </rPr>
      <t xml:space="preserve">ЗАО «ТОРГОВЫЙ ДОМ «ПЕРОВСКИЙ»    </t>
    </r>
    <r>
      <rPr>
        <b/>
        <sz val="9"/>
        <color rgb="FFFF0000"/>
        <rFont val="Arial"/>
        <family val="2"/>
        <charset val="204"/>
      </rPr>
      <t xml:space="preserve"> скан Дог.</t>
    </r>
  </si>
  <si>
    <t xml:space="preserve"> 01/16 - 06/16,  08/16,10/16-12/16,</t>
  </si>
  <si>
    <t xml:space="preserve"> 01/17, 02/17, 10/17,11/17</t>
  </si>
  <si>
    <t xml:space="preserve">07/16, 09/16, 03/17- 08/17, 12/17 </t>
  </si>
  <si>
    <t>ООО "КРЕАТИВ"</t>
  </si>
  <si>
    <t>Техническое обслуживание  лифта                                                                                                         г.Москва, ул.Казакова, д. 8 стр.2</t>
  </si>
  <si>
    <t>ТО-190/17                         от 30.06.17                         ДС №21 от 29.12.17</t>
  </si>
  <si>
    <t>ежем.</t>
  </si>
  <si>
    <t>07/17, 08/17, 09/17,</t>
  </si>
  <si>
    <r>
      <rPr>
        <b/>
        <sz val="9"/>
        <rFont val="Arial"/>
        <family val="2"/>
        <charset val="204"/>
      </rPr>
      <t xml:space="preserve">ООО «Прентисон Проперти»               </t>
    </r>
    <r>
      <rPr>
        <b/>
        <sz val="9"/>
        <color rgb="FFFF0000"/>
        <rFont val="Arial"/>
        <family val="2"/>
        <charset val="204"/>
      </rPr>
      <t xml:space="preserve">   скан </t>
    </r>
  </si>
  <si>
    <t xml:space="preserve">Техническое обслуживание 3-х лифтов (2пассажирских  г/п 500 кг и 630 кг и  малого грузового)                                          г.Москва, ул. Крутицкий Вал, д.14. </t>
  </si>
  <si>
    <t>11/13, 12/13, 01/14 -12/14,  01/15 -12/15, 01/16-11/16,</t>
  </si>
  <si>
    <t xml:space="preserve"> 01/17,  02/17, 03/17, 05/17  10/17-12/17</t>
  </si>
  <si>
    <t>04/17, 06/17-09/17</t>
  </si>
  <si>
    <t>Замена масла к гидросистеме лифтов</t>
  </si>
  <si>
    <t>03/17</t>
  </si>
  <si>
    <t>34000</t>
  </si>
  <si>
    <t>Московский Политех</t>
  </si>
  <si>
    <t xml:space="preserve">ремонт лифта  по адресу: г. Москва, ул. Большая Семеновская, д. 38, стр. 12 </t>
  </si>
  <si>
    <t>№ 186_МП-223-ЗЦ/17 от «30» августа 2017 г</t>
  </si>
  <si>
    <t>от 05.09.17</t>
  </si>
  <si>
    <t>ремонт лифта  по адресу: г. Москва, ул. БорисаГалушкина , д. 9</t>
  </si>
  <si>
    <t>№ 292_МП-223-ЗЦ/17 от «11» декабря 2017 г</t>
  </si>
  <si>
    <t>от 21.12.17</t>
  </si>
  <si>
    <t>выполнение работ по техническому обслуживанию лифтов Московского политехнического университета</t>
  </si>
  <si>
    <t>№35_МП-223-АЭФ/17 от 29.03.2017</t>
  </si>
  <si>
    <r>
      <rPr>
        <sz val="9"/>
        <color rgb="FF0000FF"/>
        <rFont val="Arial"/>
        <family val="2"/>
        <charset val="204"/>
      </rPr>
      <t>04/17,  05/17,</t>
    </r>
    <r>
      <rPr>
        <sz val="9"/>
        <color rgb="FFFF0000"/>
        <rFont val="Arial"/>
        <family val="2"/>
        <charset val="204"/>
      </rPr>
      <t xml:space="preserve">  06/17, </t>
    </r>
    <r>
      <rPr>
        <sz val="9"/>
        <color rgb="FF0000FF"/>
        <rFont val="Arial"/>
        <family val="2"/>
        <charset val="204"/>
      </rPr>
      <t>07/17</t>
    </r>
  </si>
  <si>
    <t>ООО Мослифт дог.№В077 от 31.03.2017</t>
  </si>
  <si>
    <t>169940, 67 (05/17)</t>
  </si>
  <si>
    <r>
      <rPr>
        <sz val="9"/>
        <color rgb="FF0000FF"/>
        <rFont val="Arial"/>
        <family val="2"/>
        <charset val="204"/>
      </rPr>
      <t xml:space="preserve"> </t>
    </r>
    <r>
      <rPr>
        <sz val="9"/>
        <color rgb="FF008000"/>
        <rFont val="Arial"/>
        <family val="2"/>
        <charset val="204"/>
      </rPr>
      <t>01/17- 10/17</t>
    </r>
  </si>
  <si>
    <r>
      <rPr>
        <b/>
        <sz val="9"/>
        <rFont val="Times New Roman"/>
        <family val="1"/>
        <charset val="204"/>
      </rPr>
      <t xml:space="preserve"> дог. ТО-25 от 31.12.08 </t>
    </r>
    <r>
      <rPr>
        <b/>
        <sz val="9"/>
        <color rgb="FFFF0000"/>
        <rFont val="Times New Roman"/>
        <family val="1"/>
        <charset val="204"/>
      </rPr>
      <t>скан</t>
    </r>
  </si>
  <si>
    <r>
      <rPr>
        <sz val="9"/>
        <color rgb="FF0000FF"/>
        <rFont val="Arial"/>
        <family val="2"/>
        <charset val="204"/>
      </rPr>
      <t xml:space="preserve"> 01/16-</t>
    </r>
    <r>
      <rPr>
        <sz val="9"/>
        <color rgb="FF339966"/>
        <rFont val="Arial"/>
        <family val="2"/>
        <charset val="204"/>
      </rPr>
      <t xml:space="preserve">12/16, </t>
    </r>
  </si>
  <si>
    <t xml:space="preserve"> дог. ТО-190/17от 30.12.16</t>
  </si>
  <si>
    <t xml:space="preserve"> 01/17-03/17, 05/17-09/17</t>
  </si>
  <si>
    <r>
      <rPr>
        <b/>
        <sz val="9"/>
        <rFont val="Times New Roman"/>
        <family val="1"/>
        <charset val="204"/>
      </rPr>
      <t xml:space="preserve">ООО «Техносервис»                                                        с 1.01.15 без НДС                                   </t>
    </r>
    <r>
      <rPr>
        <b/>
        <sz val="9"/>
        <color rgb="FFFF0000"/>
        <rFont val="Times New Roman"/>
        <family val="1"/>
        <charset val="204"/>
      </rPr>
      <t>Дог. скан</t>
    </r>
  </si>
  <si>
    <r>
      <rPr>
        <sz val="9"/>
        <color rgb="FF008000"/>
        <rFont val="Arial"/>
        <family val="2"/>
        <charset val="204"/>
      </rPr>
      <t xml:space="preserve">01/16, 02/16,  03/16, 10/16-12/16,            </t>
    </r>
    <r>
      <rPr>
        <sz val="9"/>
        <color rgb="FF800000"/>
        <rFont val="Arial"/>
        <family val="2"/>
        <charset val="204"/>
      </rPr>
      <t xml:space="preserve">   01/17,- 09/17</t>
    </r>
  </si>
  <si>
    <r>
      <rPr>
        <b/>
        <sz val="9"/>
        <rFont val="Times New Roman"/>
        <family val="1"/>
        <charset val="204"/>
      </rPr>
      <t xml:space="preserve">ООО "Московский завод "ФИЗПРИБОР"  </t>
    </r>
    <r>
      <rPr>
        <b/>
        <sz val="9"/>
        <color rgb="FFFF0000"/>
        <rFont val="Times New Roman"/>
        <family val="1"/>
        <charset val="204"/>
      </rPr>
      <t>скан</t>
    </r>
  </si>
  <si>
    <t>01/12 - 12/12,  01/13 - 12/13,  01/14 -  07/14 , 9/14 -12/14, 01/15 -12/15,01/16 -  12/16,   01/17-03/17 06/17- 09/17, 11/17. 12/17</t>
  </si>
  <si>
    <t xml:space="preserve">        </t>
  </si>
  <si>
    <t xml:space="preserve">ООО "Ф-Клининг" </t>
  </si>
  <si>
    <r>
      <rPr>
        <b/>
        <sz val="10"/>
        <rFont val="Arial"/>
        <family val="2"/>
        <charset val="204"/>
      </rPr>
      <t xml:space="preserve">ТО и ремонт двух пассажирских лифтов </t>
    </r>
    <r>
      <rPr>
        <sz val="10"/>
        <rFont val="Arial"/>
        <family val="2"/>
        <charset val="204"/>
      </rPr>
      <t xml:space="preserve">       г Москва, Симферопольский бульвар, д.13.                           </t>
    </r>
  </si>
  <si>
    <t>№ ТО-189/17                    от 26.12.16</t>
  </si>
  <si>
    <t xml:space="preserve"> 01/17-07/17</t>
  </si>
  <si>
    <t>Андреев Ю.А.</t>
  </si>
  <si>
    <t xml:space="preserve">Техническое обслуживание лифта  Москова, Гранатный переулок д.6 </t>
  </si>
  <si>
    <t>№ ТО-190/17                    от 31.07.17</t>
  </si>
  <si>
    <t>Г-н Дзуцев Игорь                           Дмитриевич</t>
  </si>
  <si>
    <t xml:space="preserve">ТО пас-го лифта   г/п 1000кг «JADE 400» производства LM (Германия) 
и малого грузового лифта г/п 100кг, производства BKG (Германия)                                          МО, Одинцовский район, РП «Заречье», ул. Радужная, дом 10.
</t>
  </si>
  <si>
    <t xml:space="preserve">№ ТО-195/17 от 31.03.2017 г. </t>
  </si>
  <si>
    <t>04-06/17,                   07-09/17</t>
  </si>
  <si>
    <t xml:space="preserve">МТУСИ </t>
  </si>
  <si>
    <r>
      <rPr>
        <sz val="9"/>
        <rFont val="Times New Roman"/>
        <family val="1"/>
        <charset val="204"/>
      </rPr>
      <t xml:space="preserve">техническое обслуживание 5 (пяти) лифтов   </t>
    </r>
    <r>
      <rPr>
        <sz val="9"/>
        <rFont val="Times New Roman"/>
        <family val="1"/>
        <charset val="204"/>
      </rPr>
      <t xml:space="preserve">                                                  г.  Москва, ул. Народного Ополчения  д. 32 и в здании общежития № 4 МТУСИ по адресу: г. Москва,  ул. Маршала Тухачевского, д.18</t>
    </r>
  </si>
  <si>
    <t>№ 678ЭА44-17                                от 31.07. 2017г</t>
  </si>
  <si>
    <t>08/17 09/17</t>
  </si>
  <si>
    <t>2018 год</t>
  </si>
  <si>
    <r>
      <rPr>
        <b/>
        <sz val="11"/>
        <rFont val="Times New Roman"/>
        <family val="1"/>
        <charset val="204"/>
      </rPr>
      <t xml:space="preserve">Альфа-сити            </t>
    </r>
    <r>
      <rPr>
        <b/>
        <sz val="11"/>
        <color rgb="FFFF0000"/>
        <rFont val="Times New Roman"/>
        <family val="1"/>
        <charset val="204"/>
      </rPr>
      <t>Дог.скан</t>
    </r>
  </si>
  <si>
    <t>№ ТО-126/13 от 01.04.13 расторгнут</t>
  </si>
  <si>
    <t xml:space="preserve">  04/13,11/14-?,   11/15,  02/16,- 12/16,    01/17-12/17</t>
  </si>
  <si>
    <t>заплатили по февраль пол м-ца</t>
  </si>
  <si>
    <r>
      <rPr>
        <b/>
        <sz val="9"/>
        <rFont val="Arial"/>
        <family val="2"/>
        <charset val="204"/>
      </rPr>
      <t xml:space="preserve">ФГУП «НТЦ «Атлас»                   </t>
    </r>
    <r>
      <rPr>
        <b/>
        <sz val="9"/>
        <color rgb="FFFF0000"/>
        <rFont val="Arial"/>
        <family val="2"/>
        <charset val="204"/>
      </rPr>
      <t xml:space="preserve">  на 24 мес.</t>
    </r>
  </si>
  <si>
    <t>Техническое обслуживание  лифтов по адресу: 127018, г. Москва, ул. Образцова, д. 38</t>
  </si>
  <si>
    <t xml:space="preserve"> № 431к/2017 от «29.12. 2017 г.                                   ДС №1 От 30.03.2018                ДС №2 От 12.09.2019    </t>
  </si>
  <si>
    <t xml:space="preserve">с 1.01.18 - 31.12.19 </t>
  </si>
  <si>
    <t>65349,65                 в мес.</t>
  </si>
  <si>
    <t xml:space="preserve">                                01/18- 06/18,  08/18, 09/18,</t>
  </si>
  <si>
    <t xml:space="preserve">ФГУП «НТЦ «Атлас»                   </t>
  </si>
  <si>
    <t>Ремонт  лифтов инв.№ 7579, № 7575по адресу: 127018, г. Москва, ул. Образцова, д. 38</t>
  </si>
  <si>
    <t>№218к/2018 от 04.09.18</t>
  </si>
  <si>
    <t>что это</t>
  </si>
  <si>
    <r>
      <rPr>
        <b/>
        <sz val="9"/>
        <rFont val="Arial"/>
        <family val="2"/>
        <charset val="204"/>
      </rPr>
      <t xml:space="preserve">№ ТО-196/17 от 29.12.17   автоматич.продление </t>
    </r>
    <r>
      <rPr>
        <b/>
        <sz val="9"/>
        <color rgb="FFFF0000"/>
        <rFont val="Arial"/>
        <family val="2"/>
        <charset val="204"/>
      </rPr>
      <t>ДС -?</t>
    </r>
  </si>
  <si>
    <t xml:space="preserve">с 1.01.18 - 31.12.18 </t>
  </si>
  <si>
    <t xml:space="preserve">03/16-06/16,08/16,-10/16-12/16,          01/17- 12/17                                    </t>
  </si>
  <si>
    <r>
      <rPr>
        <sz val="9"/>
        <rFont val="Arial"/>
        <family val="2"/>
        <charset val="204"/>
      </rPr>
      <t xml:space="preserve">02/18- 06/18, 08/18-12/18   </t>
    </r>
    <r>
      <rPr>
        <sz val="9"/>
        <color rgb="FF008000"/>
        <rFont val="Arial"/>
        <family val="2"/>
        <charset val="204"/>
      </rPr>
      <t xml:space="preserve">                      </t>
    </r>
  </si>
  <si>
    <t xml:space="preserve">01/18, </t>
  </si>
  <si>
    <t xml:space="preserve">№ 167/04.11-12-17                       от 28.12.17 г.                                   ДС №1   от   12.07.18        ДС №2   от   12.07.18          ДС №3 от 28.12.18                                  </t>
  </si>
  <si>
    <t>01/18-12/18</t>
  </si>
  <si>
    <t>Ремонт и замена отдельных элементов лифтового оборудования на лифтах рег.№  04495, №04499по адресу г.Москва ул.Таллинская д.34</t>
  </si>
  <si>
    <t xml:space="preserve">№ ТР 201/18                     от 27.04.2018                                    </t>
  </si>
  <si>
    <t>10 дн.</t>
  </si>
  <si>
    <t>147 775,79 руб.</t>
  </si>
  <si>
    <t>Ремонт и замена отдельных элементов лифтового оборудования на лифте рег.№ 04495 по адресу г.Москва ул.Таллинская д.34</t>
  </si>
  <si>
    <t xml:space="preserve">№ ТР 203/18                     от 19.11.18 г.                                            </t>
  </si>
  <si>
    <t xml:space="preserve"> 147 752,25</t>
  </si>
  <si>
    <t>Ремонт лифта грузоподъемностью 500 кг, рег.№ 43535  Славянская пл.</t>
  </si>
  <si>
    <t xml:space="preserve">№198-18                                       от 21.08.18          </t>
  </si>
  <si>
    <t xml:space="preserve">  144 253,76 </t>
  </si>
  <si>
    <t>от 21.08.18</t>
  </si>
  <si>
    <t>сч.199</t>
  </si>
  <si>
    <t>Ремонт лифта грузоподъемностью 1000 кг, рег.№  123743 Кочновский пр-д д.3</t>
  </si>
  <si>
    <t xml:space="preserve">№ТР 204-18                                       от 19.09.18          </t>
  </si>
  <si>
    <t>145 560,52</t>
  </si>
  <si>
    <t>145 560,52 от 28.09.18</t>
  </si>
  <si>
    <t>№0373100135817000371-0774667-01   от 29.12.17   ДС №1 от 01.01.18</t>
  </si>
  <si>
    <t xml:space="preserve">94288 /12=7857,33 </t>
  </si>
  <si>
    <t>02/17-04/17,  07/17-12/17                         02/18   04/18- 10/18</t>
  </si>
  <si>
    <t xml:space="preserve">05/17,06/17              01/18,  03/18, </t>
  </si>
  <si>
    <t>08/17- 12/17</t>
  </si>
  <si>
    <t>Институт ФГБУ «НМИЦ ДГОИ им. Дмитрия Рогачева» Минздрава России</t>
  </si>
  <si>
    <r>
      <rPr>
        <sz val="9"/>
        <rFont val="Times New Roman"/>
        <family val="1"/>
        <charset val="204"/>
      </rPr>
      <t xml:space="preserve">Техническое обслуживание лифтового оборудования </t>
    </r>
    <r>
      <rPr>
        <b/>
        <sz val="9"/>
        <rFont val="Times New Roman"/>
        <family val="1"/>
        <charset val="204"/>
      </rPr>
      <t xml:space="preserve">ЛРНЦ «Русское поле»                          МО Чеховский район, сельское поселение Стремиловское, д. Гришенки, владение 1 комплекс зданий и сооружений ЛРНЦ «Русское поле» </t>
    </r>
  </si>
  <si>
    <t>№ 864/2017-ЭА  от 30.12.2017                                     ДС №1 от 31.01.18</t>
  </si>
  <si>
    <t>123094,83               ежемес-но</t>
  </si>
  <si>
    <t xml:space="preserve">01/18-10/18 </t>
  </si>
  <si>
    <r>
      <rPr>
        <b/>
        <sz val="9"/>
        <rFont val="Arial"/>
        <family val="2"/>
        <charset val="204"/>
      </rPr>
      <t xml:space="preserve">№ ТО-136/13 от 01.07.13 </t>
    </r>
    <r>
      <rPr>
        <b/>
        <sz val="9"/>
        <color rgb="FFFF0000"/>
        <rFont val="Arial"/>
        <family val="2"/>
        <charset val="204"/>
      </rPr>
      <t>ДС -?</t>
    </r>
  </si>
  <si>
    <r>
      <rPr>
        <b/>
        <sz val="9"/>
        <rFont val="Times New Roman"/>
        <family val="1"/>
        <charset val="204"/>
      </rPr>
      <t xml:space="preserve">ООО "КЕСКО-М"                                         </t>
    </r>
    <r>
      <rPr>
        <b/>
        <sz val="9"/>
        <color rgb="FFFF0000"/>
        <rFont val="Times New Roman"/>
        <family val="1"/>
        <charset val="204"/>
      </rPr>
      <t>Дог.  скан</t>
    </r>
  </si>
  <si>
    <r>
      <rPr>
        <b/>
        <sz val="9"/>
        <rFont val="Times New Roman"/>
        <family val="1"/>
        <charset val="204"/>
      </rPr>
      <t xml:space="preserve">ТО-101/11 от 29.02.12  </t>
    </r>
    <r>
      <rPr>
        <sz val="9"/>
        <color rgb="FFFF0000"/>
        <rFont val="Times New Roman"/>
        <family val="1"/>
        <charset val="204"/>
      </rPr>
      <t xml:space="preserve"> </t>
    </r>
    <r>
      <rPr>
        <b/>
        <sz val="9"/>
        <color rgb="FFFF0000"/>
        <rFont val="Times New Roman"/>
        <family val="1"/>
        <charset val="204"/>
      </rPr>
      <t>скан договора</t>
    </r>
  </si>
  <si>
    <t>ДС №1 от 29.12.12                               ДС №2 от 29.12.2017</t>
  </si>
  <si>
    <t xml:space="preserve"> 01/13 -12/13,  01/14 -12/14, 01/15 -12/15, 01/16,  03/16- 12/16,      01/17-12/17 </t>
  </si>
  <si>
    <r>
      <rPr>
        <sz val="9"/>
        <color rgb="FF0000FF"/>
        <rFont val="Times New Roman"/>
        <family val="1"/>
        <charset val="204"/>
      </rPr>
      <t xml:space="preserve">  </t>
    </r>
    <r>
      <rPr>
        <sz val="9"/>
        <color rgb="FF99CC00"/>
        <rFont val="Times New Roman"/>
        <family val="1"/>
        <charset val="204"/>
      </rPr>
      <t xml:space="preserve"> 01/18-04.18                            06./18-09/18</t>
    </r>
  </si>
  <si>
    <t xml:space="preserve"> 04/18</t>
  </si>
  <si>
    <t xml:space="preserve">02/16,      07/16,     02/17, </t>
  </si>
  <si>
    <t xml:space="preserve">МЧС России (ФКУ НЦУКС) </t>
  </si>
  <si>
    <t>Техническое обслуживание инженерного оборудования лифтов подъемников и т.д.                 г.Москва  ул.Ватутина д.1 стр.1</t>
  </si>
  <si>
    <t>№7 от 16.01.18</t>
  </si>
  <si>
    <t>01/18, 06/18</t>
  </si>
  <si>
    <t>ООО "КРЕАТИВ"  ДС №21 от 29.12.17</t>
  </si>
  <si>
    <t xml:space="preserve">07/17-11/17   </t>
  </si>
  <si>
    <t xml:space="preserve">                                         01/18-12/18</t>
  </si>
  <si>
    <r>
      <rPr>
        <b/>
        <sz val="9"/>
        <rFont val="Arial"/>
        <family val="2"/>
        <charset val="204"/>
      </rPr>
      <t xml:space="preserve">ЗАО «ТОРГОВЫЙ ДОМ «ПЕРОВСКИЙ»                НЕТ ДОГОВОРА И ДС      </t>
    </r>
    <r>
      <rPr>
        <b/>
        <sz val="9"/>
        <color rgb="FFFF0000"/>
        <rFont val="Arial"/>
        <family val="2"/>
        <charset val="204"/>
      </rPr>
      <t xml:space="preserve"> </t>
    </r>
  </si>
  <si>
    <t>№ ТР-170/16 от 27.06.16     ДС №1 от 29.12.17</t>
  </si>
  <si>
    <t xml:space="preserve"> 01/16 - 06/16,  08/16,10/16-12/16,  01/17, 02/17, 04/17 - 12/17 </t>
  </si>
  <si>
    <t xml:space="preserve">                                                 01/18 - 12/18</t>
  </si>
  <si>
    <t xml:space="preserve">07/16, 09/16,                                   03/17- 05/17,  </t>
  </si>
  <si>
    <t>взять сканы в бухгалтерии на отсутствующие м-ца</t>
  </si>
  <si>
    <r>
      <rPr>
        <b/>
        <sz val="9"/>
        <rFont val="Arial"/>
        <family val="2"/>
        <charset val="204"/>
      </rPr>
      <t xml:space="preserve">ООО «Прентисон Проперти»   </t>
    </r>
    <r>
      <rPr>
        <sz val="11"/>
        <color rgb="FFFF0000"/>
        <rFont val="Arial"/>
        <family val="2"/>
        <charset val="204"/>
      </rPr>
      <t xml:space="preserve">        </t>
    </r>
    <r>
      <rPr>
        <b/>
        <sz val="9"/>
        <color rgb="FFFF0000"/>
        <rFont val="Arial"/>
        <family val="2"/>
        <charset val="204"/>
      </rPr>
      <t xml:space="preserve"> </t>
    </r>
  </si>
  <si>
    <t xml:space="preserve">№ ТО-198/17 от 29.12.17 </t>
  </si>
  <si>
    <t>11/13, 12/13, 01/14 -12/14,  01/15 -12/15, 01/16-11/16,               01/17 -12/17</t>
  </si>
  <si>
    <t>01/18 -10/18</t>
  </si>
  <si>
    <t>04/17-06/17-09/17</t>
  </si>
  <si>
    <r>
      <rPr>
        <b/>
        <sz val="9"/>
        <rFont val="Arial"/>
        <family val="2"/>
        <charset val="204"/>
      </rPr>
      <t xml:space="preserve">№ 186_МП-223-ЗЦ/17 от «30» августа 2017 г </t>
    </r>
    <r>
      <rPr>
        <sz val="9"/>
        <color rgb="FFFF0000"/>
        <rFont val="Arial"/>
        <family val="2"/>
        <charset val="204"/>
      </rPr>
      <t>электронная площадка</t>
    </r>
  </si>
  <si>
    <t>№35_МП-223-АЭФ/17 от 29.03.2017               ДС №1 от 01.04.17                     ДС №2 от _________</t>
  </si>
  <si>
    <r>
      <rPr>
        <sz val="9"/>
        <color rgb="FF0000FF"/>
        <rFont val="Arial"/>
        <family val="2"/>
        <charset val="204"/>
      </rPr>
      <t>04/17,  05/17,</t>
    </r>
    <r>
      <rPr>
        <sz val="9"/>
        <color rgb="FFFF0000"/>
        <rFont val="Arial"/>
        <family val="2"/>
        <charset val="204"/>
      </rPr>
      <t xml:space="preserve">  06/17, </t>
    </r>
    <r>
      <rPr>
        <sz val="9"/>
        <color rgb="FF0000FF"/>
        <rFont val="Arial"/>
        <family val="2"/>
        <charset val="204"/>
      </rPr>
      <t>07/17  08/17  09/17  11/17 (01/18- 03/18 cканы)</t>
    </r>
  </si>
  <si>
    <t>сканы на отсутв.</t>
  </si>
  <si>
    <t>ООО "Природа Инвест</t>
  </si>
  <si>
    <r>
      <rPr>
        <sz val="9"/>
        <rFont val="Times New Roman"/>
        <family val="1"/>
        <charset val="204"/>
      </rPr>
      <t xml:space="preserve">Техническое обслуживание  лифта   г/п 1275 кг, эскалатора           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г.Москва, ул. Тушинская д.16 стр.2</t>
    </r>
  </si>
  <si>
    <r>
      <rPr>
        <b/>
        <sz val="9"/>
        <rFont val="Arial"/>
        <family val="2"/>
        <charset val="204"/>
      </rPr>
      <t xml:space="preserve">№ ТО-4/17 от 01.11.2017 г.    </t>
    </r>
    <r>
      <rPr>
        <b/>
        <sz val="9"/>
        <color rgb="FFFF0000"/>
        <rFont val="Arial"/>
        <family val="2"/>
        <charset val="204"/>
      </rPr>
      <t>ДС нет</t>
    </r>
  </si>
  <si>
    <t xml:space="preserve"> c 11/17  до 11/18 далее автом. Продлева               ется</t>
  </si>
  <si>
    <t>15000 в мес.</t>
  </si>
  <si>
    <t>11/17 - 09/18</t>
  </si>
  <si>
    <r>
      <rPr>
        <sz val="9"/>
        <rFont val="Times New Roman"/>
        <family val="1"/>
        <charset val="204"/>
      </rPr>
      <t xml:space="preserve">Техническое обслуживание  лифта   г/п           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г.Москва, ул. Казакова, д.8 стр.6  </t>
    </r>
  </si>
  <si>
    <t xml:space="preserve"> №20-16-04-0375  от 15.01.16    ДС №2 от</t>
  </si>
  <si>
    <t xml:space="preserve"> 01/16-12/16,  01/17- 12/17 </t>
  </si>
  <si>
    <r>
      <rPr>
        <sz val="9"/>
        <color rgb="FF008000"/>
        <rFont val="Arial"/>
        <family val="2"/>
        <charset val="204"/>
      </rPr>
      <t xml:space="preserve">                                        </t>
    </r>
    <r>
      <rPr>
        <sz val="9"/>
        <color rgb="FF333399"/>
        <rFont val="Arial"/>
        <family val="2"/>
        <charset val="204"/>
      </rPr>
      <t>01/18- 10/18,</t>
    </r>
  </si>
  <si>
    <r>
      <rPr>
        <b/>
        <sz val="9"/>
        <rFont val="Arial"/>
        <family val="2"/>
        <charset val="204"/>
      </rPr>
      <t xml:space="preserve">ФГБУ «Росгеолфонд»              </t>
    </r>
    <r>
      <rPr>
        <b/>
        <sz val="9"/>
        <color rgb="FFFF0000"/>
        <rFont val="Arial"/>
        <family val="2"/>
        <charset val="204"/>
      </rPr>
      <t xml:space="preserve">   нет договора</t>
    </r>
  </si>
  <si>
    <t>Комплексное и техническое обслуживание и ремонт 1-го грузового и 6-и пассажирских лифтов ФГБУ «Росгеолфонд»            по адресу: г. Москва, ул.3-я Магистральная, д.38</t>
  </si>
  <si>
    <t xml:space="preserve"> №0373100135917000128-0775247-01  от 08.12.17  ДС №1 от 21/02/18</t>
  </si>
  <si>
    <r>
      <rPr>
        <sz val="9"/>
        <color rgb="FF0000FF"/>
        <rFont val="Arial"/>
        <family val="2"/>
        <charset val="204"/>
      </rPr>
      <t xml:space="preserve">01/18-09/18                        </t>
    </r>
    <r>
      <rPr>
        <sz val="9"/>
        <color rgb="FFFF0000"/>
        <rFont val="Arial"/>
        <family val="2"/>
        <charset val="204"/>
      </rPr>
      <t>10 ? 11 и 12 - сканы</t>
    </r>
  </si>
  <si>
    <t>Ремонт лифтового оборудования шести лифтов по адресу:  г.Москва ул. 3-я Магистральная д.38</t>
  </si>
  <si>
    <t>101238,78 - должны прислать скан</t>
  </si>
  <si>
    <t>ООО «СЕРВИСТОРГ-47» закрыт</t>
  </si>
  <si>
    <t>04/17 10/17-12/17 01/18-04/18</t>
  </si>
  <si>
    <r>
      <rPr>
        <b/>
        <sz val="9"/>
        <rFont val="Times New Roman"/>
        <family val="1"/>
        <charset val="204"/>
      </rPr>
      <t xml:space="preserve">ООО «Техносервис»                                                       </t>
    </r>
    <r>
      <rPr>
        <sz val="9"/>
        <color rgb="FFFF0000"/>
        <rFont val="Times New Roman"/>
        <family val="1"/>
        <charset val="204"/>
      </rPr>
      <t xml:space="preserve"> </t>
    </r>
  </si>
  <si>
    <t>№ ТО-199/17 от 29.12.17</t>
  </si>
  <si>
    <t xml:space="preserve">Ежемес-но </t>
  </si>
  <si>
    <t xml:space="preserve">9/13 - 12/13, , 01/14 -12/14,  01/15 -12/15,  01/16-12/16,               01/17,- 07/17   10/17,- 12/17 </t>
  </si>
  <si>
    <r>
      <rPr>
        <sz val="9"/>
        <color rgb="FF800000"/>
        <rFont val="Arial"/>
        <family val="2"/>
        <charset val="204"/>
      </rPr>
      <t xml:space="preserve">                   </t>
    </r>
    <r>
      <rPr>
        <sz val="9"/>
        <color rgb="FF008000"/>
        <rFont val="Arial"/>
        <family val="2"/>
        <charset val="204"/>
      </rPr>
      <t>02/18,  06/18, 07/18, 10/18-12/18</t>
    </r>
  </si>
  <si>
    <t xml:space="preserve"> 08/17, 09/17,  01/18, 03/18- 05/18, 09/18 </t>
  </si>
  <si>
    <t>Театр Табакова</t>
  </si>
  <si>
    <r>
      <rPr>
        <sz val="9"/>
        <rFont val="Times New Roman"/>
        <family val="1"/>
        <charset val="204"/>
      </rPr>
      <t xml:space="preserve">Техническое обслуживание  лифтов ГБПОУ              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г.Москва, ул. Казакова, д.8 стр.6  </t>
    </r>
  </si>
  <si>
    <t xml:space="preserve"> №0373200225017000004  от 29.08.17  ДС №1 от 01.02.18 г.</t>
  </si>
  <si>
    <t>до 31.12.18</t>
  </si>
  <si>
    <t>01/18-04/18, 07/18 -09/18</t>
  </si>
  <si>
    <t>06/18,  05/18</t>
  </si>
  <si>
    <r>
      <rPr>
        <b/>
        <sz val="9"/>
        <rFont val="Times New Roman"/>
        <family val="1"/>
        <charset val="204"/>
      </rPr>
      <t xml:space="preserve">ООО "Московский завод "ФИЗПРИБОР"                </t>
    </r>
    <r>
      <rPr>
        <b/>
        <sz val="9"/>
        <rFont val="Times New Roman"/>
        <family val="1"/>
        <charset val="204"/>
      </rPr>
      <t xml:space="preserve"> нет   договора</t>
    </r>
  </si>
  <si>
    <r>
      <rPr>
        <b/>
        <sz val="9"/>
        <color rgb="FFFF0000"/>
        <rFont val="Times New Roman"/>
        <family val="1"/>
        <charset val="204"/>
      </rPr>
      <t xml:space="preserve"> дог. ТО-102/11 от 30.11.11</t>
    </r>
    <r>
      <rPr>
        <b/>
        <sz val="9"/>
        <color rgb="FFFF0000"/>
        <rFont val="Times New Roman"/>
        <family val="1"/>
        <charset val="204"/>
      </rPr>
      <t xml:space="preserve"> ДС - ?</t>
    </r>
  </si>
  <si>
    <r>
      <rPr>
        <sz val="9"/>
        <color rgb="FF339966"/>
        <rFont val="Arial"/>
        <family val="2"/>
        <charset val="204"/>
      </rPr>
      <t xml:space="preserve">01/16 </t>
    </r>
    <r>
      <rPr>
        <sz val="9"/>
        <color rgb="FF0000FF"/>
        <rFont val="Arial"/>
        <family val="2"/>
        <charset val="204"/>
      </rPr>
      <t xml:space="preserve">-  12/16,   01/17-03/17 06/17- 12/17 , </t>
    </r>
    <r>
      <rPr>
        <sz val="9"/>
        <color rgb="FF008000"/>
        <rFont val="Arial"/>
        <family val="2"/>
        <charset val="204"/>
      </rPr>
      <t xml:space="preserve"> 05/18, 07/18- 09/18</t>
    </r>
  </si>
  <si>
    <t xml:space="preserve">    01/18 - 04/18    </t>
  </si>
  <si>
    <t>взять сканы в бухгалтерии 04 и 05/17</t>
  </si>
  <si>
    <t>№ ТО-189/17                    от 26.12.16                       ДС №1 от 29.12.17</t>
  </si>
  <si>
    <r>
      <rPr>
        <sz val="9"/>
        <color rgb="FF000000"/>
        <rFont val="Times New Roman"/>
        <family val="1"/>
        <charset val="204"/>
      </rPr>
      <t xml:space="preserve"> 01/17-08/17 , 10/17</t>
    </r>
    <r>
      <rPr>
        <sz val="9"/>
        <color rgb="FF008000"/>
        <rFont val="Times New Roman"/>
        <family val="1"/>
        <charset val="204"/>
      </rPr>
      <t>,                                    01/18 - 07/18, 09/18, 10/18</t>
    </r>
  </si>
  <si>
    <t>08/18                                                       взять сканы в бухгалтерии 11 и 12/17</t>
  </si>
  <si>
    <t>МТУСИз    эл.версия</t>
  </si>
  <si>
    <r>
      <rPr>
        <sz val="9"/>
        <rFont val="Arial"/>
        <family val="2"/>
        <charset val="204"/>
      </rPr>
      <t xml:space="preserve">№ 678ЭА44-17                             </t>
    </r>
    <r>
      <rPr>
        <b/>
        <sz val="9"/>
        <color rgb="FFFF0000"/>
        <rFont val="Arial"/>
        <family val="2"/>
        <charset val="204"/>
      </rPr>
      <t xml:space="preserve">   от 31.07. 2017г ДС №1 от 29.12.19</t>
    </r>
  </si>
  <si>
    <t>96926,22 в мес-ц</t>
  </si>
  <si>
    <t>08/17 09/17  05/18- 08/18, 10/18</t>
  </si>
  <si>
    <r>
      <rPr>
        <sz val="9"/>
        <rFont val="Arial"/>
        <family val="2"/>
        <charset val="204"/>
      </rPr>
      <t xml:space="preserve">№ 01/08-2018                             </t>
    </r>
    <r>
      <rPr>
        <b/>
        <sz val="9"/>
        <rFont val="Arial"/>
        <family val="2"/>
        <charset val="204"/>
      </rPr>
      <t xml:space="preserve">   о</t>
    </r>
    <r>
      <rPr>
        <sz val="9"/>
        <rFont val="Arial"/>
        <family val="2"/>
        <charset val="204"/>
      </rPr>
      <t>т 01.08. 2018г  на один месяц</t>
    </r>
  </si>
  <si>
    <r>
      <rPr>
        <sz val="9"/>
        <color rgb="FFFF0000"/>
        <rFont val="Arial"/>
        <family val="2"/>
        <charset val="204"/>
      </rPr>
      <t xml:space="preserve">№ 01/09-2018                             </t>
    </r>
    <r>
      <rPr>
        <b/>
        <sz val="9"/>
        <color rgb="FFFF0000"/>
        <rFont val="Arial"/>
        <family val="2"/>
        <charset val="204"/>
      </rPr>
      <t xml:space="preserve"> 678ЭА44-17</t>
    </r>
    <r>
      <rPr>
        <sz val="9"/>
        <color rgb="FFFF0000"/>
        <rFont val="Arial"/>
        <family val="2"/>
        <charset val="204"/>
      </rPr>
      <t xml:space="preserve">  </t>
    </r>
    <r>
      <rPr>
        <b/>
        <sz val="9"/>
        <color rgb="FFFF0000"/>
        <rFont val="Arial"/>
        <family val="2"/>
        <charset val="204"/>
      </rPr>
      <t xml:space="preserve"> нет договора</t>
    </r>
  </si>
  <si>
    <t xml:space="preserve">ФГУП «НТЦ «Атлас»  </t>
  </si>
  <si>
    <t>2019 год</t>
  </si>
  <si>
    <t xml:space="preserve"> № 431к/2017 от «29.12. 2017 г.                                   ДС №1 От 30.03.2018</t>
  </si>
  <si>
    <t xml:space="preserve">             01/18- 06/18,  08/18 - 12/18,</t>
  </si>
  <si>
    <t xml:space="preserve">03/16-06/16,08/16,-10/16-12/16,          01/17- 12/17     02/18- 06/18, 08/18-12/18                                  </t>
  </si>
  <si>
    <t>01/19 - 12/19</t>
  </si>
  <si>
    <t xml:space="preserve">№ 167/04.11-12-17                       от 28.12.17 г.                                          ДС №3 от 28.12.18                             </t>
  </si>
  <si>
    <t xml:space="preserve">          </t>
  </si>
  <si>
    <t xml:space="preserve">№ 57/04.11-03-19                       от 13.03.19 г.                 ДС №1 от _______      ДС №2 от ___ 08.19                ДС №3 от 10.09.19              ДС №4 от 01.10.19                             </t>
  </si>
  <si>
    <t>01.04.19 -31.12.2019</t>
  </si>
  <si>
    <t>01/19 -  12/19</t>
  </si>
  <si>
    <t>Ремонт лифта грузоподъемностью 630 кг, рег.№ 4154739  Кирпичная 33</t>
  </si>
  <si>
    <t xml:space="preserve">№ТР 205-19                                       от 01.02.19          </t>
  </si>
  <si>
    <t>146 326,47</t>
  </si>
  <si>
    <t>146 326,47  от 14.02.2019</t>
  </si>
  <si>
    <t>Ремонт лифта грузоподъемностью 1000 кг, рег.№ 43535  Шаболовка 26 корп.4</t>
  </si>
  <si>
    <t xml:space="preserve">№ТР 206-19                                       от 01.02.19          </t>
  </si>
  <si>
    <t>149 598,61</t>
  </si>
  <si>
    <t>149 598,61  от15.02.2019</t>
  </si>
  <si>
    <t>Ремонт лифта грузоподъемностью 630 кг, рег.№ 93932  Б.Переяславсая д.50 стр.1</t>
  </si>
  <si>
    <t xml:space="preserve">№ТР 208-19                                       от __.07.19          </t>
  </si>
  <si>
    <t>149 152,38</t>
  </si>
  <si>
    <t>Замена отд. элем. лифта грузоподъемностью 630 кг, рег.№ 93933 Б.Переяславсая д.50 стр.1</t>
  </si>
  <si>
    <t xml:space="preserve">№ТР 209/19                                       от 25.10.19          </t>
  </si>
  <si>
    <t>131506,76</t>
  </si>
  <si>
    <t>от 30.10.19</t>
  </si>
  <si>
    <t>№03731001358190002740001  от 25/11/2019 г.</t>
  </si>
  <si>
    <t>90000</t>
  </si>
  <si>
    <t>90000 от 13.12.19</t>
  </si>
  <si>
    <t xml:space="preserve">№0373100135818000244-0774667-01                     от 14.11.18  </t>
  </si>
  <si>
    <r>
      <rPr>
        <sz val="9"/>
        <rFont val="Arial"/>
        <family val="2"/>
        <charset val="204"/>
      </rPr>
      <t xml:space="preserve">01.01.2019 - </t>
    </r>
    <r>
      <rPr>
        <b/>
        <sz val="9"/>
        <color rgb="FFFF0000"/>
        <rFont val="Arial"/>
        <family val="2"/>
        <charset val="204"/>
      </rPr>
      <t>31.12.20</t>
    </r>
  </si>
  <si>
    <t xml:space="preserve">286400 /24=11933,33 </t>
  </si>
  <si>
    <t>02/17-04/17,  07/17-12/17                         02/18   04/18- 12/18</t>
  </si>
  <si>
    <r>
      <rPr>
        <sz val="9"/>
        <rFont val="Arial"/>
        <family val="2"/>
        <charset val="204"/>
      </rPr>
      <t xml:space="preserve"> 01/19,  - 12/19                         </t>
    </r>
    <r>
      <rPr>
        <sz val="9"/>
        <color rgb="FF008000"/>
        <rFont val="Arial"/>
        <family val="2"/>
        <charset val="204"/>
      </rPr>
      <t xml:space="preserve"> 01/20</t>
    </r>
  </si>
  <si>
    <r>
      <rPr>
        <b/>
        <sz val="11"/>
        <rFont val="Times New Roman"/>
        <family val="1"/>
        <charset val="204"/>
      </rPr>
      <t>ГБУЗ «ГП № 219 ДЗМ»</t>
    </r>
    <r>
      <rPr>
        <b/>
        <sz val="11"/>
        <color rgb="FFFF0000"/>
        <rFont val="Times New Roman"/>
        <family val="1"/>
        <charset val="204"/>
      </rPr>
      <t xml:space="preserve">  нет договора </t>
    </r>
  </si>
  <si>
    <t xml:space="preserve">услуги по сопровождению грузовых лифтов </t>
  </si>
  <si>
    <t>№ 0373200559118000067_276424 от 28.08.18                                     ДС №1 от 05.09.19</t>
  </si>
  <si>
    <t>01.01.2019 - 31.12.19</t>
  </si>
  <si>
    <t>Сканы</t>
  </si>
  <si>
    <t xml:space="preserve"> 01/13 -12/13,  01/14 -12/14, 01/15 -12/15, 01/16,  03/16- 06/16,   08/16- 12/16,      01/17-12/17                                                01/18-04.18  06./18-12/18</t>
  </si>
  <si>
    <t>01/19-  09/19 сканы, 01/19  04/19- 11/19</t>
  </si>
  <si>
    <r>
      <rPr>
        <sz val="9"/>
        <color rgb="FF333399"/>
        <rFont val="Arial"/>
        <family val="2"/>
        <charset val="204"/>
      </rPr>
      <t xml:space="preserve">                                         01/18-12/18                        </t>
    </r>
    <r>
      <rPr>
        <sz val="9"/>
        <color rgb="FF008000"/>
        <rFont val="Arial"/>
        <family val="2"/>
        <charset val="204"/>
      </rPr>
      <t xml:space="preserve">01/19 -  </t>
    </r>
    <r>
      <rPr>
        <b/>
        <sz val="9"/>
        <color rgb="FF008000"/>
        <rFont val="Arial"/>
        <family val="2"/>
        <charset val="204"/>
      </rPr>
      <t>12/19</t>
    </r>
  </si>
  <si>
    <t xml:space="preserve">ГБПОУ Москвы «Колледж связи № 54»  имени П.М. Вострухина </t>
  </si>
  <si>
    <t xml:space="preserve">техническому обслуживанию лифтов в ГБПОУ Москвы «Колледж связи № 54»  имени П.М. Вострухина </t>
  </si>
  <si>
    <t>№ 116-09/2019                                              от 06.09.2019г.</t>
  </si>
  <si>
    <t>до 31.12.2019</t>
  </si>
  <si>
    <t>71 800,00        в мес.</t>
  </si>
  <si>
    <t xml:space="preserve"> 12/19</t>
  </si>
  <si>
    <t>№ 310-12/2019</t>
  </si>
  <si>
    <t>до 31.06.2020</t>
  </si>
  <si>
    <t xml:space="preserve">Ремонт лифта   в ГБПОУ Москвы «Колледж связи № 54»  имени П.М. Вострухина </t>
  </si>
  <si>
    <t>№_____2/2020</t>
  </si>
  <si>
    <r>
      <rPr>
        <b/>
        <sz val="9"/>
        <rFont val="Arial"/>
        <family val="2"/>
        <charset val="204"/>
      </rPr>
      <t xml:space="preserve">ЗАО «ТОРГОВЫЙ ДОМ «ПЕРОВСКИЙ»                                   </t>
    </r>
    <r>
      <rPr>
        <b/>
        <sz val="9"/>
        <color rgb="FFFF0000"/>
        <rFont val="Arial"/>
        <family val="2"/>
        <charset val="204"/>
      </rPr>
      <t xml:space="preserve">НЕТ ДОГОВОРА И ДС       </t>
    </r>
  </si>
  <si>
    <t xml:space="preserve"> 01/16 - 06/16,  08/16,10/16-12/16,  01/17, 02/17, 04/17 - 12/17 , 01/18 - 12/18, </t>
  </si>
  <si>
    <r>
      <rPr>
        <sz val="9"/>
        <color rgb="FF008080"/>
        <rFont val="Arial"/>
        <family val="2"/>
        <charset val="204"/>
      </rPr>
      <t xml:space="preserve">                                                   </t>
    </r>
    <r>
      <rPr>
        <sz val="9"/>
        <color rgb="FF008000"/>
        <rFont val="Arial"/>
        <family val="2"/>
        <charset val="204"/>
      </rPr>
      <t xml:space="preserve">  01/19- 06/19                  09/19-12/19</t>
    </r>
  </si>
  <si>
    <t xml:space="preserve">ООО «Прентисон Проперти»    </t>
  </si>
  <si>
    <t>11/13, 12/13, 01/14 -12/14,  01/15 -12/15, 01/16-11/16,               01/17 -12/17, 01/18 -12/18</t>
  </si>
  <si>
    <t xml:space="preserve">   01/19 -10/19 закрыт</t>
  </si>
  <si>
    <t>Ремонт частотного преобразователя</t>
  </si>
  <si>
    <t>12000,00 от 28.06.19</t>
  </si>
  <si>
    <t>11/17 - 09/18,  11/18, 12/18</t>
  </si>
  <si>
    <r>
      <rPr>
        <sz val="9"/>
        <color rgb="FF003366"/>
        <rFont val="Arial"/>
        <family val="2"/>
        <charset val="204"/>
      </rPr>
      <t xml:space="preserve"> 01/19 - 12/19                            </t>
    </r>
    <r>
      <rPr>
        <sz val="9"/>
        <rFont val="Arial"/>
        <family val="2"/>
        <charset val="204"/>
      </rPr>
      <t xml:space="preserve">       01/20</t>
    </r>
  </si>
  <si>
    <t xml:space="preserve">ремонт редуктора главного привода и замена канатоведущего шкива на лифте рег.№ 80721 </t>
  </si>
  <si>
    <t>Дог.№ 03.09.2019   от09.09.19</t>
  </si>
  <si>
    <t>94000</t>
  </si>
  <si>
    <t>Ремонт электродвигателя лифта рег.№127271</t>
  </si>
  <si>
    <t>Дог. № 64-12/2019 от 20.12.19</t>
  </si>
  <si>
    <t>от 23.12.19</t>
  </si>
  <si>
    <t xml:space="preserve">работы по замене канатоведущего шкива тяговых канатов ограничителя скорости троса ограничителя скорости на лифте рег. №62093 </t>
  </si>
  <si>
    <t>Дог. №07-01/2020 от 30.12.19</t>
  </si>
  <si>
    <t>98700</t>
  </si>
  <si>
    <t>от 17.01.20</t>
  </si>
  <si>
    <r>
      <rPr>
        <b/>
        <sz val="9"/>
        <color rgb="FF008000"/>
        <rFont val="Arial"/>
        <family val="2"/>
        <charset val="204"/>
      </rPr>
      <t xml:space="preserve">№ 48_200.223.ЗК/19                 от 25.03. 2019 г.   </t>
    </r>
    <r>
      <rPr>
        <b/>
        <sz val="9"/>
        <rFont val="Arial"/>
        <family val="2"/>
        <charset val="204"/>
      </rPr>
      <t xml:space="preserve">                        №118_21.44.АЭФ/19                      от 11.06.2019 г.</t>
    </r>
  </si>
  <si>
    <t>Д.№118- до 31.12.2019 г</t>
  </si>
  <si>
    <t>06/19-12/19</t>
  </si>
  <si>
    <t>нет актов снятия -06, 07,  09</t>
  </si>
  <si>
    <t xml:space="preserve"> 01/16-12/16,  01/17- 12/17                           01/18- 12/18,</t>
  </si>
  <si>
    <r>
      <rPr>
        <sz val="9"/>
        <color rgb="FF008000"/>
        <rFont val="Arial"/>
        <family val="2"/>
        <charset val="204"/>
      </rPr>
      <t xml:space="preserve">                                    </t>
    </r>
    <r>
      <rPr>
        <sz val="9"/>
        <color rgb="FF333399"/>
        <rFont val="Arial"/>
        <family val="2"/>
        <charset val="204"/>
      </rPr>
      <t xml:space="preserve">           </t>
    </r>
    <r>
      <rPr>
        <sz val="9"/>
        <color rgb="FF0066CC"/>
        <rFont val="Arial"/>
        <family val="2"/>
        <charset val="204"/>
      </rPr>
      <t xml:space="preserve"> </t>
    </r>
    <r>
      <rPr>
        <sz val="9"/>
        <color rgb="FF008000"/>
        <rFont val="Arial"/>
        <family val="2"/>
        <charset val="204"/>
      </rPr>
      <t>01/19  - 11/19</t>
    </r>
  </si>
  <si>
    <r>
      <rPr>
        <sz val="9"/>
        <rFont val="Times New Roman"/>
        <family val="1"/>
        <charset val="204"/>
      </rPr>
      <t xml:space="preserve">Ремонт редуктора лифта рег. №58717       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г.Москва, ул. Казакова, д.8 стр.6  </t>
    </r>
  </si>
  <si>
    <t>МТУСИ</t>
  </si>
  <si>
    <t>техническое обслуживание 5 (пяти) лифтов и диспетчерской связи в здании учебно-лабораторного корпуса (УЛК) МТУСИ по адресу: г. Москва, ул. Народного Ополчения, д. 32 и в здании общежития №4 МТУСИ по адресу: г. Москва, ул. Маршала Тухачевского, д. 18.</t>
  </si>
  <si>
    <t xml:space="preserve">№ 55ЭА44-2018 от 19.10.18 </t>
  </si>
  <si>
    <t>1 573 581,96            131 131 ,83  мес.</t>
  </si>
  <si>
    <t>08/19        НЕТ АКТОВ</t>
  </si>
  <si>
    <t>техническое обслуживание 3 (ТРЕХ) лифтов</t>
  </si>
  <si>
    <t>№ 44ЭА44-2019   от 25.10.19</t>
  </si>
  <si>
    <t>окончание 25.10.2020</t>
  </si>
  <si>
    <t>1 338 828 ,00            111569,00  мес.</t>
  </si>
  <si>
    <t>Ремонт лифта рег.№72680</t>
  </si>
  <si>
    <r>
      <rPr>
        <b/>
        <sz val="10"/>
        <rFont val="Times New Roman"/>
        <family val="1"/>
        <charset val="204"/>
      </rPr>
      <t xml:space="preserve">№75-12/2019-223 </t>
    </r>
    <r>
      <rPr>
        <b/>
        <sz val="10"/>
        <color rgb="FFFF0000"/>
        <rFont val="Times New Roman"/>
        <family val="1"/>
        <charset val="204"/>
      </rPr>
      <t>от _________________</t>
    </r>
  </si>
  <si>
    <t>сделать акт</t>
  </si>
  <si>
    <t>ЗАО МНИТИ</t>
  </si>
  <si>
    <t xml:space="preserve">Техническое обслуживание  лифтов              </t>
  </si>
  <si>
    <t>№ ТО 207 от 01.04.2019</t>
  </si>
  <si>
    <t>01.04.19-31.03.20</t>
  </si>
  <si>
    <t>382000 в мес-ц</t>
  </si>
  <si>
    <t>05/19 - 09/19, 11/19, 12/19,</t>
  </si>
  <si>
    <t>акт за ноябрь с доп.работами</t>
  </si>
  <si>
    <t xml:space="preserve">ООО «Техносервис»     </t>
  </si>
  <si>
    <t>Техническое обслуживание 3-х лифтов  Московская область, г. Подольск, ул. Федорова, д.19</t>
  </si>
  <si>
    <r>
      <rPr>
        <sz val="8"/>
        <rFont val="Arial"/>
        <family val="2"/>
        <charset val="204"/>
      </rPr>
      <t xml:space="preserve">9/13 - 12/13, , 01/14 -12/14,  01/15 -12/15,  01/16-12/16,               01/17,- 07/17   10/17,- 12/17                                                </t>
    </r>
    <r>
      <rPr>
        <sz val="8"/>
        <color rgb="FFFF0000"/>
        <rFont val="Arial"/>
        <family val="2"/>
        <charset val="204"/>
      </rPr>
      <t xml:space="preserve">03/18-05/18,  </t>
    </r>
    <r>
      <rPr>
        <sz val="8"/>
        <rFont val="Arial"/>
        <family val="2"/>
        <charset val="204"/>
      </rPr>
      <t xml:space="preserve">06/18-08/18, </t>
    </r>
    <r>
      <rPr>
        <sz val="8"/>
        <color rgb="FFFF0000"/>
        <rFont val="Arial"/>
        <family val="2"/>
        <charset val="204"/>
      </rPr>
      <t>09/18,</t>
    </r>
    <r>
      <rPr>
        <sz val="8"/>
        <rFont val="Arial"/>
        <family val="2"/>
        <charset val="204"/>
      </rPr>
      <t xml:space="preserve"> 10/18-12/18</t>
    </r>
  </si>
  <si>
    <t xml:space="preserve">  03/19 - 06/19,  </t>
  </si>
  <si>
    <t>Театр Табакова - ГБПОУ</t>
  </si>
  <si>
    <t xml:space="preserve">Техническое обслуживание  лифтов ГБПОУ                                                                                                    </t>
  </si>
  <si>
    <t>№ 610-19 от 31.05.19</t>
  </si>
  <si>
    <t>до 31.12.19</t>
  </si>
  <si>
    <t>18300 мес.</t>
  </si>
  <si>
    <t>07/19-09/19</t>
  </si>
  <si>
    <t>ФГУП Издательство «Известия</t>
  </si>
  <si>
    <t>Техническое обслуживание, ремонт лифтов и систем диспетчерского контроля за работой лифтов</t>
  </si>
  <si>
    <t xml:space="preserve">№149/19/223ФЗ                                              от 05.08.19                            </t>
  </si>
  <si>
    <r>
      <rPr>
        <sz val="9"/>
        <rFont val="Arial"/>
        <family val="2"/>
        <charset val="204"/>
      </rPr>
      <t xml:space="preserve">   с 01.08.2019 по</t>
    </r>
    <r>
      <rPr>
        <sz val="9"/>
        <color rgb="FFFF0000"/>
        <rFont val="Arial"/>
        <family val="2"/>
        <charset val="204"/>
      </rPr>
      <t xml:space="preserve"> 31.12.2019</t>
    </r>
  </si>
  <si>
    <t>3 799 996                   в мес.                         759 999  руб.</t>
  </si>
  <si>
    <t>08/19-12/19</t>
  </si>
  <si>
    <r>
      <rPr>
        <sz val="8"/>
        <rFont val="Arial"/>
        <family val="2"/>
        <charset val="204"/>
      </rPr>
      <t xml:space="preserve">01/12 - 12/12,  01/13 - 12/13,  01/14 -  07/14 , 9/14 -12/14, 01/15 -12/15                                          ,01/16 -  12/16,   01/17-03/17 06/17- 12/17 ,  </t>
    </r>
    <r>
      <rPr>
        <sz val="8"/>
        <color rgb="FFFF0000"/>
        <rFont val="Arial"/>
        <family val="2"/>
        <charset val="204"/>
      </rPr>
      <t>05/18, 07/18</t>
    </r>
    <r>
      <rPr>
        <sz val="8"/>
        <rFont val="Arial"/>
        <family val="2"/>
        <charset val="204"/>
      </rPr>
      <t xml:space="preserve">- 12/18, </t>
    </r>
  </si>
  <si>
    <t>01/19-11/19</t>
  </si>
  <si>
    <t>закрыт с 01.03.20</t>
  </si>
  <si>
    <t>№ ТО-189/17                    от 26.12.16                       ДС №1 от 29.12.17         ДС №1 от 29.12.17</t>
  </si>
  <si>
    <t xml:space="preserve"> 01/17-08/17 , 10/17,                                    01/18 - 07/18, 09/18, 10/18     </t>
  </si>
  <si>
    <r>
      <rPr>
        <sz val="9"/>
        <rFont val="Times New Roman"/>
        <family val="1"/>
        <charset val="204"/>
      </rPr>
      <t xml:space="preserve">01/19-11/19                    </t>
    </r>
    <r>
      <rPr>
        <sz val="9"/>
        <color rgb="FF800080"/>
        <rFont val="Times New Roman"/>
        <family val="1"/>
        <charset val="204"/>
      </rPr>
      <t xml:space="preserve"> </t>
    </r>
    <r>
      <rPr>
        <sz val="9"/>
        <color rgb="FF008000"/>
        <rFont val="Times New Roman"/>
        <family val="1"/>
        <charset val="204"/>
      </rPr>
      <t xml:space="preserve">01/20     </t>
    </r>
  </si>
  <si>
    <r>
      <rPr>
        <b/>
        <sz val="10"/>
        <rFont val="Arial"/>
        <family val="2"/>
        <charset val="204"/>
      </rPr>
      <t>Замена тормозных колодок</t>
    </r>
    <r>
      <rPr>
        <sz val="10"/>
        <rFont val="Arial"/>
        <family val="2"/>
        <charset val="204"/>
      </rPr>
      <t xml:space="preserve">                  </t>
    </r>
  </si>
  <si>
    <t>ДС №2 от 20.11.19</t>
  </si>
  <si>
    <t>Фонд социального страхования</t>
  </si>
  <si>
    <t xml:space="preserve">Техническое обслуживание, ремонт лифтов и систем диспетчерского контроля за работой лифтов в здании Фонда социального страхования Российской Федерации </t>
  </si>
  <si>
    <t>№ Ф.2018.566626/_____             от 28.11.18</t>
  </si>
  <si>
    <t xml:space="preserve">01/19- 11/19,  </t>
  </si>
  <si>
    <t>поставка товара</t>
  </si>
  <si>
    <t>Дог.№342 от 04.12.19</t>
  </si>
  <si>
    <t>накладная и счет от 05.12.19</t>
  </si>
  <si>
    <t>2020 год</t>
  </si>
  <si>
    <r>
      <rPr>
        <b/>
        <sz val="9"/>
        <rFont val="Arial"/>
        <family val="2"/>
        <charset val="204"/>
      </rPr>
      <t xml:space="preserve">ФГУП «НТЦ «Атлас»                   </t>
    </r>
    <r>
      <rPr>
        <b/>
        <sz val="9"/>
        <color rgb="FFFF0000"/>
        <rFont val="Arial"/>
        <family val="2"/>
        <charset val="204"/>
      </rPr>
      <t xml:space="preserve">  </t>
    </r>
  </si>
  <si>
    <t xml:space="preserve"> № 431к/2017 от «29.12. 2017 г.                                   ДС №1 От 30.03.2018               №2 От 12.09.2019    </t>
  </si>
  <si>
    <r>
      <rPr>
        <sz val="9"/>
        <rFont val="Arial"/>
        <family val="2"/>
        <charset val="204"/>
      </rPr>
      <t xml:space="preserve">2808000  </t>
    </r>
    <r>
      <rPr>
        <sz val="9"/>
        <rFont val="Arial"/>
        <family val="2"/>
        <charset val="204"/>
      </rPr>
      <t xml:space="preserve">              65349,65                 в мес.</t>
    </r>
  </si>
  <si>
    <t xml:space="preserve"> № 25к/2020                                          от 28.02. 2020 г.                                   </t>
  </si>
  <si>
    <r>
      <rPr>
        <sz val="10"/>
        <rFont val="Arial"/>
        <family val="2"/>
        <charset val="204"/>
      </rPr>
      <t>с 1.03.20 -28.02.</t>
    </r>
    <r>
      <rPr>
        <b/>
        <sz val="10"/>
        <color rgb="FFFF0000"/>
        <rFont val="Arial"/>
        <family val="2"/>
        <charset val="204"/>
      </rPr>
      <t>2022</t>
    </r>
    <r>
      <rPr>
        <sz val="10"/>
        <rFont val="Arial"/>
        <family val="2"/>
        <charset val="204"/>
      </rPr>
      <t xml:space="preserve"> </t>
    </r>
    <r>
      <rPr>
        <sz val="10"/>
        <color rgb="FFFF0000"/>
        <rFont val="Arial"/>
        <family val="2"/>
        <charset val="204"/>
      </rPr>
      <t xml:space="preserve"> 24 мес.</t>
    </r>
  </si>
  <si>
    <r>
      <rPr>
        <sz val="9"/>
        <rFont val="Arial"/>
        <family val="2"/>
        <charset val="204"/>
      </rPr>
      <t xml:space="preserve">С230/20 от 01.07.2020          </t>
    </r>
    <r>
      <rPr>
        <sz val="9"/>
        <color rgb="FFFF0000"/>
        <rFont val="Arial"/>
        <family val="2"/>
        <charset val="204"/>
      </rPr>
      <t xml:space="preserve">    подписан</t>
    </r>
  </si>
  <si>
    <t xml:space="preserve">Киселев Владислав Альбертович (Корона-Ольга Щербинина) Ремонт верхних балок </t>
  </si>
  <si>
    <t>50000                                   +50000                           +50000                             +50000</t>
  </si>
  <si>
    <t>от24.07.20                                      от14.08.20                                                                  30.10.20                                      30.11.20</t>
  </si>
  <si>
    <t xml:space="preserve">03/16-06/16,08/16,-10/16-12/16,          01/17- 12/17     02/18- 06/18, 08/18-12/18       01/19 - 12/19                           </t>
  </si>
  <si>
    <t>01/2020  - 10/2020</t>
  </si>
  <si>
    <t xml:space="preserve">№ ТО-03/21 от 01.11.20   автоматич.продление </t>
  </si>
  <si>
    <t xml:space="preserve">с 1.11.20 - 30.10.20 </t>
  </si>
  <si>
    <t>11/2020,</t>
  </si>
  <si>
    <t>12/2020</t>
  </si>
  <si>
    <t>НИУ ВШЭ</t>
  </si>
  <si>
    <t xml:space="preserve">№ 142/4.11-12-19                    от 19.12.19 г.                                          ДС №2 от __.03.20               ДС №3 от 23.06.20                            </t>
  </si>
  <si>
    <t xml:space="preserve">  01/20-12/20       </t>
  </si>
  <si>
    <t xml:space="preserve">                                  =50000                                                                 +162300                                      +162300                                                                   </t>
  </si>
  <si>
    <r>
      <rPr>
        <sz val="9"/>
        <rFont val="Times New Roman"/>
        <family val="1"/>
        <charset val="204"/>
      </rPr>
      <t>№ С230/1-20 от 24.02.20</t>
    </r>
    <r>
      <rPr>
        <sz val="9"/>
        <color rgb="FFFF0000"/>
        <rFont val="Times New Roman"/>
        <family val="1"/>
        <charset val="204"/>
      </rPr>
      <t xml:space="preserve">    на подписи (промсвязь  </t>
    </r>
    <r>
      <rPr>
        <b/>
        <sz val="9"/>
        <color rgb="FFFF0000"/>
        <rFont val="Times New Roman"/>
        <family val="1"/>
        <charset val="204"/>
      </rPr>
      <t>закрыть (перенос от Теплопроект)</t>
    </r>
  </si>
  <si>
    <r>
      <rPr>
        <sz val="10"/>
        <rFont val="Times New Roman"/>
        <family val="1"/>
        <charset val="204"/>
      </rPr>
      <t xml:space="preserve">Хуторецкая -  промсвязьбанк на ВТБ </t>
    </r>
    <r>
      <rPr>
        <sz val="10"/>
        <color rgb="FFFF0000"/>
        <rFont val="Times New Roman"/>
        <family val="1"/>
        <charset val="204"/>
      </rPr>
      <t xml:space="preserve">            </t>
    </r>
  </si>
  <si>
    <t>в мес-ц 349800 07.20 - 173600</t>
  </si>
  <si>
    <r>
      <rPr>
        <b/>
        <sz val="10"/>
        <color rgb="FFFF0000"/>
        <rFont val="Times New Roman"/>
        <family val="1"/>
        <charset val="204"/>
      </rPr>
      <t xml:space="preserve">от 05.03.20V                     от 19.03.20v                                       от 23.03.20 v                                от 24.03.2020v                                               06.04.20v                                           от 09.04.20v                                                            от 06.05.20                                      </t>
    </r>
    <r>
      <rPr>
        <b/>
        <sz val="10"/>
        <color rgb="FF800080"/>
        <rFont val="Times New Roman"/>
        <family val="1"/>
        <charset val="204"/>
      </rPr>
      <t xml:space="preserve">7.10.20 + Дог.С78-20   </t>
    </r>
    <r>
      <rPr>
        <b/>
        <sz val="10"/>
        <color rgb="FFFF0000"/>
        <rFont val="Times New Roman"/>
        <family val="1"/>
        <charset val="204"/>
      </rPr>
      <t xml:space="preserve">                     </t>
    </r>
    <r>
      <rPr>
        <b/>
        <sz val="10"/>
        <color rgb="FF008000"/>
        <rFont val="Times New Roman"/>
        <family val="1"/>
        <charset val="204"/>
      </rPr>
      <t xml:space="preserve">19.08.20                                    </t>
    </r>
    <r>
      <rPr>
        <b/>
        <sz val="10"/>
        <color rgb="FFFF0000"/>
        <rFont val="Times New Roman"/>
        <family val="1"/>
        <charset val="204"/>
      </rPr>
      <t xml:space="preserve"> 08.12.20                                     15.01.21                                             от 22.01.21</t>
    </r>
  </si>
  <si>
    <t>перенесен на дог. С228/1-19</t>
  </si>
  <si>
    <r>
      <rPr>
        <sz val="9"/>
        <rFont val="Arial"/>
        <family val="2"/>
        <charset val="204"/>
      </rPr>
      <t xml:space="preserve">№С142/1-2020 от 14.01.2020 </t>
    </r>
    <r>
      <rPr>
        <sz val="9"/>
        <color rgb="FFFF0000"/>
        <rFont val="Arial"/>
        <family val="2"/>
        <charset val="204"/>
      </rPr>
      <t xml:space="preserve"> подписан</t>
    </r>
  </si>
  <si>
    <r>
      <rPr>
        <sz val="9"/>
        <rFont val="Arial"/>
        <family val="2"/>
        <charset val="204"/>
      </rPr>
      <t>Миносян</t>
    </r>
    <r>
      <rPr>
        <sz val="9"/>
        <rFont val="Arial"/>
        <family val="2"/>
        <charset val="204"/>
      </rPr>
      <t xml:space="preserve">            ТО лифтового обор-я</t>
    </r>
  </si>
  <si>
    <t>в мес. 181818               с 02.20-12.20</t>
  </si>
  <si>
    <t>Альфа                   Промсв.</t>
  </si>
  <si>
    <t xml:space="preserve">                                11.01.2021</t>
  </si>
  <si>
    <t>ТО лифтов, подъемной платформы и систем диспетчеризации лифтов в зданиях НИУ ВШЭ</t>
  </si>
  <si>
    <r>
      <rPr>
        <sz val="9"/>
        <rFont val="Arial"/>
        <family val="2"/>
        <charset val="204"/>
      </rPr>
      <t xml:space="preserve">№С142/4.11-2020 от 01.06.2020 </t>
    </r>
    <r>
      <rPr>
        <sz val="9"/>
        <color rgb="FFFF0000"/>
        <rFont val="Arial"/>
        <family val="2"/>
        <charset val="204"/>
      </rPr>
      <t xml:space="preserve">          на согласовании</t>
    </r>
  </si>
  <si>
    <r>
      <rPr>
        <sz val="9"/>
        <rFont val="Arial"/>
        <family val="2"/>
        <charset val="204"/>
      </rPr>
      <t>Саядан - альфа</t>
    </r>
    <r>
      <rPr>
        <sz val="9"/>
        <rFont val="Arial"/>
        <family val="2"/>
        <charset val="204"/>
      </rPr>
      <t xml:space="preserve">               ТО</t>
    </r>
  </si>
  <si>
    <t>по прбл.300000 в мес.</t>
  </si>
  <si>
    <r>
      <rPr>
        <sz val="9"/>
        <color rgb="FFFF0000"/>
        <rFont val="Arial"/>
        <family val="2"/>
        <charset val="204"/>
      </rPr>
      <t xml:space="preserve"> от03.08.2020                                                        от 07.12.2020                                    от 11.01.21                              </t>
    </r>
    <r>
      <rPr>
        <sz val="9"/>
        <color rgb="FF003366"/>
        <rFont val="Arial"/>
        <family val="2"/>
        <charset val="204"/>
      </rPr>
      <t>от 22.01.2021СБЕРБАНК                                  от 09.09.20                               от 10.09.20</t>
    </r>
  </si>
  <si>
    <t xml:space="preserve">№ ТОЛ 03/20                                  от 23.06.20 г.                                              </t>
  </si>
  <si>
    <t>15875 в мес.</t>
  </si>
  <si>
    <t xml:space="preserve"> 07/20-12/20    </t>
  </si>
  <si>
    <t>Славянская пл. Дог.№ ТОЛ 03/20    от 23.06.2020 г.</t>
  </si>
  <si>
    <t>15 875,0 в мес.</t>
  </si>
  <si>
    <t xml:space="preserve">Замена отд. элем. лифта грузоподъемностью 1000 кг (рег.    № EXSU04497 NJ) в здании НИУ ВШЭ по адресу: г. Москва, ул. Таллинская дом.34 </t>
  </si>
  <si>
    <t xml:space="preserve">№ТР 01/20                                       от 12.03.20         </t>
  </si>
  <si>
    <t>137079,36</t>
  </si>
  <si>
    <t>137079,36           от 19.03.20</t>
  </si>
  <si>
    <t>№03731001358200000840001  от 08/05/2020г.</t>
  </si>
  <si>
    <t>78000</t>
  </si>
  <si>
    <t>02/17-04/17,  07/17-12/17                         02/18   04/18- 12/18                                 01/19,  - 12/19</t>
  </si>
  <si>
    <t xml:space="preserve">01/20 - 11/20, </t>
  </si>
  <si>
    <t xml:space="preserve"> 01/13 -12/13,  01/14 -12/14, 01/15 -12/15, 01/16,  03/16- 06/16,   08/16- 12/16,      01/17-12/17                                                01/18-04.18  06./18-12/18                        01/19-  09/19 сканы, 01/19  04/19- 12/19</t>
  </si>
  <si>
    <t xml:space="preserve">                                         01/20 -06/20</t>
  </si>
  <si>
    <r>
      <rPr>
        <sz val="9"/>
        <rFont val="Arial"/>
        <family val="2"/>
        <charset val="204"/>
      </rPr>
      <t xml:space="preserve">07/17-11/17                            01/18-12/18                        01/19 -  </t>
    </r>
    <r>
      <rPr>
        <sz val="9"/>
        <color rgb="FFFF0000"/>
        <rFont val="Arial"/>
        <family val="2"/>
        <charset val="204"/>
      </rPr>
      <t>11/19</t>
    </r>
  </si>
  <si>
    <t xml:space="preserve">                                         01/20 -11/20,</t>
  </si>
  <si>
    <t xml:space="preserve">№ 310-12/2019                                                от 27.12.2019 г                       .№ 310-12/2020-2   от 29.06.2020 </t>
  </si>
  <si>
    <r>
      <rPr>
        <b/>
        <sz val="9"/>
        <rFont val="Times New Roman"/>
        <family val="1"/>
        <charset val="204"/>
      </rPr>
      <t xml:space="preserve">до 30.06.2020   </t>
    </r>
    <r>
      <rPr>
        <b/>
        <sz val="9"/>
        <color rgb="FFFF0000"/>
        <rFont val="Times New Roman"/>
        <family val="1"/>
        <charset val="204"/>
      </rPr>
      <t xml:space="preserve">    до 31.07.2020</t>
    </r>
  </si>
  <si>
    <t xml:space="preserve">                                                     01/20-07/20</t>
  </si>
  <si>
    <t>Замена лебедки</t>
  </si>
  <si>
    <t>№ 14-01/2020                                               от 05.02.2020 г. Контракт</t>
  </si>
  <si>
    <t>Уточнить дату окончания</t>
  </si>
  <si>
    <t>от 06.07.20</t>
  </si>
  <si>
    <t>скан</t>
  </si>
  <si>
    <r>
      <rPr>
        <sz val="9"/>
        <rFont val="Arial"/>
        <family val="2"/>
        <charset val="204"/>
      </rPr>
      <t>Хуторецкая</t>
    </r>
    <r>
      <rPr>
        <sz val="9"/>
        <color rgb="FFFF0000"/>
        <rFont val="Arial"/>
        <family val="2"/>
        <charset val="204"/>
      </rPr>
      <t xml:space="preserve"> на согласовании</t>
    </r>
  </si>
  <si>
    <t>№С14-01/2020 от 15.06.20  ВТБ</t>
  </si>
  <si>
    <r>
      <rPr>
        <sz val="9"/>
        <rFont val="Arial"/>
        <family val="2"/>
        <charset val="204"/>
      </rPr>
      <t xml:space="preserve">19.08.2020                                                    </t>
    </r>
    <r>
      <rPr>
        <sz val="9"/>
        <color rgb="FFFF0000"/>
        <rFont val="Arial"/>
        <family val="2"/>
        <charset val="204"/>
      </rPr>
      <t xml:space="preserve">от 05.11.20 </t>
    </r>
  </si>
  <si>
    <t>КФС Групп</t>
  </si>
  <si>
    <t xml:space="preserve">техническое обслуживанию и ремонт  2-х пассажирских лифтов    г/п 1000 кг и 480 кг  по адресу: г. Москва, Хохловский пер.,  д.10, стр.1, </t>
  </si>
  <si>
    <t>№ ТО-212/20 от 28.02.20</t>
  </si>
  <si>
    <r>
      <rPr>
        <b/>
        <sz val="9"/>
        <rFont val="Times New Roman"/>
        <family val="1"/>
        <charset val="204"/>
      </rPr>
      <t xml:space="preserve">до </t>
    </r>
    <r>
      <rPr>
        <b/>
        <sz val="9"/>
        <color rgb="FFFF0000"/>
        <rFont val="Times New Roman"/>
        <family val="1"/>
        <charset val="204"/>
      </rPr>
      <t xml:space="preserve">31.01.2021 </t>
    </r>
  </si>
  <si>
    <t>18500                 в мес.</t>
  </si>
  <si>
    <t>06.20-01.21</t>
  </si>
  <si>
    <t>сканы</t>
  </si>
  <si>
    <t>ООО "КОМИС"</t>
  </si>
  <si>
    <t xml:space="preserve">техническое обслуживанию и ремонт  3-х лифтов, подъемника и 4-х эскалаторов   по адресу:  г. Мытищи, ул. Щербакова, д. 2. </t>
  </si>
  <si>
    <t>№ТО 2/20 от20 .08. 2020 г</t>
  </si>
  <si>
    <r>
      <rPr>
        <b/>
        <sz val="9"/>
        <rFont val="Times New Roman"/>
        <family val="1"/>
        <charset val="204"/>
      </rPr>
      <t xml:space="preserve">с 20.08.20 до </t>
    </r>
    <r>
      <rPr>
        <b/>
        <sz val="9"/>
        <color rgb="FFFF0000"/>
        <rFont val="Times New Roman"/>
        <family val="1"/>
        <charset val="204"/>
      </rPr>
      <t>31.08.2021</t>
    </r>
  </si>
  <si>
    <t>14600 в мес.(без эскалаторов)</t>
  </si>
  <si>
    <t>08/20, 09/20,</t>
  </si>
  <si>
    <t>Хуторецкая</t>
  </si>
  <si>
    <t>№СТО/2/20 от 01.09.20 сб.</t>
  </si>
  <si>
    <t>167000 перенести на дог.СТО -2019-328</t>
  </si>
  <si>
    <t>11/11/20 cб.</t>
  </si>
  <si>
    <t xml:space="preserve"> 01/16 - 06/16,  08/16,10/16-12/16,  01/17, 02/17, 04/17 - 12/17 , 01/18 - 12/18,                                      01/19- 06/19    09/19-12/19</t>
  </si>
  <si>
    <t xml:space="preserve">07/16, 09/16,                                   03/17- 05/17,   07/19, 08/19,      </t>
  </si>
  <si>
    <r>
      <rPr>
        <b/>
        <sz val="9"/>
        <rFont val="Arial"/>
        <family val="2"/>
        <charset val="204"/>
      </rPr>
      <t xml:space="preserve">ОАО "Приват-ИВ" </t>
    </r>
    <r>
      <rPr>
        <sz val="9"/>
        <rFont val="Arial"/>
        <family val="2"/>
        <charset val="204"/>
      </rPr>
      <t xml:space="preserve">                         </t>
    </r>
  </si>
  <si>
    <t>ТО и ремонт 2-х  пассажирских лифтов и одного грузового подъемника    по адресу:  г.Москва, ул.Цимлянская д.2А</t>
  </si>
  <si>
    <t>№ТО-215-2020 от 02.03.20</t>
  </si>
  <si>
    <t>с 02.03.20-28.02.21</t>
  </si>
  <si>
    <t>21000 в мес.</t>
  </si>
  <si>
    <t xml:space="preserve">11/17 - 09/18,  11/18, 12/18                              01/19 - 12/19     </t>
  </si>
  <si>
    <t>№21ТО/10-44</t>
  </si>
  <si>
    <t>26/10/20-31/12/20</t>
  </si>
  <si>
    <t>119000 - в мес.</t>
  </si>
  <si>
    <r>
      <rPr>
        <sz val="10"/>
        <color rgb="FF000000"/>
        <rFont val="Times New Roman"/>
        <family val="1"/>
        <charset val="204"/>
      </rPr>
      <t>Дог. № С- 55ПА44/20 от  15.06.20 сб.</t>
    </r>
    <r>
      <rPr>
        <sz val="10"/>
        <color rgb="FFFF0000"/>
        <rFont val="Times New Roman"/>
        <family val="1"/>
        <charset val="204"/>
      </rPr>
      <t xml:space="preserve">  На подписи</t>
    </r>
  </si>
  <si>
    <t>Хуторецкая                                                  ремонтные работы</t>
  </si>
  <si>
    <t>от 12.01.21</t>
  </si>
  <si>
    <t>№ 44ЭА44-2019 от 25.10.19</t>
  </si>
  <si>
    <t>с октября 2019 (6 дн.)</t>
  </si>
  <si>
    <t>1 338 828,00           111569 ,00 мес.</t>
  </si>
  <si>
    <t>нет актов за 2019 г.</t>
  </si>
  <si>
    <r>
      <rPr>
        <sz val="9"/>
        <color rgb="FF008000"/>
        <rFont val="Arial"/>
        <family val="2"/>
        <charset val="204"/>
      </rPr>
      <t xml:space="preserve">  </t>
    </r>
    <r>
      <rPr>
        <sz val="9"/>
        <color rgb="FFFF0000"/>
        <rFont val="Arial"/>
        <family val="2"/>
        <charset val="204"/>
      </rPr>
      <t xml:space="preserve"> (10.19.- 01.20 ) </t>
    </r>
    <r>
      <rPr>
        <sz val="9"/>
        <color rgb="FF008000"/>
        <rFont val="Arial"/>
        <family val="2"/>
        <charset val="204"/>
      </rPr>
      <t>02/20 -08/20</t>
    </r>
  </si>
  <si>
    <r>
      <rPr>
        <sz val="10"/>
        <color rgb="FF000000"/>
        <rFont val="Times New Roman"/>
        <family val="1"/>
        <charset val="204"/>
      </rPr>
      <t xml:space="preserve">Дог. № С- 55ПА44/20 от  15.06.20 сб.   </t>
    </r>
    <r>
      <rPr>
        <sz val="10"/>
        <color rgb="FFFF0000"/>
        <rFont val="Times New Roman"/>
        <family val="1"/>
        <charset val="204"/>
      </rPr>
      <t>На подписи</t>
    </r>
  </si>
  <si>
    <t xml:space="preserve">133300                                    +233820                                   </t>
  </si>
  <si>
    <t xml:space="preserve">от 05.08.20 г                                             от 11.08.20 г                        </t>
  </si>
  <si>
    <t>№ ТО 207 от 01.04.2019 c пролангацией</t>
  </si>
  <si>
    <t>01.04.19-31.03.20 и далее</t>
  </si>
  <si>
    <t>382000 (С НДС)                            в мес-ц</t>
  </si>
  <si>
    <t xml:space="preserve">01/20-12/20 </t>
  </si>
  <si>
    <r>
      <rPr>
        <sz val="10"/>
        <rFont val="Times New Roman"/>
        <family val="1"/>
        <charset val="204"/>
      </rPr>
      <t xml:space="preserve">Дог. № С- ТО 207 от  18.05.20  промсв.  И сбербанк 261970 в мес.   </t>
    </r>
    <r>
      <rPr>
        <sz val="10"/>
        <color rgb="FFFF0000"/>
        <rFont val="Times New Roman"/>
        <family val="1"/>
        <charset val="204"/>
      </rPr>
      <t>На согласовании</t>
    </r>
  </si>
  <si>
    <t>340000                    +333350                                +636500</t>
  </si>
  <si>
    <t>№ № 60-2020  от 28.08.20</t>
  </si>
  <si>
    <t>до 01.09.20 -  31.12.2020</t>
  </si>
  <si>
    <t>19000 мес.</t>
  </si>
  <si>
    <t>Забрать акты у Романа</t>
  </si>
  <si>
    <t>9/13 - 12/13, , 01/14 -12/14,  01/15 -12/15,  01/16-12/16,               01/17,- 07/17   10/17,- 12/17                                                01/18-12/18</t>
  </si>
  <si>
    <r>
      <rPr>
        <sz val="9"/>
        <color rgb="FF800000"/>
        <rFont val="Arial"/>
        <family val="2"/>
        <charset val="204"/>
      </rPr>
      <t xml:space="preserve">  01/19 - 06/19,  11/19,12/19,                    </t>
    </r>
    <r>
      <rPr>
        <sz val="9"/>
        <color rgb="FF008000"/>
        <rFont val="Arial"/>
        <family val="2"/>
        <charset val="204"/>
      </rPr>
      <t>01/20, 05/20, 06/20</t>
    </r>
  </si>
  <si>
    <r>
      <rPr>
        <b/>
        <sz val="9"/>
        <rFont val="Times New Roman"/>
        <family val="1"/>
        <charset val="204"/>
      </rPr>
      <t xml:space="preserve"> №20-16-04-0375  от 15.01.16    ДС №2 от </t>
    </r>
    <r>
      <rPr>
        <sz val="9"/>
        <color rgb="FFFF0000"/>
        <rFont val="Times New Roman"/>
        <family val="1"/>
        <charset val="204"/>
      </rPr>
      <t>расторгнут с 01.10.20</t>
    </r>
  </si>
  <si>
    <t xml:space="preserve"> 01/16-12/16,  01/17- 12/17                           01/18- 12/18,                         01/19  - 11/19        </t>
  </si>
  <si>
    <t>02/20 -   08/20</t>
  </si>
  <si>
    <t>закрыт с 01.10.20</t>
  </si>
  <si>
    <t>акт сверки</t>
  </si>
  <si>
    <t>«Российские сети вещания и оповещения» (ФГУП РСВО</t>
  </si>
  <si>
    <t xml:space="preserve">технической эксплуатации лифтового
оборудования </t>
  </si>
  <si>
    <r>
      <rPr>
        <b/>
        <sz val="9"/>
        <rFont val="Arial"/>
        <family val="2"/>
        <charset val="204"/>
      </rPr>
      <t xml:space="preserve">№2019-328                                              от 29.07.19                               </t>
    </r>
    <r>
      <rPr>
        <b/>
        <sz val="9"/>
        <color rgb="FFFF0000"/>
        <rFont val="Arial"/>
        <family val="2"/>
        <charset val="204"/>
      </rPr>
      <t xml:space="preserve"> </t>
    </r>
  </si>
  <si>
    <r>
      <rPr>
        <b/>
        <sz val="9"/>
        <rFont val="Arial"/>
        <family val="2"/>
        <charset val="204"/>
      </rPr>
      <t xml:space="preserve">        с 01.0919 по </t>
    </r>
    <r>
      <rPr>
        <b/>
        <sz val="9"/>
        <color rgb="FFFF0000"/>
        <rFont val="Arial"/>
        <family val="2"/>
        <charset val="204"/>
      </rPr>
      <t>31.07.2020</t>
    </r>
  </si>
  <si>
    <t>900000                   в мес. 75000 руб.</t>
  </si>
  <si>
    <t xml:space="preserve">08/19 - 12/19, </t>
  </si>
  <si>
    <t xml:space="preserve">  01/20 - 07/20</t>
  </si>
  <si>
    <t>закрыт с 01.08.20</t>
  </si>
  <si>
    <r>
      <rPr>
        <sz val="9"/>
        <color rgb="FF008000"/>
        <rFont val="Arial"/>
        <family val="2"/>
        <charset val="204"/>
      </rPr>
      <t xml:space="preserve">167000  </t>
    </r>
    <r>
      <rPr>
        <sz val="9"/>
        <rFont val="Arial"/>
        <family val="2"/>
        <charset val="204"/>
      </rPr>
      <t xml:space="preserve">                           +120000                              +113300</t>
    </r>
  </si>
  <si>
    <t>ООО "Трейд Старс Групп</t>
  </si>
  <si>
    <t>ТО и ремонт пассажирского гидравлического лифта            г.Москва ул.Марксистская д.38 стр.1</t>
  </si>
  <si>
    <r>
      <rPr>
        <sz val="9"/>
        <rFont val="Arial"/>
        <family val="2"/>
        <charset val="204"/>
      </rPr>
      <t>с 01.12.19-</t>
    </r>
    <r>
      <rPr>
        <sz val="9"/>
        <color rgb="FFFF0000"/>
        <rFont val="Arial"/>
        <family val="2"/>
        <charset val="204"/>
      </rPr>
      <t>31.11.20</t>
    </r>
  </si>
  <si>
    <t>9000 в мес.</t>
  </si>
  <si>
    <t>ФГБУ «СЛО «Россия</t>
  </si>
  <si>
    <t xml:space="preserve"> техническое и аварийно-техническое обслуживание, обслуживание систем диспетчерского (операторского) контроля  лифтов по адресу: г. Москва, Заводское шоссе, д.15, Ангар стр. 43; д.15, стр. 46;  г. Москва, аэропорт «Внуково», дом 2А; г. Москва, аэропорт «Внуково», дом 2А, стр. 1. </t>
  </si>
  <si>
    <t>№0373100003519000805 от 09.01.2020</t>
  </si>
  <si>
    <t>в мес.56171,42,00</t>
  </si>
  <si>
    <r>
      <rPr>
        <sz val="9"/>
        <rFont val="Arial"/>
        <family val="2"/>
        <charset val="204"/>
      </rPr>
      <t>с 09.01.20-12.20</t>
    </r>
    <r>
      <rPr>
        <sz val="9"/>
        <color rgb="FFFF0000"/>
        <rFont val="Arial"/>
        <family val="2"/>
        <charset val="204"/>
      </rPr>
      <t xml:space="preserve"> далее Противовес Т</t>
    </r>
  </si>
  <si>
    <t>2 676 500, 00  (223041,67 в мес.)</t>
  </si>
  <si>
    <t xml:space="preserve">  01/20 - 11/20, </t>
  </si>
  <si>
    <r>
      <rPr>
        <sz val="9"/>
        <rFont val="Arial"/>
        <family val="2"/>
        <charset val="204"/>
      </rPr>
      <t>Дог. № С- ТО 210 от  15.03.20 про</t>
    </r>
    <r>
      <rPr>
        <sz val="9"/>
        <color rgb="FFFF0000"/>
        <rFont val="Arial"/>
        <family val="2"/>
        <charset val="204"/>
      </rPr>
      <t>м.  На согласовании</t>
    </r>
  </si>
  <si>
    <t>в мес.136760,00</t>
  </si>
  <si>
    <t>555500                        +168000                          +253300                                  +102200                                          +288600</t>
  </si>
  <si>
    <t>09.11.2020                                от 26.11                                       от 12.01.2021                                  от 19.01.2021                     о 15.02.2021</t>
  </si>
  <si>
    <t xml:space="preserve">ФГУП «РОСМОРПОРТ»), </t>
  </si>
  <si>
    <t>услуги по организации эксплуатации и техническому обслуживанию лифтов                    г. Москва, ул. Сущевская, д. 19, стр. 7.</t>
  </si>
  <si>
    <t>№ 96/ОПЭД-20 от 12.03.2020</t>
  </si>
  <si>
    <r>
      <rPr>
        <sz val="9"/>
        <rFont val="Arial"/>
        <family val="2"/>
        <charset val="204"/>
      </rPr>
      <t>16.03.2020</t>
    </r>
    <r>
      <rPr>
        <sz val="9"/>
        <color rgb="FFFF0000"/>
        <rFont val="Arial"/>
        <family val="2"/>
        <charset val="204"/>
      </rPr>
      <t xml:space="preserve"> -15.03.2021.</t>
    </r>
  </si>
  <si>
    <r>
      <rPr>
        <sz val="9"/>
        <rFont val="Arial"/>
        <family val="2"/>
        <charset val="204"/>
      </rPr>
      <t xml:space="preserve">1801200    </t>
    </r>
    <r>
      <rPr>
        <sz val="9"/>
        <rFont val="Arial"/>
        <family val="2"/>
        <charset val="204"/>
      </rPr>
      <t xml:space="preserve">                                 150 100  в мес.</t>
    </r>
  </si>
  <si>
    <t xml:space="preserve">  03/20- 10/20, 12/20</t>
  </si>
  <si>
    <r>
      <rPr>
        <sz val="9"/>
        <rFont val="Arial"/>
        <family val="2"/>
        <charset val="204"/>
      </rPr>
      <t xml:space="preserve">Дог. № С-ТО6ОПЭД от  06.04.20    сб.  </t>
    </r>
    <r>
      <rPr>
        <sz val="9"/>
        <color rgb="FFFF0000"/>
        <rFont val="Arial"/>
        <family val="2"/>
        <charset val="204"/>
      </rPr>
      <t>На согласовании</t>
    </r>
  </si>
  <si>
    <r>
      <rPr>
        <sz val="9"/>
        <rFont val="Arial"/>
        <family val="2"/>
        <charset val="204"/>
      </rPr>
      <t xml:space="preserve">Хуторецкая        </t>
    </r>
    <r>
      <rPr>
        <b/>
        <sz val="12"/>
        <rFont val="Arial"/>
        <family val="2"/>
        <charset val="204"/>
      </rPr>
      <t xml:space="preserve"> </t>
    </r>
  </si>
  <si>
    <t>в мес.123290,00</t>
  </si>
  <si>
    <r>
      <rPr>
        <sz val="9"/>
        <color rgb="FF008000"/>
        <rFont val="Times New Roman"/>
        <family val="1"/>
        <charset val="204"/>
      </rPr>
      <t>01/19-12/19    -</t>
    </r>
    <r>
      <rPr>
        <sz val="9"/>
        <color rgb="FFFF0000"/>
        <rFont val="Times New Roman"/>
        <family val="1"/>
        <charset val="204"/>
      </rPr>
      <t xml:space="preserve"> закрыт с 01.03.20</t>
    </r>
  </si>
  <si>
    <t xml:space="preserve">    01/20 - 04/20  </t>
  </si>
  <si>
    <t xml:space="preserve"> 01/17-08/17 , 10/17,                                    01/18 - 07/18, 09/18, 10/18                                    01/19-11/19  </t>
  </si>
  <si>
    <t xml:space="preserve">01/20  -12/20   </t>
  </si>
  <si>
    <t xml:space="preserve">ФГБОУ ВО «РГУ им. А. Н. Косыгина») </t>
  </si>
  <si>
    <t xml:space="preserve">услуги по техническому обслуживанию 13 (тринадцати) лифтов и диспетчерской связи </t>
  </si>
  <si>
    <t>№ 992-ЕП-44-20   от 01.10.2020</t>
  </si>
  <si>
    <t>546000               (182 т.р. в мес)</t>
  </si>
  <si>
    <t xml:space="preserve">услуги по эксплуатации лифтового оборудования </t>
  </si>
  <si>
    <t>№ 796-ЕП-44-20   от 01.10.2020</t>
  </si>
  <si>
    <t>529 200 </t>
  </si>
  <si>
    <t>2021 год</t>
  </si>
  <si>
    <t xml:space="preserve"> № 25к/2020                                          от 28.02. 2020 г.                                   ДС №1 от 17.09.20   ДС.№2 от  16.10.20                         </t>
  </si>
  <si>
    <t xml:space="preserve">автоматич.                  продление </t>
  </si>
  <si>
    <t>Минасян</t>
  </si>
  <si>
    <t>Саядан</t>
  </si>
  <si>
    <r>
      <rPr>
        <sz val="9"/>
        <rFont val="Arial"/>
        <family val="2"/>
        <charset val="204"/>
      </rPr>
      <t xml:space="preserve">07/17-11/17                            01/18-12/18                        01/19 -  </t>
    </r>
    <r>
      <rPr>
        <sz val="9"/>
        <color rgb="FFFF0000"/>
        <rFont val="Arial"/>
        <family val="2"/>
        <charset val="204"/>
      </rPr>
      <t xml:space="preserve">11/19               </t>
    </r>
    <r>
      <rPr>
        <sz val="9"/>
        <rFont val="Arial"/>
        <family val="2"/>
        <charset val="204"/>
      </rPr>
      <t xml:space="preserve"> 01/20 -12/20, </t>
    </r>
  </si>
  <si>
    <t xml:space="preserve">06.20-10.20 </t>
  </si>
  <si>
    <t>01.04.19-31.03.20  c пролангацией</t>
  </si>
  <si>
    <t xml:space="preserve">№ 6/21/223ФЗ                                            от 01.02.21                            </t>
  </si>
  <si>
    <t>Саядян</t>
  </si>
  <si>
    <r>
      <rPr>
        <sz val="9"/>
        <rFont val="Arial"/>
        <family val="2"/>
        <charset val="204"/>
      </rPr>
      <t xml:space="preserve">Хуторецкая      </t>
    </r>
    <r>
      <rPr>
        <b/>
        <sz val="12"/>
        <rFont val="Arial"/>
        <family val="2"/>
        <charset val="204"/>
      </rPr>
      <t xml:space="preserve"> </t>
    </r>
  </si>
  <si>
    <t>МПУ Московский Политех</t>
  </si>
  <si>
    <t>работы по замене червячной пары в редукторе главногопривода, канатоведущего шкива тяговых канатов на лифте рег. №80719, 80722</t>
  </si>
  <si>
    <t>599800</t>
  </si>
  <si>
    <t>от 09.03.21</t>
  </si>
  <si>
    <t>Забрать акты деньги прислали</t>
  </si>
  <si>
    <t>Саядан Электромонтажные работы</t>
  </si>
  <si>
    <t>работы по замене электродвигателя главного привода лебедки на лифтое рег. №80721 по адресу ул. Б.Галушкина д.9</t>
  </si>
  <si>
    <t>до 06.05.2021</t>
  </si>
  <si>
    <t>промсвязь</t>
  </si>
  <si>
    <t xml:space="preserve">   </t>
  </si>
  <si>
    <t>Реестр договоров СМР по ООО "ТОР ЛИФТ"</t>
  </si>
  <si>
    <t xml:space="preserve"> на согласовании</t>
  </si>
  <si>
    <t>Стадия</t>
  </si>
  <si>
    <t>Примечан.</t>
  </si>
  <si>
    <t>Стоимость</t>
  </si>
  <si>
    <t>аванс</t>
  </si>
  <si>
    <t>Оплата</t>
  </si>
  <si>
    <t>Платежки</t>
  </si>
  <si>
    <t>на подписи</t>
  </si>
  <si>
    <t xml:space="preserve">Остаток оплаты </t>
  </si>
  <si>
    <t>Cтадия</t>
  </si>
  <si>
    <t>Наименование</t>
  </si>
  <si>
    <t xml:space="preserve">Стоимость </t>
  </si>
  <si>
    <t>Аванс, оплата</t>
  </si>
  <si>
    <t xml:space="preserve">КC-2, КС-3           </t>
  </si>
  <si>
    <t xml:space="preserve">     ПлатежкиАКТ</t>
  </si>
  <si>
    <t>дата акта</t>
  </si>
  <si>
    <t>Прим.</t>
  </si>
  <si>
    <t>1 кв.2012</t>
  </si>
  <si>
    <t xml:space="preserve">2 кв. </t>
  </si>
  <si>
    <t>3 кв.</t>
  </si>
  <si>
    <t>4 кв</t>
  </si>
  <si>
    <t>1 rкв.2013 г.</t>
  </si>
  <si>
    <t>II кв.2013</t>
  </si>
  <si>
    <t>III кв.2013</t>
  </si>
  <si>
    <t>IV кв.2013</t>
  </si>
  <si>
    <t>1 кв 2014</t>
  </si>
  <si>
    <t>2 кв.2014</t>
  </si>
  <si>
    <t>3 кв.2014</t>
  </si>
  <si>
    <t>4 кв.2014</t>
  </si>
  <si>
    <t>1 кв.2015</t>
  </si>
  <si>
    <t>ПЕРЕХОДЯЩИЕ ДОГОВОРА</t>
  </si>
  <si>
    <t>1.1.</t>
  </si>
  <si>
    <t>ООО "СТРОЙМОНТАЖ"</t>
  </si>
  <si>
    <t>монтаж 8 лифтов и СМР</t>
  </si>
  <si>
    <t>1.2.</t>
  </si>
  <si>
    <t xml:space="preserve">ГУ "НПО Тайфун" </t>
  </si>
  <si>
    <t>проект установки лифта</t>
  </si>
  <si>
    <t>№10/08-4/796-08 от 20.10.2008г.</t>
  </si>
  <si>
    <t>1.3.</t>
  </si>
  <si>
    <t>№ 789-08 от 08.07.2008</t>
  </si>
  <si>
    <t>не закончен</t>
  </si>
  <si>
    <t>1.4.</t>
  </si>
  <si>
    <t>Уступка прав (цессия)</t>
  </si>
  <si>
    <t>к договору №789-08</t>
  </si>
  <si>
    <t>№225-09 от 02.02.09</t>
  </si>
  <si>
    <t>1.5.</t>
  </si>
  <si>
    <t xml:space="preserve">Демонтаж лифтового оборудование - Плехановский институт Стремянный пер., д.д 14, 36 </t>
  </si>
  <si>
    <t>№163-08 от 03.10.2008 г.</t>
  </si>
  <si>
    <t xml:space="preserve">№163/2-08      от 20.12.08 </t>
  </si>
  <si>
    <t>1.6.</t>
  </si>
  <si>
    <t>Поставка и монтаж  лифтового оборудования</t>
  </si>
  <si>
    <t>№790-08 от 21.07.2008</t>
  </si>
  <si>
    <t>1.7</t>
  </si>
  <si>
    <t>Переуступка прав</t>
  </si>
  <si>
    <t>790-08 от 09.02.09</t>
  </si>
  <si>
    <t xml:space="preserve">790/1-08 от 12.01.09 </t>
  </si>
  <si>
    <t>переподписать акты</t>
  </si>
  <si>
    <t>Акт на подп. От 26.02</t>
  </si>
  <si>
    <t>790/2-09 от 10.02.09</t>
  </si>
  <si>
    <t>№790/1-08 от 22.12.2008</t>
  </si>
  <si>
    <t>"Трансэнергомаш"                                              -проектн. Раб.</t>
  </si>
  <si>
    <t>1.8</t>
  </si>
  <si>
    <t>стр-во приставной м/каркасной шахты</t>
  </si>
  <si>
    <t>№742-07 от 08-11-2007 г.</t>
  </si>
  <si>
    <t>1.9.</t>
  </si>
  <si>
    <t>Монтаж лифта                                              ДС №1- увеличение ст-ти лифта</t>
  </si>
  <si>
    <t>№ 793-08   18.08.08 ДС №1 от 30.01.09</t>
  </si>
  <si>
    <t>март 2009 г.</t>
  </si>
  <si>
    <t>3550000 в т.ч.  2-й аванс 1200000</t>
  </si>
  <si>
    <t>№765-08 от 07.02.08</t>
  </si>
  <si>
    <t>1979000 от 20.07.09</t>
  </si>
  <si>
    <t>1.10</t>
  </si>
  <si>
    <t>Негосударственный пенсионный фонд "Газфонд"</t>
  </si>
  <si>
    <t>ДС №1 от 16.03.09 к Дог. 100/12</t>
  </si>
  <si>
    <t>100/12/1-2009     от 12/01/09</t>
  </si>
  <si>
    <t>ООО "ЭКОТОРГ" (ремонтные работы лифтовой шахты)</t>
  </si>
  <si>
    <t>от 23.04/09</t>
  </si>
  <si>
    <t>Разработка 3-х проектов на монтаж лифтов</t>
  </si>
  <si>
    <t>597-06 от 28.07.2006 г.</t>
  </si>
  <si>
    <t>выполнено -найти 1-й Акт</t>
  </si>
  <si>
    <t>вопрос закрыт до составления нового Договора</t>
  </si>
  <si>
    <t xml:space="preserve"> ДОГОВОРА ООО  "ТОР ЛИФТ"</t>
  </si>
  <si>
    <t>2008-2009 год</t>
  </si>
  <si>
    <t xml:space="preserve">ОПТОТОРГ </t>
  </si>
  <si>
    <t>дог. Цесссии</t>
  </si>
  <si>
    <t>2.1.</t>
  </si>
  <si>
    <t>Пуско-наладка 3-х лифтов</t>
  </si>
  <si>
    <t>№226-09 от 06.04.2009</t>
  </si>
  <si>
    <t>226/1-09 от 09/06/09</t>
  </si>
  <si>
    <t>от 30.06</t>
  </si>
  <si>
    <t>226/2-09 от 09/06/09</t>
  </si>
  <si>
    <t>400000               п.п 459 24.12.09</t>
  </si>
  <si>
    <t xml:space="preserve"> ОПЛАТА 400000 ТЫС. РУБ.</t>
  </si>
  <si>
    <t>ООО «Тексис»</t>
  </si>
  <si>
    <t>услуги  по обеспечению соответствия действующему законодательству функционирования лифтов</t>
  </si>
  <si>
    <t>№ 25-09 от 24.06.09</t>
  </si>
  <si>
    <t xml:space="preserve">127 000,00 </t>
  </si>
  <si>
    <t>консультационные услуги по вводу лифта в эксплуатацию</t>
  </si>
  <si>
    <t>№ 67 от 01.09.09</t>
  </si>
  <si>
    <t>33160 - ежем-но</t>
  </si>
  <si>
    <t>№  03-08/1  от 01.07.09</t>
  </si>
  <si>
    <t>"ЭКОТОРГ"                                  Устройство лифтовой шахты</t>
  </si>
  <si>
    <t>ООО "ТИССЕНКРУПП ЭЛЕВАТОР"                                                           Новодмитровская ул. д.5</t>
  </si>
  <si>
    <t>монтаж шахты и лифта (сами поставляют обор-е)</t>
  </si>
  <si>
    <t xml:space="preserve">№07-08      от 08.12.08 </t>
  </si>
  <si>
    <t>24.07.2009 Доп. Согл. На продление</t>
  </si>
  <si>
    <t>2890000 от 01.03.10</t>
  </si>
  <si>
    <t>№  03-08/2  от 08.09.09</t>
  </si>
  <si>
    <t>№  03-08/3  от 01.07.09</t>
  </si>
  <si>
    <t>Проектирование,монтаж внутренней м/каркасной шахты для лифта г/п 630 кг (г.Казань)</t>
  </si>
  <si>
    <t>MMS-Thyssen-Order 1/SP -26/09 от 29.06.09</t>
  </si>
  <si>
    <t>361541,61                     (98672,00                 +1324687,06)</t>
  </si>
  <si>
    <t>2191476,38                        (50 500 евро)</t>
  </si>
  <si>
    <t>накладные на 225000</t>
  </si>
  <si>
    <t>22 нед.                           (до 20-27.11)</t>
  </si>
  <si>
    <t>50 500 евро</t>
  </si>
  <si>
    <t>2220 евро 98672 руб.+1324627+396214,31</t>
  </si>
  <si>
    <t>26-09/1 от 15.07.09</t>
  </si>
  <si>
    <t>805000 - переделать</t>
  </si>
  <si>
    <t>170000  635000</t>
  </si>
  <si>
    <t>15.08.2009   30.09.09</t>
  </si>
  <si>
    <t>26-09/2 от 15.08.09</t>
  </si>
  <si>
    <t>26-09/1.1 от 01.07.09</t>
  </si>
  <si>
    <t>"ТРАСТСТРОЙСЕРВИС"                                       Устройство лифтовой шахты (фундаменты)</t>
  </si>
  <si>
    <t>2.5.</t>
  </si>
  <si>
    <t>Разработка проекта на монтаж лифта (4-и лифта)</t>
  </si>
  <si>
    <t>№01-08          от 22.12.08</t>
  </si>
  <si>
    <t>№01/1-09 от 10.02.2009 г.</t>
  </si>
  <si>
    <t>ОАО "Метрогипротранс"                                           ул.Новокузнецкая, д.43/16, стр.1</t>
  </si>
  <si>
    <t>Разработка 3-х проектов на установку лифта (4-и лифта0</t>
  </si>
  <si>
    <t>297500                                                             от 20 июля</t>
  </si>
  <si>
    <t>ОАО "Концерн Энергоатом" - Удомля</t>
  </si>
  <si>
    <t xml:space="preserve">изготовление металлоконструкций и монтаж лифтовjq шахтs; монтаж, пуско-наладка лифта </t>
  </si>
  <si>
    <t>№11-09               19.01.09</t>
  </si>
  <si>
    <t>11/1-09 от 09/02</t>
  </si>
  <si>
    <t>11/1/2-09 от 09/02</t>
  </si>
  <si>
    <t>"Трансэнергомаш" - проектные работы</t>
  </si>
  <si>
    <t>11/2-09 от 16/02</t>
  </si>
  <si>
    <t xml:space="preserve"> "ЭКОТОРГ"                                           монтаж лифта</t>
  </si>
  <si>
    <t>№ 96 09 0524 от 06.02.2009 г.</t>
  </si>
  <si>
    <t>91600 евро</t>
  </si>
  <si>
    <t>накл.</t>
  </si>
  <si>
    <t>№12-09               19.01.09</t>
  </si>
  <si>
    <t>12/1-09 от 02.02.09</t>
  </si>
  <si>
    <t>ООО "ЭКОТОРГ"                 ремонтаные работы м/к шахты и монтаж лифта</t>
  </si>
  <si>
    <t>24.02     15.04</t>
  </si>
  <si>
    <t>12/2-09 от 09/02</t>
  </si>
  <si>
    <t>Трансэнергомаш - проектные работы</t>
  </si>
  <si>
    <t>ОАО "Концерн Энергоатом"</t>
  </si>
  <si>
    <t>H/9609 0524 от 01.06.09</t>
  </si>
  <si>
    <t>Пусконаладочные работы 2-х лифтов</t>
  </si>
  <si>
    <t>Изготовление и монтаж м/конструкций под стеклоперегородки</t>
  </si>
  <si>
    <t>№15-09 от  24.02.09 г.</t>
  </si>
  <si>
    <t>125999,82 от22.05.09</t>
  </si>
  <si>
    <t>№15/1-09 от 02.03.09</t>
  </si>
  <si>
    <t xml:space="preserve"> "ЭКОТОРГ"                                                  изготовлению и монтажу металлоконструкций под остекление цельностеклянных перегородок в повильонах 2, 3, 4 </t>
  </si>
  <si>
    <t>нет ост.</t>
  </si>
  <si>
    <t>Разработка и экспертиза проетно-сметной документаци</t>
  </si>
  <si>
    <t>№000028 от 05.05.2009 г.</t>
  </si>
  <si>
    <t>№000028/01-09 от 05.05.2009</t>
  </si>
  <si>
    <t>"Трансэнергомаш"                                             - проектные работы</t>
  </si>
  <si>
    <t xml:space="preserve">сдача лифта в эксплуатацию в Ростехнадзоре </t>
  </si>
  <si>
    <t>№18-09 от 26.03.2009 г.</t>
  </si>
  <si>
    <t>1 неделя</t>
  </si>
  <si>
    <t>005.19/1-09 от 01.07.09</t>
  </si>
  <si>
    <t>"Техно-эстетика"                                          Поставка  м/к шахты ПУЛ-019</t>
  </si>
  <si>
    <t xml:space="preserve">поставка обор-я проектированию, монтаж 1-го пассажирского лифта Synergy г/п  1000 кг </t>
  </si>
  <si>
    <t>№ 19-09 от 18.05.09</t>
  </si>
  <si>
    <t>128000 - от 01/07/09 + 3035271,60 от 24/11/09+ 1629900,00 от 31.03.10+ 489000,01от 26/12/11</t>
  </si>
  <si>
    <t>№ 19-09/1  от 20.05.09</t>
  </si>
  <si>
    <t xml:space="preserve"> "ЭКОТОРГ" Остекление лифтовой шахты</t>
  </si>
  <si>
    <t>передан Кириченко 20.12</t>
  </si>
  <si>
    <t>ДС №1 от 07.02.11</t>
  </si>
  <si>
    <t>№ 19-09/2  от 20.05.09</t>
  </si>
  <si>
    <t>100000+   398000</t>
  </si>
  <si>
    <t xml:space="preserve">ООО«ПетростудиоРекордс»                             Москва, ул. Саянская, д.11 </t>
  </si>
  <si>
    <t>строительство  наружной лифтовой шахты и монтаж лифта г/п 400 (без поставки лифтов)</t>
  </si>
  <si>
    <t xml:space="preserve">№21-09    26.11.09 </t>
  </si>
  <si>
    <t xml:space="preserve">14 нед.                                                  </t>
  </si>
  <si>
    <t xml:space="preserve">№21-09/1    30.11.09 </t>
  </si>
  <si>
    <t>"Авангард"                                       Устройство лифтовой шахты</t>
  </si>
  <si>
    <t xml:space="preserve">№21-09/2    30.11.09 </t>
  </si>
  <si>
    <t xml:space="preserve">Строительное задание и  проект установки лифтового оборудования в административном здании </t>
  </si>
  <si>
    <t>Дог. № 29.09.2009 от 15.07.09                                    ДС №1 от 23.09</t>
  </si>
  <si>
    <t>14.09.09</t>
  </si>
  <si>
    <t>2.17.</t>
  </si>
  <si>
    <t xml:space="preserve">Поставка  лифтового оборудования в административном здании </t>
  </si>
  <si>
    <t>30.09.2009 от 18.08.09</t>
  </si>
  <si>
    <t>19 недель (09.02.10)</t>
  </si>
  <si>
    <t>73700 евро</t>
  </si>
  <si>
    <t>55000 евро 2434091,00 (28/09/09)</t>
  </si>
  <si>
    <t>№38-09/П-2009/30.1 от 28.09.09</t>
  </si>
  <si>
    <t>"CОДИМАСГРУПП"</t>
  </si>
  <si>
    <t>67000 евро</t>
  </si>
  <si>
    <t>40000 евро 1755508,00 (01/10/09)+19000 (27/07)</t>
  </si>
  <si>
    <t xml:space="preserve">Монтаж лифтовой шахты для пассажирского лифта «JADE 400»  г/п  630 кг </t>
  </si>
  <si>
    <t xml:space="preserve">6 недель. </t>
  </si>
  <si>
    <t xml:space="preserve">140529,21 сч. №244 от 06.12.10 предоплата по ДС        + 832584,03 </t>
  </si>
  <si>
    <t>Акты откорректированные переданы Барышеву 25.02.11</t>
  </si>
  <si>
    <t>31.1-10 от 15.04.10</t>
  </si>
  <si>
    <t>1700000  с учетом мат.</t>
  </si>
  <si>
    <t>Модернизация электрического подъемника</t>
  </si>
  <si>
    <t>№ 35-09 от 29.09</t>
  </si>
  <si>
    <t>35 дней</t>
  </si>
  <si>
    <t>ЗАО «Герион-2»                     г. Лыткарино ул. Советская д.11</t>
  </si>
  <si>
    <t>Монтаж 3-х лифтов (все работы)</t>
  </si>
  <si>
    <t>39-09 от 28.09.09</t>
  </si>
  <si>
    <t>28.02.10</t>
  </si>
  <si>
    <t>пл.№215 от 20.06.13</t>
  </si>
  <si>
    <t>39/1-09 от 05.10.09</t>
  </si>
  <si>
    <t>1100000                   +950000</t>
  </si>
  <si>
    <t>31.03.2010 30/06/10</t>
  </si>
  <si>
    <t>39/2-12 от 03.12.12</t>
  </si>
  <si>
    <t>№142</t>
  </si>
  <si>
    <t>накладные на три лифта от 27.06.14 г.</t>
  </si>
  <si>
    <t>ООО «ДИВВстрой»  Зубовская пл.</t>
  </si>
  <si>
    <t>№ 42-09 от 29.10.09</t>
  </si>
  <si>
    <t>20.11.09</t>
  </si>
  <si>
    <t>№ 42-09/1 от 02.11.09</t>
  </si>
  <si>
    <t xml:space="preserve">Бидило И.В. - Московская область, Минское шоссе, </t>
  </si>
  <si>
    <t xml:space="preserve">поставка, проектирование, монтаж, пуско-наладка 1-го пассажирского лифта IGV Италия г/п  250 кг </t>
  </si>
  <si>
    <t>№ 43-09 от 06.11.09  ДС №1 от 06.10.10</t>
  </si>
  <si>
    <t>13.11.09 -14.05.10</t>
  </si>
  <si>
    <t>№33/П-2009 - №43-09/1 -09 от 16.11 .09</t>
  </si>
  <si>
    <t xml:space="preserve"> "CОДИМАСГРУПП"</t>
  </si>
  <si>
    <t>18500 евро</t>
  </si>
  <si>
    <t>9250 евро</t>
  </si>
  <si>
    <t>№ 43-09/2 от 01.03.10</t>
  </si>
  <si>
    <t>№ 43-09/1 от 07.12.09</t>
  </si>
  <si>
    <t>"Трастстройсервис"</t>
  </si>
  <si>
    <t>ООО "ПУСК-инвест"    Хорошевский пр-д д.1</t>
  </si>
  <si>
    <t xml:space="preserve">поставка, проектирование, монтаж (шахта с расширением), пуско-наладка 2-х пассажирских лифтов  400 кг </t>
  </si>
  <si>
    <t>№ 44-09 от 21.12.09</t>
  </si>
  <si>
    <t>26 кал нед. (26 июня 2010 г.)</t>
  </si>
  <si>
    <t>Дог. №07-10/44-09.2 от 22.03.2010 г.</t>
  </si>
  <si>
    <t xml:space="preserve">«АМАТИС» поставка комплекта лифта пассажирского г/п 400 кг </t>
  </si>
  <si>
    <t>615000 - накл.</t>
  </si>
  <si>
    <t>Дог. №12-10/44-09/4 от 12.05.2010 г.</t>
  </si>
  <si>
    <t xml:space="preserve">«АМАТИС» поставка комплекта лифта пассажирского г/п 400 кг с улучшенной отделкой  </t>
  </si>
  <si>
    <t xml:space="preserve">1 139  000 </t>
  </si>
  <si>
    <t>накл-я передана для подписи В.Н. 19.10</t>
  </si>
  <si>
    <t>Дог. №44-09/1от 28.12.2009 г.</t>
  </si>
  <si>
    <t>700000           +170000(25/06)</t>
  </si>
  <si>
    <t>1-й кв.и 2-й кв.</t>
  </si>
  <si>
    <t>Дог. №44-09/2от 01.06.2010 г.</t>
  </si>
  <si>
    <t>cделать акт на 530000</t>
  </si>
  <si>
    <t>44-09/3от 01.08.2010 г.</t>
  </si>
  <si>
    <t>счет на опл. Аванса  №---от 17.08</t>
  </si>
  <si>
    <t xml:space="preserve">ООО "Смоленсклифт", </t>
  </si>
  <si>
    <t xml:space="preserve">замена лифтового оборудования шести лифтов </t>
  </si>
  <si>
    <t>№ 45-09 от 11.11.09</t>
  </si>
  <si>
    <t>30.12.09</t>
  </si>
  <si>
    <t>№ 45-09/1 от 11.11.09</t>
  </si>
  <si>
    <t xml:space="preserve">  16.12.2009</t>
  </si>
  <si>
    <t>ТОО «АЛЫМ») - Актобе</t>
  </si>
  <si>
    <t>Поставка стеклоблоков для остекления лифтовой шахты, расположенной в здании по адресу: Республика Казахстан, г.Актобе,</t>
  </si>
  <si>
    <t>№47-09 от12.01.10</t>
  </si>
  <si>
    <t>6 недель</t>
  </si>
  <si>
    <t>822712,02 по накладной</t>
  </si>
  <si>
    <t>ООО «МЕТЕКСАН»                                Московская область, пос. Ватутинки, СЦЗД</t>
  </si>
  <si>
    <t>№49-09 от 09.12.09</t>
  </si>
  <si>
    <t>1неделя</t>
  </si>
  <si>
    <t>Дог. №09-10/048 от 14.09.2010 г.</t>
  </si>
  <si>
    <t>«АМАТИС» поставка 2-х комплектов  лифтов пассажирских г/п 630 кг   ЩЛЗ</t>
  </si>
  <si>
    <t>ДС №1 от 01.09.10</t>
  </si>
  <si>
    <t>№49/1-10 от 06.09.10</t>
  </si>
  <si>
    <t>№ б/н от 02.01.12 и Мировое согл. №А40-42759/11-36-205 от 24.01.2012 г.</t>
  </si>
  <si>
    <t>2010 год</t>
  </si>
  <si>
    <t xml:space="preserve">ООО«ПетростудиоРекордс»                                                                        Москва, ул. Саянская, д.11 </t>
  </si>
  <si>
    <t xml:space="preserve">комплекс  работ по согласованию строительства 2-х наружных лифтовых шахт в административном здании </t>
  </si>
  <si>
    <t>№ 02-2010                от 08.02.10</t>
  </si>
  <si>
    <t>23 нед.</t>
  </si>
  <si>
    <t>договор завис до суда от Заказчика</t>
  </si>
  <si>
    <t>235/296/02.1-2010 от 22.03.10</t>
  </si>
  <si>
    <t>ГУП "ГлавАПУ - изготовление ситуационного плана</t>
  </si>
  <si>
    <t xml:space="preserve">ООО «Лифтмастер»                                Московская обл., д. Шульгино,  ул.Лесная дом 49 </t>
  </si>
  <si>
    <t xml:space="preserve">Проектирование, изготовление и монтаж металлокаркаса  шахты лифта размером 1400х1350 высотой 13,5 </t>
  </si>
  <si>
    <t>№ 03-2100 от 15.02.10</t>
  </si>
  <si>
    <t>6 нед.</t>
  </si>
  <si>
    <t>50000+180000</t>
  </si>
  <si>
    <t>№ 03/1-10 от 22.02.10</t>
  </si>
  <si>
    <t xml:space="preserve">ООО «РАСКО»                                               г. Гусь-Хрустальный, ул.Рудницкой,  д.3, Торговый центр Радуга </t>
  </si>
  <si>
    <t xml:space="preserve">Проектирование, возведение лифтовой металлокаркасной шахты, монтаж лифта г/п 1000 кг                                                                                     </t>
  </si>
  <si>
    <t>№ 04-2010 от 15.02.10</t>
  </si>
  <si>
    <t>14 недель (июнь2010)</t>
  </si>
  <si>
    <t>№ 04/1-10 от 22.02.10</t>
  </si>
  <si>
    <t xml:space="preserve">ООО "Легион" Облицовка панелями сендвич, проектн. раб </t>
  </si>
  <si>
    <t>№ 04/2-10 от 22.02.10</t>
  </si>
  <si>
    <t>№ 04/3-10 от  01.06.2010 г.</t>
  </si>
  <si>
    <t>30.06.2010  30.09.2010</t>
  </si>
  <si>
    <t>№П-27478/04.1-10 от 21.07.10</t>
  </si>
  <si>
    <t>Руукки Рус                                                   поставка панелей "Сэндвич"</t>
  </si>
  <si>
    <t>накл-я  от 30/08/10</t>
  </si>
  <si>
    <t>накл-я  от 30/09/10</t>
  </si>
  <si>
    <t xml:space="preserve">Восстановление внутреннего дизайна кабины лифта </t>
  </si>
  <si>
    <t>№ 05-2010 от 23.03.10</t>
  </si>
  <si>
    <t>3 нед. - 15.04.10</t>
  </si>
  <si>
    <t xml:space="preserve">244000 от 30.04 </t>
  </si>
  <si>
    <t>№ 06-2010 от 23.03.10</t>
  </si>
  <si>
    <t xml:space="preserve"> "Компания Арт-Металл" Облицовка кабины лифта</t>
  </si>
  <si>
    <t xml:space="preserve">ЗАО «СтройДвор»  </t>
  </si>
  <si>
    <t>СМР из материалов Заказчика</t>
  </si>
  <si>
    <t>№740-10-03 от 30.04.10</t>
  </si>
  <si>
    <t>№740-10-03.1        от 30.04.10</t>
  </si>
  <si>
    <t>ДС №1 от 30.04.10</t>
  </si>
  <si>
    <t>ДС №2 от 30.04.10</t>
  </si>
  <si>
    <t>нет Акта и ДС</t>
  </si>
  <si>
    <t>Замена 1-го пассажирского лифта компл. Работ</t>
  </si>
  <si>
    <t>Дог. №09/1-10 от 05.10.2010 г.</t>
  </si>
  <si>
    <t>накл-я №36              от 28/12/10</t>
  </si>
  <si>
    <t>№ 09-10 от 15.06.10</t>
  </si>
  <si>
    <t>19 недель</t>
  </si>
  <si>
    <t>2523000+89000=2986000</t>
  </si>
  <si>
    <t>№ 09-10/2 от 15.07.10</t>
  </si>
  <si>
    <t>"Автодорстрой"                                                     Демонтаж шахты лифта</t>
  </si>
  <si>
    <t>№ 09-10/3 от 15.07.10</t>
  </si>
  <si>
    <t>"Диамант"                                                   -Ремонтные работы шахты</t>
  </si>
  <si>
    <t>Фундаменты</t>
  </si>
  <si>
    <t>Доп. Согл. №1 от 10.11.11</t>
  </si>
  <si>
    <t>Доп. Согл. №2 от 24.02.11</t>
  </si>
  <si>
    <t xml:space="preserve">Доработка и сдача в эксплуатацию лифта </t>
  </si>
  <si>
    <t>№ 11-10 от 11.05.10</t>
  </si>
  <si>
    <t>78 раб. Дн.</t>
  </si>
  <si>
    <t xml:space="preserve">419 000 </t>
  </si>
  <si>
    <t>№14-10 от 10.06.10г.</t>
  </si>
  <si>
    <t>28 недель</t>
  </si>
  <si>
    <t>3598000</t>
  </si>
  <si>
    <t>№ 14/1-10 от  01.07.2010 г.</t>
  </si>
  <si>
    <t>Доп. Согл. №1 от 25.08.10</t>
  </si>
  <si>
    <t>19700</t>
  </si>
  <si>
    <t xml:space="preserve">Поставка, монтаж, пуско-наладка 1-го пассажирского лифта SODIMAS г/п  630 </t>
  </si>
  <si>
    <t>Доп. Согл. №2 от 06.12.10</t>
  </si>
  <si>
    <t>6/Н-2011 от 27.01.11</t>
  </si>
  <si>
    <t xml:space="preserve"> "CОДИМАС ГРУП"                             Запуск лифта Vmotion</t>
  </si>
  <si>
    <t>10000руб. За выезд специалиста</t>
  </si>
  <si>
    <t xml:space="preserve"> Дог. 25/П-2010 от 28.06.10,                    ДС №2от 19.01.11</t>
  </si>
  <si>
    <t xml:space="preserve"> "CОДИМАС ГРУП"                           </t>
  </si>
  <si>
    <t>35500 + 3000 евро</t>
  </si>
  <si>
    <t>25000 евро</t>
  </si>
  <si>
    <t>Консультационные услуги</t>
  </si>
  <si>
    <t>Дог.№04-11 от 18.02.11</t>
  </si>
  <si>
    <t>1 мес.</t>
  </si>
  <si>
    <t>12000 в мес-ц</t>
  </si>
  <si>
    <t xml:space="preserve">ООО «Межрегионстрой»  Московская область,  Сергиево-Посадский р-он, г. Зеленая Дубрава, лабораторный корпус  </t>
  </si>
  <si>
    <t xml:space="preserve">Поставка, монтаж и пуско-наладка лифта производства ОАО ЩЛЗ </t>
  </si>
  <si>
    <t>№19-10 от 28.06.10г.</t>
  </si>
  <si>
    <t>15 недель</t>
  </si>
  <si>
    <t xml:space="preserve">1 301 000 </t>
  </si>
  <si>
    <t>фирмы нет</t>
  </si>
  <si>
    <t>отв. Волков</t>
  </si>
  <si>
    <t>Дог. №19/1-10 от 05.07.2010 г.</t>
  </si>
  <si>
    <t xml:space="preserve">«АМАТИС» поставка комплекта лифта пассажирского г/п 1000 кг   </t>
  </si>
  <si>
    <t>накл. На 761000</t>
  </si>
  <si>
    <t>проект металлокаркасной шахты для пассажирского панорамного лифта г/п. 1050 кг</t>
  </si>
  <si>
    <t>№ 22-10 от 01.03.11</t>
  </si>
  <si>
    <t xml:space="preserve">6 недель </t>
  </si>
  <si>
    <t xml:space="preserve">207 000 </t>
  </si>
  <si>
    <t xml:space="preserve">103500+ 82 800,00 </t>
  </si>
  <si>
    <t xml:space="preserve">159 000 </t>
  </si>
  <si>
    <t xml:space="preserve">Проектирование, реконструкция лифтовой шахты, замена пассажирского административного лифта г/п 500 (630) кг на 7 остановок </t>
  </si>
  <si>
    <t>№ 23-10             от 16.11.10г.</t>
  </si>
  <si>
    <t>до 31.01.11</t>
  </si>
  <si>
    <t>1800000</t>
  </si>
  <si>
    <t>Дог. № 23/1-10 от 24.01.11г..</t>
  </si>
  <si>
    <t xml:space="preserve">«АМАТИС» поставка комплекта малого грузового лифта  г/п 100 кг   </t>
  </si>
  <si>
    <t>520000                    +520000</t>
  </si>
  <si>
    <t>накл.№15 от 20.05.11</t>
  </si>
  <si>
    <t>Дог. №23/2-10 от 16.11.2010 г.</t>
  </si>
  <si>
    <t xml:space="preserve">Замена малого грузового лифта  </t>
  </si>
  <si>
    <t>№ 25/4.5-11-10 от 16.11.10г.</t>
  </si>
  <si>
    <t>до 31.12.11</t>
  </si>
  <si>
    <t>397 000</t>
  </si>
  <si>
    <t xml:space="preserve">397 000 </t>
  </si>
  <si>
    <t>Дог. № 25/4.5/1-11-10 от 29.11.10г..</t>
  </si>
  <si>
    <t>накл.№32                 от 03.12.10</t>
  </si>
  <si>
    <t>Дог. №25/4.5/2-10 от 16.11.2010 г.</t>
  </si>
  <si>
    <t>Замена 3-х лифтов  пассижирских лифта                         г/п 1000 кг</t>
  </si>
  <si>
    <t>№SBR1011220727-00008742 от 27/12/10</t>
  </si>
  <si>
    <t>№49/П-2010/25-10</t>
  </si>
  <si>
    <t>78000 евро</t>
  </si>
  <si>
    <t>Дог. №SBR1011220727-00008742/1 от 27.12.2010 г.</t>
  </si>
  <si>
    <t>585000 оплата 15.09</t>
  </si>
  <si>
    <t xml:space="preserve"> №SBR1011220727-00008742/2 от 27.12.2011 г.</t>
  </si>
  <si>
    <t xml:space="preserve">СтройГрадСервис                                                  -Демонтажные работы шахты </t>
  </si>
  <si>
    <t>12.01.11 г.</t>
  </si>
  <si>
    <t>Ремонт лифтовых шахт и устройство машинного отделения</t>
  </si>
  <si>
    <t>67/4.5-08.11 от 31.08.11</t>
  </si>
  <si>
    <t>1850000</t>
  </si>
  <si>
    <t>проект на  наружную металлокаркасную шахту для грузового лифта г/п 5000 кг, поставка</t>
  </si>
  <si>
    <t>1324000 + 805000</t>
  </si>
  <si>
    <t xml:space="preserve"> =197000 </t>
  </si>
  <si>
    <t>Накладная 2038000</t>
  </si>
  <si>
    <t>Договор закрыт</t>
  </si>
  <si>
    <t>№18/01-11 от 18.01.11 г.</t>
  </si>
  <si>
    <t>ООО Комплекс  (Смоленск(Могилев)                            Поставка лифта г/п 5000 кг</t>
  </si>
  <si>
    <t xml:space="preserve">проектирование,  устройство  внутренней шахты для пассажирского лифта г/п 1000 кг фирмы SODIMAS  </t>
  </si>
  <si>
    <t>№ 29-10 от 24.12.10</t>
  </si>
  <si>
    <t>1260000+440000+190000</t>
  </si>
  <si>
    <t>140000                 +1960000</t>
  </si>
  <si>
    <t>Дог. №29/1-10 от 24.12.2010 г.</t>
  </si>
  <si>
    <t>Дог.№2 от 10.02.11</t>
  </si>
  <si>
    <t>"КИН ЛОНГ"Постиавка стеклодержателя(188 шт) и кронштейнов (94 компл.)</t>
  </si>
  <si>
    <t>ИТОГО</t>
  </si>
  <si>
    <t>IV кв</t>
  </si>
  <si>
    <t>2011 год</t>
  </si>
  <si>
    <t xml:space="preserve">№ 02-11 от 07.02.11             </t>
  </si>
  <si>
    <t>№ 147 от 18.07.12</t>
  </si>
  <si>
    <t>02/01.2012 от 17.12.2012 г.</t>
  </si>
  <si>
    <t>переделать на 2080000</t>
  </si>
  <si>
    <t>2080000       5000000</t>
  </si>
  <si>
    <t>30.09.2013             27.12.13</t>
  </si>
  <si>
    <t xml:space="preserve">Соглашение об урегулировании разногласии </t>
  </si>
  <si>
    <t>17.05.16</t>
  </si>
  <si>
    <t>Передано Клейменову 27.06.16</t>
  </si>
  <si>
    <t>12/П-2011 от 15.02.11</t>
  </si>
  <si>
    <t>219500 ЕВРО</t>
  </si>
  <si>
    <t>17000 ЕВРО    5526738,0                 1381684,50 2000000  300000</t>
  </si>
  <si>
    <t xml:space="preserve"> №75 от 10.02.12     №76 от 10.02.12 №387 от 24.07.12  №401 от 08.08.12</t>
  </si>
  <si>
    <t xml:space="preserve">поставка, монтаж подъемника грузового г/п  2000 кг </t>
  </si>
  <si>
    <t>№ 09-11 от 04.04.11</t>
  </si>
  <si>
    <t>70 кал. дн. - 10 нед</t>
  </si>
  <si>
    <t xml:space="preserve">1 171 100 </t>
  </si>
  <si>
    <t>№11-033П от 18.04.11 г.</t>
  </si>
  <si>
    <t>ЗАО "СтройМонтажИндустрия"</t>
  </si>
  <si>
    <t>накладная от 15.07.11</t>
  </si>
  <si>
    <t>№ 11- 11 от 29.03.11</t>
  </si>
  <si>
    <t>13 нед.</t>
  </si>
  <si>
    <t xml:space="preserve">  </t>
  </si>
  <si>
    <t>Проект установки 2-х  лифтов г/п 450 кг и 630 кг</t>
  </si>
  <si>
    <t>№ 14-11от 28.04.11</t>
  </si>
  <si>
    <t>60 кал.дн.- 9 нед.</t>
  </si>
  <si>
    <t xml:space="preserve">190 000 </t>
  </si>
  <si>
    <t>№ 17-11 от 25.05.11 г.</t>
  </si>
  <si>
    <t>70 раб. Дн.                          14 нед.</t>
  </si>
  <si>
    <t>186000</t>
  </si>
  <si>
    <t>№264 от 24.05.12</t>
  </si>
  <si>
    <t xml:space="preserve"> ремонтные работ по грузовому лифту г/п  3,2 т  и шахте  по адресу: г. Москва, ул. Крылатская д.37 </t>
  </si>
  <si>
    <t>№ 22/11от 25.07.11</t>
  </si>
  <si>
    <t>2  месяца          8 нед.</t>
  </si>
  <si>
    <t xml:space="preserve">220 000 </t>
  </si>
  <si>
    <t xml:space="preserve">Разработка проектной документации РП и РД по замене двух лифтов </t>
  </si>
  <si>
    <t>№10 от 11.07.11</t>
  </si>
  <si>
    <t>20 дн.</t>
  </si>
  <si>
    <t>95000</t>
  </si>
  <si>
    <t>50000+45000+100000</t>
  </si>
  <si>
    <t>08.08.11</t>
  </si>
  <si>
    <t>Проекты установки 6-ти (шести)  эскалаторов, 3-х  (трех) грузовых платформ, 4-х пассажирских лифтов г/п 630 кг, 2-х пассажирских лифтов г/п 1000 кг и 2-х траволаторов</t>
  </si>
  <si>
    <t>№ 24/11 от 12.07.11</t>
  </si>
  <si>
    <t>13 недель</t>
  </si>
  <si>
    <t xml:space="preserve">413250             +237500           175 750                      </t>
  </si>
  <si>
    <t>№ 572 от 24.08.12</t>
  </si>
  <si>
    <t>Монтаж несущих металлоконструкций  шахты грузового лифта на готовое основание, монтаж лифтового оборудования грузового лифта г/п 5000 кг</t>
  </si>
  <si>
    <t xml:space="preserve">№ 27-11от 01.04.11 </t>
  </si>
  <si>
    <t>15.08.2011г</t>
  </si>
  <si>
    <t xml:space="preserve">2 100 000 </t>
  </si>
  <si>
    <t>№118 от 07.08.12  №___ от __.__.12              03/10/12                   08/10/12</t>
  </si>
  <si>
    <t>№ 27- 11/1  от 23.06.11</t>
  </si>
  <si>
    <t xml:space="preserve">14.10.2011              01.12.11                                   20.12.11                 №386 от 12.08.13 </t>
  </si>
  <si>
    <t xml:space="preserve"> 30.06.2011</t>
  </si>
  <si>
    <t>ДС №1 от 09.11.11</t>
  </si>
  <si>
    <t>16.02.12</t>
  </si>
  <si>
    <t>1400000</t>
  </si>
  <si>
    <t>ДС №1 от 01.03.2012</t>
  </si>
  <si>
    <t>от 08.10.12          от 01.11.2012         от 05.12.12               от 06.12.12                      от 26 12.12             от 07.02.13</t>
  </si>
  <si>
    <t>1200000</t>
  </si>
  <si>
    <t>ДС №2 от 04.05.12</t>
  </si>
  <si>
    <t>05.06.12</t>
  </si>
  <si>
    <t>420000</t>
  </si>
  <si>
    <t>ДС №2 от 04.05.2012</t>
  </si>
  <si>
    <t xml:space="preserve">АО «Нордео»                                                  МО, Красногорский р-н ,  д. Михалково,  25 км а/м «Балтия»  </t>
  </si>
  <si>
    <t>проектирование, монтаж внутренней металлокаркасной шахты  для   пассажирского лифта (г/п. 1000 кг</t>
  </si>
  <si>
    <t>№ 28-11от 24.08.11</t>
  </si>
  <si>
    <t xml:space="preserve">1 585 000 </t>
  </si>
  <si>
    <t>№ 28-11/1от 01.09</t>
  </si>
  <si>
    <t>850000+                               450000</t>
  </si>
  <si>
    <t>30.09.2011      21/12/11</t>
  </si>
  <si>
    <t>Проектирование и согласование установки наружных технических средств</t>
  </si>
  <si>
    <t>до 15.12.2011</t>
  </si>
  <si>
    <t xml:space="preserve">497 615,20 </t>
  </si>
  <si>
    <t xml:space="preserve"> _</t>
  </si>
  <si>
    <t>№172/738 от 09.11.11</t>
  </si>
  <si>
    <t>Анализ объектов недвижимости для оценки возможности вып. Работ</t>
  </si>
  <si>
    <t>Устройство 2-х внутренних шахт на 6 лифтов г.п 1000 кг</t>
  </si>
  <si>
    <t>№33-11 от 14.09.2011 г.</t>
  </si>
  <si>
    <t xml:space="preserve"> 10 нед. до 18.11.11</t>
  </si>
  <si>
    <t>5000000</t>
  </si>
  <si>
    <t xml:space="preserve">ООО Атлант                                           Устройство 2-х внутренних шахт на 6 лифтов г.п 1000 кг </t>
  </si>
  <si>
    <t xml:space="preserve">№ --- от ------------ №53 от 12.02.13                             №66 от14.02.13 №82 от 19/02/13  №97 от 28/02/13  №103 от 04/03/13    №137 от 18/03/13       №140 от 20.03.13 </t>
  </si>
  <si>
    <t>ДС №1 от 03.10.11</t>
  </si>
  <si>
    <t>2400000</t>
  </si>
  <si>
    <t>ДС №2 от 10.10.11</t>
  </si>
  <si>
    <t>750000</t>
  </si>
  <si>
    <t>№33-11/1 от 14.09.2011 г.</t>
  </si>
  <si>
    <t>19/09/11 30.09.2011 26/12/11          28/12/12</t>
  </si>
  <si>
    <t>500000</t>
  </si>
  <si>
    <t xml:space="preserve">Проектирование, реконструкция лифтовых шахт, замена 5-ти пассажирских лифтов </t>
  </si>
  <si>
    <t>№ 35-11 от 03.02.12 г.</t>
  </si>
  <si>
    <t>26 недель.</t>
  </si>
  <si>
    <t>8494000         +3708000</t>
  </si>
  <si>
    <t>№4/П-2012/35/1-11</t>
  </si>
  <si>
    <t>200000 у.е.</t>
  </si>
  <si>
    <t xml:space="preserve">  2018759,60  318740,8</t>
  </si>
  <si>
    <t>№209 от 03.05.12                  №269 от 28.05.12</t>
  </si>
  <si>
    <t>Аренда складских помещениий</t>
  </si>
  <si>
    <t>ДС №1 от 15.08.12 к Дог. №35-11                                  от 03.02.12</t>
  </si>
  <si>
    <t>4 мес.</t>
  </si>
  <si>
    <t>29.03.13 от №509</t>
  </si>
  <si>
    <t>№ 35-11/1 от 03.02.12 г.</t>
  </si>
  <si>
    <t>ООО Атлант                                  реконструкция 5-ти лифтовых шахт</t>
  </si>
  <si>
    <t>6600000 +1650000</t>
  </si>
  <si>
    <t xml:space="preserve">320000+250000+300000+400000+280000+500000+580000+300000+300000+300000+295000+    430000 + 490000+    380000+  260000+ 240000+  150000+         430000                 +380000    +480000 +480000   +460000  </t>
  </si>
  <si>
    <t>4750000                            +3500000</t>
  </si>
  <si>
    <t>3-й кв.</t>
  </si>
  <si>
    <t>Доп работы по обустройству лестниц и площадок</t>
  </si>
  <si>
    <t>ДС №2 от 12.07.12 к Дог. №35-11                                  от 03.02.12</t>
  </si>
  <si>
    <t>9 нед.</t>
  </si>
  <si>
    <t>№472 от 29.08.12</t>
  </si>
  <si>
    <t>№ 01-12 от 1.03.12</t>
  </si>
  <si>
    <t>Подъёмные системы «ТОР»    монтаж лифтов</t>
  </si>
  <si>
    <t>31.10.2012            31.03.13               31.05.13       05.07.13</t>
  </si>
  <si>
    <t>Диспетчеризация лифтов</t>
  </si>
  <si>
    <t>ДС №3 от 28.01.13 к Дог. №35-11                                  от 03.02.12</t>
  </si>
  <si>
    <t>№212 от 11.02 13</t>
  </si>
  <si>
    <t>№ 446 от 14.02.13</t>
  </si>
  <si>
    <t>Филиал МГУП «Мослифт» СУ-8 - подключение лифтов (диспетчерезация)</t>
  </si>
  <si>
    <t xml:space="preserve">Проектирование монтаж наружной металлокаркасной шахты   </t>
  </si>
  <si>
    <t>№37-11                                  от 02.11.11</t>
  </si>
  <si>
    <t xml:space="preserve"> №247 от 27.06.12           №277 от 30.07.12</t>
  </si>
  <si>
    <t>№ 37- 11/1 от 07.11.2011 г. + ДС на 110000</t>
  </si>
  <si>
    <t>310000+       220000+         120000+           570000         +400000   +120000</t>
  </si>
  <si>
    <t>№145 от 22.03.13  №160 от 04.04.13</t>
  </si>
  <si>
    <t>1310000                  +1000000</t>
  </si>
  <si>
    <t>ДС №1 от 22.11.11 к Дог. №37-11                                  от 02.11.11</t>
  </si>
  <si>
    <t>11 недель</t>
  </si>
  <si>
    <t xml:space="preserve">Замена 2-х пассажирских лифтов г/п 500 кг </t>
  </si>
  <si>
    <t>38-11                                  от 29.11.11</t>
  </si>
  <si>
    <t>21 неделя</t>
  </si>
  <si>
    <t>1142321,01-</t>
  </si>
  <si>
    <t>№196 от 20.08.12          11/01/13 №129 от 04.07.13</t>
  </si>
  <si>
    <t>38-11/1 от 11.01.12</t>
  </si>
  <si>
    <t>№6 от 19.01.12</t>
  </si>
  <si>
    <t>740000  + 706 872,80</t>
  </si>
  <si>
    <t>№36 от 19.01.12 №439 от 23.08.12</t>
  </si>
  <si>
    <t xml:space="preserve">Монтаж 3-х пассажирских лифтов г/п 1000 кг фирмы «ThyssenKrupp» </t>
  </si>
  <si>
    <t>№ 40-11 от 14.12.11</t>
  </si>
  <si>
    <t>30 раб. Дн.</t>
  </si>
  <si>
    <t>Итого</t>
  </si>
  <si>
    <t>2012 год</t>
  </si>
  <si>
    <t>МБУЗ «Видновский родильный дом»</t>
  </si>
  <si>
    <t xml:space="preserve">Проект замены одного  лифта г/п 500 кг  на лифт  ЩЛЗ г/п 630 кг </t>
  </si>
  <si>
    <t>№ 43-12 от 10.07.12</t>
  </si>
  <si>
    <t>20 кал. Дн.</t>
  </si>
  <si>
    <t>№805 от 02.08.12</t>
  </si>
  <si>
    <t xml:space="preserve"> Проект на две лифтовые шахты, монтаж 2-х металлокаркасных шахт </t>
  </si>
  <si>
    <t>№ 45-12 от 24.02.12 г.</t>
  </si>
  <si>
    <t>49 кал.дн.</t>
  </si>
  <si>
    <t>№838 от 01.08.12   №499 от 28.05.12</t>
  </si>
  <si>
    <t>Удержания -ГУ                    - 86 300,00                       Эл.энергия - 5026,00  Вода - 186,45      вывоз мусора - 1850,00</t>
  </si>
  <si>
    <t>№ 45-12/1 от 19.03.12 г.</t>
  </si>
  <si>
    <t>__20.12.2012        №168 от 08.04.13     №175 от 18.04.13   №234 от 17.05.13</t>
  </si>
  <si>
    <t>Остекление шахты лифта</t>
  </si>
  <si>
    <t>№ 46-12 от 15.02.12</t>
  </si>
  <si>
    <t>3 мес.</t>
  </si>
  <si>
    <t>№ 46-12/1  от 15.02.12</t>
  </si>
  <si>
    <t>1500000                     + 600000</t>
  </si>
  <si>
    <t xml:space="preserve">Поставка, монтаж, пуско-наладка пассажирского лифта гидравлического г/п 400 кг </t>
  </si>
  <si>
    <t>№ 51-12 от 27.06.12</t>
  </si>
  <si>
    <t>22 недели</t>
  </si>
  <si>
    <t>54780 евро</t>
  </si>
  <si>
    <t>№1 от 10.07.12               №1069 от 28.11.12     №4 от 18.02.13</t>
  </si>
  <si>
    <t>37424 е (40,5522) 9356 е (38,9408)</t>
  </si>
  <si>
    <t>№ 02/П-2012 от 11.07.12</t>
  </si>
  <si>
    <t>ООО Подъемные системы "ТОР" - поставка оборудования</t>
  </si>
  <si>
    <t>45500 евро</t>
  </si>
  <si>
    <t xml:space="preserve">       900000     + 1000000</t>
  </si>
  <si>
    <t>№364 от 11.07.12       №435 от 20.08.12</t>
  </si>
  <si>
    <t xml:space="preserve">Поставка, монтаж, пуско-наладка и сдача в эксплуатацию 3-х подъемников г/п 3200 кг </t>
  </si>
  <si>
    <t>№ 53-12 от 11.05.12</t>
  </si>
  <si>
    <t>90 раб.дн.</t>
  </si>
  <si>
    <t>3600000            +323000</t>
  </si>
  <si>
    <t>№453 от 05.04.13</t>
  </si>
  <si>
    <t>Проект, монтаж внутренней шахты</t>
  </si>
  <si>
    <t>№ 56-12               от 13.06.12</t>
  </si>
  <si>
    <t>№549 от 26.07.12           от №933 25/1012            №770 от 31.07.13</t>
  </si>
  <si>
    <t>№ 56/1-12               от 15.07.12</t>
  </si>
  <si>
    <t>206000                             +490000</t>
  </si>
  <si>
    <t>№127 от 14.03.2013  №515 от 02.10.2013</t>
  </si>
  <si>
    <t>ДС №1 от 29.07.13 г.</t>
  </si>
  <si>
    <t>ДС №2 от 06.09.13 г.</t>
  </si>
  <si>
    <t>Монтаж 12-ти лифтов (6 лифтов - 3-и по 400 кг и 3 по 600 кг)</t>
  </si>
  <si>
    <t>№ 58-12 от 26.06.12</t>
  </si>
  <si>
    <t>18 недель</t>
  </si>
  <si>
    <t>№313 от 23.07.12  №389 от 13.08.12       №959 от 29.10.12    №1016 от 16.11.12 №1038 от 21.11.12 №104 от 12.04.13  №121 от 23.04.13   №155 от 13.05.13  №167 от 15.05.13  №186 от 16.05.13  №217 от 06.06.13  №272 от 26.06.13  №292 от 08.07.13 №304 от 11.07.13  №372 от 08.08.13</t>
  </si>
  <si>
    <t>3930249,6+1051680  +10739752,17 +2076977,3                +643898,93 +845500 +96800(Акт на хранение лифтового оборудования)</t>
  </si>
  <si>
    <t>№ 58/1-12 от 01.10.12</t>
  </si>
  <si>
    <t>ДС №1 от 10.12.12 к Дог. № 58/1-12 от 01.10.12</t>
  </si>
  <si>
    <t>29.03.13 г.</t>
  </si>
  <si>
    <t>ООО "ТекСтрой" - монтаж, пусконаладка трех лифтов г/п 630 кг</t>
  </si>
  <si>
    <t>Торгпромсервис              Ремонтно-отделочные работы</t>
  </si>
  <si>
    <t>700000+600000</t>
  </si>
  <si>
    <t>подписано 700000</t>
  </si>
  <si>
    <t>ООО АгатС  ремонтные работы в шахтах лифтов</t>
  </si>
  <si>
    <t>№129 от 10.08.12</t>
  </si>
  <si>
    <t>Доп.комплектующие для лифтового оборудования</t>
  </si>
  <si>
    <t>№ 94 /П-2013</t>
  </si>
  <si>
    <t>1 нед.</t>
  </si>
  <si>
    <t>накл. На 198000</t>
  </si>
  <si>
    <t xml:space="preserve">Проектные работы установки 2-х лифтов, а также их доработка и сдача в эксплуатацию </t>
  </si>
  <si>
    <t>№ 61-12 от 17.08.12 и ДС №1 от 22.10.12</t>
  </si>
  <si>
    <t>8 недель.</t>
  </si>
  <si>
    <t xml:space="preserve">1 098  000,00 </t>
  </si>
  <si>
    <t>ООО "АгатС" Ремонтные работы шахт двух лифтов</t>
  </si>
  <si>
    <t xml:space="preserve">658 800 ,00 </t>
  </si>
  <si>
    <t>№58 от 23.08.12 06/11-454000 08/02 163200 23/08 658800</t>
  </si>
  <si>
    <t>№ 61/1-12 от 17.08.12</t>
  </si>
  <si>
    <t>№125 от 14.03.2013</t>
  </si>
  <si>
    <t>Поставка, монтаж, пуско-наладка 3-х комплектов лифтов</t>
  </si>
  <si>
    <t>№ 63-12 от 16.08.12</t>
  </si>
  <si>
    <t>105 кал.дн.</t>
  </si>
  <si>
    <t>№1029 от 19.11.12  №1048 от 22.11.12 № от_______                  №85 от 21.03.13</t>
  </si>
  <si>
    <t>№142 от 05.09.12</t>
  </si>
  <si>
    <t xml:space="preserve"> Проектирование, реконструкция лифтовой шахты, замена пассажирского лифта </t>
  </si>
  <si>
    <t>№ 64-12 от 15.08.12</t>
  </si>
  <si>
    <t>21 нед.</t>
  </si>
  <si>
    <t>№157 от 17.08.12                 №1027от 19.11.12                      от 14.02.13                         №49 от 13.02.13   №238 от 31.07.13</t>
  </si>
  <si>
    <t>142000+130000+760000+2301000+45000</t>
  </si>
  <si>
    <t>№ 64/1-12 от 15.08.12</t>
  </si>
  <si>
    <t xml:space="preserve">490000     +300000  +446000 </t>
  </si>
  <si>
    <t>№345 от 05.08.13        №353 от 07.08.13   _______от 11.08.13</t>
  </si>
  <si>
    <t xml:space="preserve">700000                       +146000              </t>
  </si>
  <si>
    <t xml:space="preserve">28.09.2012  28.12.12    </t>
  </si>
  <si>
    <t>на 4 кв</t>
  </si>
  <si>
    <t>ДС №1 от 12.11.12 к Дог. № 64/1-12 от 15.08.12</t>
  </si>
  <si>
    <t>58/П-2012 от 20.08.12 г.</t>
  </si>
  <si>
    <t>38000 у.е.</t>
  </si>
  <si>
    <t xml:space="preserve">ООО «ХолдингСтрой»  </t>
  </si>
  <si>
    <t>Проектно-сметная документация установки 2-х (двух)  лифтов</t>
  </si>
  <si>
    <t>№ 65-12 от 30.08.12</t>
  </si>
  <si>
    <t>11 нед.</t>
  </si>
  <si>
    <t xml:space="preserve">235 000 </t>
  </si>
  <si>
    <t>47000+188000</t>
  </si>
  <si>
    <t>№118 от 19.04.13</t>
  </si>
  <si>
    <t>№ 65/1-12 от 30.09.12</t>
  </si>
  <si>
    <t xml:space="preserve">Разработка проекта и устройство м/каркасной шахты                         </t>
  </si>
  <si>
    <t>№ 66-12 от 10.09.12</t>
  </si>
  <si>
    <t>1618000 -отменяется Доп. Согл.</t>
  </si>
  <si>
    <t xml:space="preserve">№1076 от 29.11.12        №9 от 14/01/13   </t>
  </si>
  <si>
    <t>№ 66/1-12 от 19.11.12</t>
  </si>
  <si>
    <t>_________12.09.13</t>
  </si>
  <si>
    <t>от 29.03.13</t>
  </si>
  <si>
    <t>№1076 от 29.11.12</t>
  </si>
  <si>
    <t>2013 год</t>
  </si>
  <si>
    <t>№ 72-13 от 08.02.13</t>
  </si>
  <si>
    <t>4 недели</t>
  </si>
  <si>
    <t>№89 от 05.03.13</t>
  </si>
  <si>
    <t>Вернули платеж</t>
  </si>
  <si>
    <t>ДС №1 от 17.06.13 г.</t>
  </si>
  <si>
    <t>?</t>
  </si>
  <si>
    <t xml:space="preserve">Агат С ремонтно-отделочные работы                  </t>
  </si>
  <si>
    <t xml:space="preserve">поставка, монтаж, пуско-наладка лифта гидравлического г/п 300 кг производства «DOMUSLIFT» </t>
  </si>
  <si>
    <t>№ 48-12 от 12.02.13</t>
  </si>
  <si>
    <t>20 недель</t>
  </si>
  <si>
    <t>63650 у.е.</t>
  </si>
  <si>
    <t>№220 от 13.02.2013    №267 от 25.04.13  №304 от 10.06.13</t>
  </si>
  <si>
    <t>№ 01-13 от 14.05.13</t>
  </si>
  <si>
    <t xml:space="preserve">ООО Подъемные системы "ТОР"                            монтаж лифта г/п 300 кг </t>
  </si>
  <si>
    <t>на период срока действия настоящего Договора .</t>
  </si>
  <si>
    <t>№ 48/1-12 от 12.02.13</t>
  </si>
  <si>
    <t>№_____от 16.09.13</t>
  </si>
  <si>
    <t xml:space="preserve">Переделка существующей лифтовой шахты, пассажирских гидравлического и электрического лифтов </t>
  </si>
  <si>
    <t>№ 72-13 от 15.02.13</t>
  </si>
  <si>
    <t>пл. №20 от 11.03.13  №42 от 15.05.13  №88 от 05.07.13  №87 от 05.07.13</t>
  </si>
  <si>
    <t>3111900                       +490000                       +240000 +950000</t>
  </si>
  <si>
    <t>785700                              (акт сверки на 30.09)</t>
  </si>
  <si>
    <t>№ 72/1-13 от 15.02.13</t>
  </si>
  <si>
    <t xml:space="preserve">ООО Атлант Переделка существующей лифтовой шахты, пассажирских гидравлического и электрического лифтов </t>
  </si>
  <si>
    <t>всего 2575400</t>
  </si>
  <si>
    <t>Агат С ремонтно-строительные работы по</t>
  </si>
  <si>
    <t>ДС №1 от 26.06.13</t>
  </si>
  <si>
    <t>ИнтерСфераПлюс ремонтно-строительные работы по</t>
  </si>
  <si>
    <t>ДС №2 от 21.01.4</t>
  </si>
  <si>
    <t>М-28 от 28.11.2013</t>
  </si>
  <si>
    <t>ООО СОЛАРТЕК" Установка пленки</t>
  </si>
  <si>
    <t>27.01.14 г.</t>
  </si>
  <si>
    <t>ДС №3 от 17.07.14</t>
  </si>
  <si>
    <t xml:space="preserve">разработка проектно-сметной документации </t>
  </si>
  <si>
    <t>№ 74-13 от 22.03.13</t>
  </si>
  <si>
    <t>№ 74/1-13 от 22.03.13</t>
  </si>
  <si>
    <t xml:space="preserve">ПД на установку 5-ти эскалаторов, 1-го лифта и замену 1-го лифта </t>
  </si>
  <si>
    <t>№ 77-13 от 11.04.13</t>
  </si>
  <si>
    <t xml:space="preserve">236800  +59200 от Транспрогресс </t>
  </si>
  <si>
    <t>№341 от 26.04.13</t>
  </si>
  <si>
    <t>№  03-13 от 01.07.13</t>
  </si>
  <si>
    <t>ООО Подъемные системы "ТОР"                            ПД на установку лифта г/п 375 кг и монтаж</t>
  </si>
  <si>
    <t xml:space="preserve">220000 - </t>
  </si>
  <si>
    <t>ДС №1 от 07.08 к Дог.№ 77-13 от 11.04.13</t>
  </si>
  <si>
    <t xml:space="preserve">ПД, шахта лифта, установка лифта </t>
  </si>
  <si>
    <t>№ 78-13 от 13.05.13</t>
  </si>
  <si>
    <t>пл.№133 от 16.05.13 №222 от 08.08.13</t>
  </si>
  <si>
    <t xml:space="preserve">Последняя оплата по дог. Уступки прав                       </t>
  </si>
  <si>
    <t>№4/П-2013 от 14.05.13</t>
  </si>
  <si>
    <t>33000 у.е.</t>
  </si>
  <si>
    <t xml:space="preserve"> 17000 у.е.</t>
  </si>
  <si>
    <t>№ 78/1-13 от 13.05.13</t>
  </si>
  <si>
    <t>ООО Атлант                                 Строительство лифтовой шахты</t>
  </si>
  <si>
    <t>610000     1000000</t>
  </si>
  <si>
    <t>28.06.2013  20/12/13</t>
  </si>
  <si>
    <t>перенесены от Атланта</t>
  </si>
  <si>
    <t>ООО ВИКОНТ                                 Строительство лифтовой шахты</t>
  </si>
  <si>
    <t>№ 02-13 от 14.05.13</t>
  </si>
  <si>
    <t>ООО Подъемные системы "ТОР"                            Монтаж лифта г/п 375 кг</t>
  </si>
  <si>
    <t xml:space="preserve">ПД, 2-е шахты -CМР, установка 3-х  лифтов (два г/п 630 кг и один г/п 1000 кг) в двух м/к шахтах </t>
  </si>
  <si>
    <t>№ 79-13 от 10.07.13.г.</t>
  </si>
  <si>
    <t>24 недели</t>
  </si>
  <si>
    <t>пл.№133 от 20.08.13</t>
  </si>
  <si>
    <t>ДС №1 от 01.04.14.                           ДС №2 от 01.07.14</t>
  </si>
  <si>
    <t xml:space="preserve"> ДС №2 от 15.06.15</t>
  </si>
  <si>
    <t>№ 06-13 от 19.08.13</t>
  </si>
  <si>
    <t>ООО Подъемные системы ТОР                                  изготовление и монтаж м/конструкций шахт</t>
  </si>
  <si>
    <t>300000 + 1075000</t>
  </si>
  <si>
    <t>от 10.09.14       01.10.14</t>
  </si>
  <si>
    <t xml:space="preserve">№ 79/П-13 от 10.07.13.г. </t>
  </si>
  <si>
    <t>145700 у.е.</t>
  </si>
  <si>
    <t>14570,0 у.е.</t>
  </si>
  <si>
    <t>пл.№133 от 20.08.13                                     от 22.04.14</t>
  </si>
  <si>
    <t>№ 07-13 от 14.10.13</t>
  </si>
  <si>
    <t>ООО Подъемные системы ТОР                                  устройство огнезащиной облицовки шахты</t>
  </si>
  <si>
    <t>от 30.06.14</t>
  </si>
  <si>
    <t>Договор переделан от Дог. №№ 86/09/13ПМ от 04.10.13 г.</t>
  </si>
  <si>
    <t>Хранение и погрузоразгрузочные работы</t>
  </si>
  <si>
    <t>120000  +90000</t>
  </si>
  <si>
    <t>120000 +90000 +60000</t>
  </si>
  <si>
    <t>№4069R3101 от 16.09.13</t>
  </si>
  <si>
    <t>поставка 3-х лифтов</t>
  </si>
  <si>
    <t>98000 евро</t>
  </si>
  <si>
    <t>разработка ПД
на замену пассажирского лифта, СМР по доработке металлокаркасной лифтовой шахте,поставке и замене лифта г/п 400 кг</t>
  </si>
  <si>
    <t>№ 80-13 от 17.06.13.г.</t>
  </si>
  <si>
    <t>29 недель</t>
  </si>
  <si>
    <t>179 300,00  у.е.</t>
  </si>
  <si>
    <t>31930у.е.</t>
  </si>
  <si>
    <t>пл.№65 от 01.07.13 г.</t>
  </si>
  <si>
    <t>Завис</t>
  </si>
  <si>
    <t>№032-13.28-S</t>
  </si>
  <si>
    <t>ООО "ШТЕЙН" поставка лифта Еmerald 100 г/п 375 кг</t>
  </si>
  <si>
    <t>60000 евро</t>
  </si>
  <si>
    <t xml:space="preserve">СМР по  устройству внутренней металлокаркасной шахты и установке лифта «Lm liftmaterial gmbh» </t>
  </si>
  <si>
    <t>№ 82-13 от 19.08.13</t>
  </si>
  <si>
    <t>2126800                     +712200 +320000</t>
  </si>
  <si>
    <t>335000 переплата</t>
  </si>
  <si>
    <t>ООО "СТРОИТЕЛЬСТВО БЕЗОПАСНОСТЬ" Ремонтные работы по шахте лифта</t>
  </si>
  <si>
    <t xml:space="preserve">замена двух пассажирских лифтов г/п 1000 кг производства ОАО ЩЛЗ  </t>
  </si>
  <si>
    <t>№ 84-13 от 12.08.13 г.</t>
  </si>
  <si>
    <t>4208500,00</t>
  </si>
  <si>
    <t>пл. №990 от 12.08.13 г.</t>
  </si>
  <si>
    <t>30/09/13</t>
  </si>
  <si>
    <t>№ 04-13 от 09.09.13</t>
  </si>
  <si>
    <t>450000-4 кв.    300000 - 1 кв   50000 - 4 кв.</t>
  </si>
  <si>
    <t xml:space="preserve">от 20.12.13     от 21.02.14     от 01.10.14             </t>
  </si>
  <si>
    <t>№178 от 07.08.13.г.</t>
  </si>
  <si>
    <t>ООО ЩЛЗ поставка 2-х лифтов г/п 1000 кг</t>
  </si>
  <si>
    <t xml:space="preserve">Поставка, монтаж, пуско-наладка  лифта г/п 375 кг  «СУПЕРДОМУС» (Италия) </t>
  </si>
  <si>
    <t>№ 85-13 от 03.09.13 г.</t>
  </si>
  <si>
    <t>23 недели</t>
  </si>
  <si>
    <t>133150,00 у.е.</t>
  </si>
  <si>
    <t>Подъемные системы ТОР - Монтаж и пусконаладка лифта</t>
  </si>
  <si>
    <t>17/03/17</t>
  </si>
  <si>
    <t>по курсу на 09.09.13 - 43,8919</t>
  </si>
  <si>
    <t xml:space="preserve"> 27.02.2017 Клейменов</t>
  </si>
  <si>
    <t>№ 64/П-2013 от 16.09.13                 ДС №1 от 06.12.13</t>
  </si>
  <si>
    <t>98277 евро</t>
  </si>
  <si>
    <t>46175 евро</t>
  </si>
  <si>
    <t xml:space="preserve">Проект на установку лифта и  устройство  металлокаркасной шахты для пассажирского лифта г/п. 2000 кг., </t>
  </si>
  <si>
    <t>№ 86/09/13ПМ от 04.10.13 г.</t>
  </si>
  <si>
    <t>ГАБРИС монтаж металлоконструкций шахты лифта</t>
  </si>
  <si>
    <t>от 16.12.13</t>
  </si>
  <si>
    <t>ТОРГПРОМСЕРВИС  CМР по ремонтно-доделочным работам двух металлокаркасных шахт для лифтов</t>
  </si>
  <si>
    <t>515800         +580000</t>
  </si>
  <si>
    <t>от 12.12.13</t>
  </si>
  <si>
    <t>уточнить</t>
  </si>
  <si>
    <t xml:space="preserve">Устройство четвертого уровня подъема грузового  подъемника ПГКС-К3-2000 </t>
  </si>
  <si>
    <t>№ 86-13 от 03.09.13</t>
  </si>
  <si>
    <t>2 месяца.</t>
  </si>
  <si>
    <t>09.12.13.</t>
  </si>
  <si>
    <t xml:space="preserve">ПД на установку восьми эскалаторов </t>
  </si>
  <si>
    <t>№ 88-13 от 30.10.13</t>
  </si>
  <si>
    <t>9 недель</t>
  </si>
  <si>
    <t>300000+99000</t>
  </si>
  <si>
    <t xml:space="preserve">Акт от 15.01.16 </t>
  </si>
  <si>
    <t xml:space="preserve">Проектная  документация замены лифта  г/п 400 кг </t>
  </si>
  <si>
    <t>№ 89-13 от __.10.13</t>
  </si>
  <si>
    <t>7 мес.</t>
  </si>
  <si>
    <t xml:space="preserve">ФГБУ ЦР Минздрава России                         г.Троицк </t>
  </si>
  <si>
    <t>Окончательные механомонтажные работы работы 2-х лифтов</t>
  </si>
  <si>
    <t>№ 91-13                                от 09.01.14</t>
  </si>
  <si>
    <t xml:space="preserve">Установка подъемного оборудования (4-е лифта , 4-е лифта грузовых, 4-е  платформы, 2-а эскалатора и 2-а траволтора) </t>
  </si>
  <si>
    <t xml:space="preserve">№ 93-13                        от 14.11.13           </t>
  </si>
  <si>
    <t>35816700  (в т.ч. СМР шахты - 5050847,46)</t>
  </si>
  <si>
    <t>10000000+15000000+2100000+1362000+256020+6421533,8+1275000+200000+248409,99</t>
  </si>
  <si>
    <t>№ 81/П-2013 от 22.11.13 ДС №1 от 10.12.13</t>
  </si>
  <si>
    <t>388475 у.е.</t>
  </si>
  <si>
    <t>123175 у.е.</t>
  </si>
  <si>
    <t>10 000 000 + 15 000 000</t>
  </si>
  <si>
    <t>10.12.13     10.12.13          18.02.14                              675 от 08.04.14             186 от 17/06/14   №687 от 10/05/16             №1029 от04.07.16</t>
  </si>
  <si>
    <t>Акт переделать - Демкин не хочет подписывать у Зак-ка нет денег</t>
  </si>
  <si>
    <t>№ 101-152П  от 25.11.13</t>
  </si>
  <si>
    <t>12100 евро</t>
  </si>
  <si>
    <t>сч. От 25.11.13</t>
  </si>
  <si>
    <t xml:space="preserve"> ДС №1 от 02.02.14 г.</t>
  </si>
  <si>
    <t>147891,86 - в Акте 1 и остаток в актах 3 и 5</t>
  </si>
  <si>
    <t xml:space="preserve"> ДС №2 от 11/03/14</t>
  </si>
  <si>
    <t>245700 (в акте 2)</t>
  </si>
  <si>
    <t xml:space="preserve">от 27.12.13 </t>
  </si>
  <si>
    <t xml:space="preserve">CМР по доделке двух металлокаркасных шахт для лифтов и установке этих лифтов грузоподъемностью 800 кг </t>
  </si>
  <si>
    <t>№95-13                                    от 10.12.13</t>
  </si>
  <si>
    <t>14 недель</t>
  </si>
  <si>
    <t>КРАФТ ИНЖИНИРИНГ                                  Cтроительно-отделочные работы</t>
  </si>
  <si>
    <t>750000                    +2200000 +1200000</t>
  </si>
  <si>
    <t>от 28.03.14</t>
  </si>
  <si>
    <t xml:space="preserve">ДС №1 от 30.05.14 </t>
  </si>
  <si>
    <t>комплекс монтажных работ на установку 4-х лифтов</t>
  </si>
  <si>
    <t>№ М -07/13                      от 19.11.13</t>
  </si>
  <si>
    <t>ООО "СТРОЙМАКС" -комплекс монтажных работ на установку 4-х лифтов</t>
  </si>
  <si>
    <t>от 22.11.13</t>
  </si>
  <si>
    <t>ИТОГО:</t>
  </si>
  <si>
    <t>2014 год</t>
  </si>
  <si>
    <t xml:space="preserve">Окончательные пусконаладочные работы 2-х лифтов </t>
  </si>
  <si>
    <t>№ 98-13                          от 09.01.14</t>
  </si>
  <si>
    <t>комплекс  работ - монтажные, электромонтажные, поставка оборудования, ремонтные работы машинного отделения</t>
  </si>
  <si>
    <t>№ М -04/14                  от 12.03.14</t>
  </si>
  <si>
    <t>ООО "НордЛайн"                 -комплекс работ - монтажные и т.д.</t>
  </si>
  <si>
    <t>Изготовление и доставка пассажирского лифта грузоподъемностью 630 кг электрического</t>
  </si>
  <si>
    <t>№ 100-14                      от 18.04.14</t>
  </si>
  <si>
    <t>18 нед</t>
  </si>
  <si>
    <t>68020 евро</t>
  </si>
  <si>
    <t>от 21.04.14</t>
  </si>
  <si>
    <t>расторжение - ?</t>
  </si>
  <si>
    <t>№025-14.13-S от 23 .04.14</t>
  </si>
  <si>
    <t>ООО "Штейн"</t>
  </si>
  <si>
    <t>59000 евро</t>
  </si>
  <si>
    <t>расторгается Согл. О расторжении от 25.03.16</t>
  </si>
  <si>
    <t>Акт сдачи-приемки на 400000</t>
  </si>
  <si>
    <t>Расторгнут от 25.03.16</t>
  </si>
  <si>
    <t>№ 101-14                      от 18.04.14</t>
  </si>
  <si>
    <t>12 нед</t>
  </si>
  <si>
    <t>№ 102-14                      от 18.03.14</t>
  </si>
  <si>
    <t>1 год</t>
  </si>
  <si>
    <t xml:space="preserve">ПД на замену малого грузового лифта по адресу: г.Москва, г.Троицк, ФГБУ ЦР Минздрав России,                       </t>
  </si>
  <si>
    <t>№ 103-14                      от 01.04.14</t>
  </si>
  <si>
    <t>от 29.04.14</t>
  </si>
  <si>
    <t>№ 104-14                      от ___.04.14</t>
  </si>
  <si>
    <t>7 нед</t>
  </si>
  <si>
    <t>ПД на установку 3-х эскалаторов</t>
  </si>
  <si>
    <t>№ 105-14                      от 25.04.14</t>
  </si>
  <si>
    <t>15 раб. Дней</t>
  </si>
  <si>
    <t xml:space="preserve">замена пассажирского лифта на лифт г/п 630 кг </t>
  </si>
  <si>
    <t>№ 107-14                      от 14.05.14</t>
  </si>
  <si>
    <t xml:space="preserve">Устройство строительной части по замене лифта грузоподъемностью 1000 кг во внутренней шахте </t>
  </si>
  <si>
    <t>432000+249600</t>
  </si>
  <si>
    <t>№555 от 20.06.14</t>
  </si>
  <si>
    <t xml:space="preserve">№ 21-14                            от 19.06.14            </t>
  </si>
  <si>
    <t>180000           05.08 оплата</t>
  </si>
  <si>
    <t>Устройство кессона в приямке грузового лифта</t>
  </si>
  <si>
    <t>№ 108-15                      № 346-К                   от 5.06.14</t>
  </si>
  <si>
    <t>37 кал.дн.</t>
  </si>
  <si>
    <t>от 11/07/14</t>
  </si>
  <si>
    <t>от 06/10/14</t>
  </si>
  <si>
    <t xml:space="preserve">Замена малого грузового лифта по адресу: г.Москва, г.Троицк, ФГБУ ЦР Минздрав России,                        </t>
  </si>
  <si>
    <t>№ 0348100043814000012                                                          от 17.06.14</t>
  </si>
  <si>
    <t>14 нед</t>
  </si>
  <si>
    <t xml:space="preserve">Разработка ПД установки 2-х пассажирских лифтов -один в наружной лифтовой шахте и один лифт во внутренней лифтовой шахте   </t>
  </si>
  <si>
    <t>№110-14 от 03.07.14 г.</t>
  </si>
  <si>
    <t>9 нед</t>
  </si>
  <si>
    <t>№351 от 09.07.14</t>
  </si>
  <si>
    <t>Устройство приставной шахты (утепление, вентиляция и т.д.)</t>
  </si>
  <si>
    <t>№01/25/533-14 от 10.07.2014 г.</t>
  </si>
  <si>
    <t>т</t>
  </si>
  <si>
    <t>500000                  +140000</t>
  </si>
  <si>
    <t>№ М111/14 от 29.07.14</t>
  </si>
  <si>
    <t>от 27.08.14</t>
  </si>
  <si>
    <t>ООО «Дымовское колбасное производство»</t>
  </si>
  <si>
    <t>Поставка 6 дверей</t>
  </si>
  <si>
    <t>115П-14 от 06.10.4</t>
  </si>
  <si>
    <t>Накладная на 424000</t>
  </si>
  <si>
    <t xml:space="preserve">Замена дверей шахты грузового лифта грузоподъемностью 3200 кг </t>
  </si>
  <si>
    <t>№ 116-14                      от 11.12.14</t>
  </si>
  <si>
    <t>№75955-ОМ-25830--2014 от 28.10.14г</t>
  </si>
  <si>
    <t>ГПО Могилевлифтмаш Поставка шахтных дверей</t>
  </si>
  <si>
    <t>270600 - ?</t>
  </si>
  <si>
    <t xml:space="preserve">ПД по установке лифта г/п 400 кг </t>
  </si>
  <si>
    <t>№ 117-14                      от 08.10.14</t>
  </si>
  <si>
    <t xml:space="preserve">Монтаж металлокаркасной шахты лифта г/п 1600 кг </t>
  </si>
  <si>
    <t>№ 118-14 от 27.10.14</t>
  </si>
  <si>
    <t>91 кал. день</t>
  </si>
  <si>
    <t>от 08.06.15</t>
  </si>
  <si>
    <t>переделать дату и забрать договор на проектные работы</t>
  </si>
  <si>
    <t>КОМПРОФ                монтаж металлокаркасной шахты лифта</t>
  </si>
  <si>
    <t>ТЕХМАСТЕР Ремонтно-отделочные работы м/каркасной  шахты</t>
  </si>
  <si>
    <t xml:space="preserve">ПД на установку 6-ти лифтов лифта </t>
  </si>
  <si>
    <t>№ 119-14 от 14.11.14</t>
  </si>
  <si>
    <t>2 нед.</t>
  </si>
  <si>
    <t xml:space="preserve">ООО «Партнер Авто»  </t>
  </si>
  <si>
    <t>Погрузка  двух эскалаторов в здание Торгового автомобильного центра</t>
  </si>
  <si>
    <t>№  9/М/1-2014 от 17.02.14</t>
  </si>
  <si>
    <t>от 12.05.15</t>
  </si>
  <si>
    <t>Химки -школа бокса</t>
  </si>
  <si>
    <t>Поставка лифта</t>
  </si>
  <si>
    <t>№ 56/П-14 от 27.04.15</t>
  </si>
  <si>
    <t>накладная</t>
  </si>
  <si>
    <t>монтаж лифта</t>
  </si>
  <si>
    <t>№  96/1-13 от 14.07.14</t>
  </si>
  <si>
    <t>от 10.10.2014</t>
  </si>
  <si>
    <t xml:space="preserve">ООО               «КомплексЛифт»  </t>
  </si>
  <si>
    <t xml:space="preserve"> монтаж 2-х лифтов и пусконалдка 3-х эскалаторов</t>
  </si>
  <si>
    <t>№ 23/1-14                        от 06.09.14</t>
  </si>
  <si>
    <t>01.04.15                                   2 кв.</t>
  </si>
  <si>
    <t>СОДИ    МАС ГРУП</t>
  </si>
  <si>
    <t>Монтажные работы               эскалаторов</t>
  </si>
  <si>
    <t>№ 14-14/1 от 25.08.14</t>
  </si>
  <si>
    <t>от 27.03.15                                        от 30.04.15</t>
  </si>
  <si>
    <t xml:space="preserve"> «КВАТРО» </t>
  </si>
  <si>
    <t>Устройство внутренней шахты для лифта г/п 500 кг</t>
  </si>
  <si>
    <t>№ 15-14/1 от 28.08.14</t>
  </si>
  <si>
    <t>02.07.2015     - 3 кв.</t>
  </si>
  <si>
    <t>«КомплексЛифт»</t>
  </si>
  <si>
    <t>Монтаж и пусконаладка 2-х траволаторов</t>
  </si>
  <si>
    <t>№ 17/1-14 от 08.09.14</t>
  </si>
  <si>
    <t>от 06.11.14</t>
  </si>
  <si>
    <t>ООО         "Гертт"</t>
  </si>
  <si>
    <t>монтаж лифта г/п 100 кг</t>
  </si>
  <si>
    <t>№ 18-14 от 19.06.14</t>
  </si>
  <si>
    <t>от 12.01.15</t>
  </si>
  <si>
    <t>ООО "Гертт"</t>
  </si>
  <si>
    <t>монтаж лифта г/п 300 кг</t>
  </si>
  <si>
    <t>№ 19/1-14 от 22.07.14</t>
  </si>
  <si>
    <t>Монтаж, пусконаладка 2-х пасс=х лифтов и пумконаладка          2-х эскалаторов</t>
  </si>
  <si>
    <t>№ 26/1 -14 от 01.09.14</t>
  </si>
  <si>
    <t>08.04.2015       - 2 кв.</t>
  </si>
  <si>
    <t>№ 30/1-14 от 06.11.14</t>
  </si>
  <si>
    <t>29.05.2015 - 2 кв.</t>
  </si>
  <si>
    <t>Комплекс работ по шахтам</t>
  </si>
  <si>
    <t>№33/1-14                          от 24.02.15</t>
  </si>
  <si>
    <t>СПОРТ   ПРОЕКТ</t>
  </si>
  <si>
    <t>монтаж наружной лифтовой шахты</t>
  </si>
  <si>
    <t>№35/1-14                          от 17.11.14</t>
  </si>
  <si>
    <t>2000000+700000</t>
  </si>
  <si>
    <t>«Монет   ный двор»</t>
  </si>
  <si>
    <t>пусконаладка двух лифтов г/п 1000 кг</t>
  </si>
  <si>
    <t>№ 37/1-14 от 05.03.15</t>
  </si>
  <si>
    <t>«Тиссен  Крупп Элеватор»</t>
  </si>
  <si>
    <t>монтаж 4-х эскалаторов</t>
  </si>
  <si>
    <t>№ 41/1-14 от 12.01.15</t>
  </si>
  <si>
    <t xml:space="preserve">ПД на замену лифта </t>
  </si>
  <si>
    <t>89/1/53-10-14 от 31/10/14 г.</t>
  </si>
  <si>
    <t>Поставка лифтов,монтажныt пусконаладочныt работы, общестроительные работы</t>
  </si>
  <si>
    <t>№ 444/14-БУТ от 19.12.14</t>
  </si>
  <si>
    <t>до 01.06.15</t>
  </si>
  <si>
    <t>26.12.2014          №258 от 01/04/15</t>
  </si>
  <si>
    <t>4935000,01              +912634,3              +1079999,98    +4621197,17  +2272168,51</t>
  </si>
  <si>
    <t>30.06.2015 - 2кв.</t>
  </si>
  <si>
    <t>2015 год</t>
  </si>
  <si>
    <t xml:space="preserve">ООО "СОДИМАС ГРУП"                        </t>
  </si>
  <si>
    <t xml:space="preserve"> Устройство  спаренной лифтовой шахты</t>
  </si>
  <si>
    <t>№ 64/1-15                          от 01.09.15</t>
  </si>
  <si>
    <t>1000000 есть задел на монтаж оборудования</t>
  </si>
  <si>
    <t xml:space="preserve">ООО «Бетан »                         </t>
  </si>
  <si>
    <t xml:space="preserve"> Устройство  лифтовых шахт</t>
  </si>
  <si>
    <t>№ 68/1-15                          от 09.09.15</t>
  </si>
  <si>
    <t>1730000 от 09.09.15 +1200000 от 03.12.15</t>
  </si>
  <si>
    <t>№ 69/1-15                          от 09.11.15</t>
  </si>
  <si>
    <t>860000+50000+150000</t>
  </si>
  <si>
    <t>Обследование  шахты лифта, разработка проекта замены лифта</t>
  </si>
  <si>
    <t>№ 122-15 от17.03.15</t>
  </si>
  <si>
    <t>90000+176400</t>
  </si>
  <si>
    <t>№896 от 28.05.15</t>
  </si>
  <si>
    <t>Выяснить на закрытие экспертиза - ?</t>
  </si>
  <si>
    <t>Монтаж металлокаркасной панорамной шахты в здании НИУ ВШЭ</t>
  </si>
  <si>
    <t>№ 123-15 от 04.03.15</t>
  </si>
  <si>
    <t>37 раб. Дн</t>
  </si>
  <si>
    <t xml:space="preserve">                          131/2-15                                         от 14.07.15</t>
  </si>
  <si>
    <t>от 09.09.15</t>
  </si>
  <si>
    <t xml:space="preserve">ПД строительной части двух лифтовых шахт  под установку лифтового оборудования (два лифта SJEC) и  ПД строительной части  под монтаж двух эскалаторов </t>
  </si>
  <si>
    <t>№ 126П-15                      от 06.04.15</t>
  </si>
  <si>
    <t>6 нед</t>
  </si>
  <si>
    <t xml:space="preserve">ПД строительной части лифтовой шахты  под установку лифта «Шиндлер» грузоподъемностью 1000 кг и совмещенной лифтовой шахты  под установку трех лифтов «Шиндлер» грузоподъемностью 1125 кг </t>
  </si>
  <si>
    <t>№ 127П-15                      от 06.04.15</t>
  </si>
  <si>
    <t xml:space="preserve">ООО Подъемные системы ТОР                                                 Московская область, г. о. Химки, м/р-н Новогорск </t>
  </si>
  <si>
    <t xml:space="preserve">Поставка грузопассажирского лифта Jade грузоподъемностью 850 кг производства завода LM-LiftMaterial, Германия </t>
  </si>
  <si>
    <t>№56/П-15 от 27.04.15</t>
  </si>
  <si>
    <t>передача по накладной</t>
  </si>
  <si>
    <t xml:space="preserve">Поставка, монтаж и пуско-наладке малого грузового лифта г/п 250 кг и двух подъемников  г/п 250 кг и 500 кг </t>
  </si>
  <si>
    <t>№ 128-15.1 (б/н)                    от 27.04.15</t>
  </si>
  <si>
    <t>94 кал.дня</t>
  </si>
  <si>
    <t>Проект и РД по разделу «Вертикальный транспорт ЦОД», для создания «Инженерно – технологического комплекса центра обработки данных ГПБ (ОАО)»  по адресу Московская область, г. Балашиха, ул. Белякова, вл.1Б.</t>
  </si>
  <si>
    <t>№ 129-15                    от 30.04.15     ДС.№1 от 20.12.16 кор. Стоим.</t>
  </si>
  <si>
    <t>с 30.04.15-30.08.15</t>
  </si>
  <si>
    <t>490000 исправить на 150000</t>
  </si>
  <si>
    <t xml:space="preserve">150000           от 01.03.17 - cкан </t>
  </si>
  <si>
    <t>долг 47000</t>
  </si>
  <si>
    <t xml:space="preserve">Демонтаж одного и модернизация второго существующего пассажирского лифта г/п  500 кг, находящихся в спаренной шахте, поставка, доставка, замена двух лифтов: грузопассажирский  г/п  1000 кг и пассажирский  г/п   400 кг </t>
  </si>
  <si>
    <t>107 кал.дня</t>
  </si>
  <si>
    <t>17.04.2015+два пл. от 20.04</t>
  </si>
  <si>
    <t xml:space="preserve">                          131/1-15                                         от 12.05.15</t>
  </si>
  <si>
    <t>от 30.06.15</t>
  </si>
  <si>
    <t>Переданы договор и акты Клейменову 25.07.15</t>
  </si>
  <si>
    <t>Расширение и реконструкция здания "Аэровокзальный комплекс "Домодедево" - комплекс работ по устройству шахт лифтов 1-2-3 ВИП фаза 7</t>
  </si>
  <si>
    <t>№ DKM-91/SMR (132-15) от 24.03.15</t>
  </si>
  <si>
    <t>1250000              +600000</t>
  </si>
  <si>
    <t>700000                +550000 +600000</t>
  </si>
  <si>
    <t>от 25.06.15          от 30.06.15    от 18.08.15</t>
  </si>
  <si>
    <t>1142371,94      +280397,81</t>
  </si>
  <si>
    <t>№11543 от 13.09.16                №11020 от 31.08.16</t>
  </si>
  <si>
    <t>от 14.09.15</t>
  </si>
  <si>
    <t xml:space="preserve">  +115000  +150000     +1014772,00</t>
  </si>
  <si>
    <t xml:space="preserve"> №8497от 05/07/16  №9546 от 27.07.16            №9679 от 29.07.16</t>
  </si>
  <si>
    <t>1700000                +500000 + 1240000                  +1500000</t>
  </si>
  <si>
    <t>от 15.10.15       0т 02.11.11            от 04.12.15             от 07 12.15</t>
  </si>
  <si>
    <t xml:space="preserve">ДС №1 от 10.08.15, ДС №2 от 19.08.15, ДС №3 от 12.10.15, ДС №3/1 от 23.10.15, ДС №4 от 03.11.15, </t>
  </si>
  <si>
    <t>1000000    +88978,85 +91240,19 +1940000           +219693,00</t>
  </si>
  <si>
    <t xml:space="preserve"> №12026 от 22.09.16             №13328 от 19.10.16  №13704 от 26.10.16        №14080 от 02.11.16            №16208 от 15.12.16</t>
  </si>
  <si>
    <t>500000 от 02.05.16</t>
  </si>
  <si>
    <t>Акт от 02.06.16</t>
  </si>
  <si>
    <t xml:space="preserve"> 510200   +604800                   +410500       +85600</t>
  </si>
  <si>
    <t xml:space="preserve"> 510200                   +1100900</t>
  </si>
  <si>
    <t xml:space="preserve">      от 01.08.16                              от 05.08.16</t>
  </si>
  <si>
    <t>595638                        +581231                   +598482                      +401518               +561800</t>
  </si>
  <si>
    <t>Накл.136                                    Накл. 153                   Накл. 168                  Накл. 168                     Накл. 176</t>
  </si>
  <si>
    <t>от 07.11.16 от 28/11/16   от 13.12.16           от 14.12.16            23/12/16</t>
  </si>
  <si>
    <t>Завис - ?</t>
  </si>
  <si>
    <t>490000 +410730</t>
  </si>
  <si>
    <t xml:space="preserve">                                                             490000              + 410730</t>
  </si>
  <si>
    <t>23.01.2017                     13/03/17</t>
  </si>
  <si>
    <t>595830                       +523400</t>
  </si>
  <si>
    <t>07.02.2017   08/02/2017</t>
  </si>
  <si>
    <t>от 10.04.17</t>
  </si>
  <si>
    <t>455240                            +453860               + 254266        +112360</t>
  </si>
  <si>
    <t>07/04/17                 10/04/17         17/04/17      19/04/17</t>
  </si>
  <si>
    <t>ООО "ОРБИТА"  Изготовление и монтаж МК</t>
  </si>
  <si>
    <t xml:space="preserve">                                        02.03.2017           02.03.2017  13.03.17   27/03/17    31/03/17             05/04/2017      06/04/2017               14.04.17</t>
  </si>
  <si>
    <t>ООО "ТЕХПРОМСТРОЙ" Изготовление металлоконструкций</t>
  </si>
  <si>
    <t xml:space="preserve">458350                    +583435                   </t>
  </si>
  <si>
    <t>30.05.2017                  07.06.17</t>
  </si>
  <si>
    <t xml:space="preserve">          ДC  +557850       +517500           +48250                   +410530         +488350</t>
  </si>
  <si>
    <t xml:space="preserve"> 05.07.17         05.07.17       07/07/17    11.07.17         12.07.17</t>
  </si>
  <si>
    <t>1911790                + 970000                +1500000                  +989000</t>
  </si>
  <si>
    <t xml:space="preserve">  30.08.2016       14.09.2016          04.10.2016                24.10.2016</t>
  </si>
  <si>
    <t>542400        272800        590910               284091</t>
  </si>
  <si>
    <t>от 03.08.17    от 11.08.17       от 14.09.17     от 20.09.17</t>
  </si>
  <si>
    <t>ООО ТЕХМЕТ"  СМР по фазе 8 (по устройсту плиты на отм. 4.700 Фаза 8 в осях 6А-7А Н5-Н6)</t>
  </si>
  <si>
    <t>ООО Берег            изготовление и монтаж металлоконструкций</t>
  </si>
  <si>
    <t>19.03.2018   20.03.18   19.04.18    17.05.18</t>
  </si>
  <si>
    <t>ООО "СТАЛЬСТРОЙИНВЕСТ" Изготовление металлоконструкций</t>
  </si>
  <si>
    <t>07.06.2018      08/06/18</t>
  </si>
  <si>
    <t>ООО "КОРД" Изготовление металлоконструкций</t>
  </si>
  <si>
    <t>525780             +485980</t>
  </si>
  <si>
    <t>02.04 18                                                                       06.04.18</t>
  </si>
  <si>
    <t>574700 +          535680       +153975       +114940        +114942           +300000</t>
  </si>
  <si>
    <t>22.11 17      01.12 17     04.12.17    06.12.17       13.12.17          20.12.17</t>
  </si>
  <si>
    <t>ИП Минасян А.М.                      СМР в лифтовых шахтах</t>
  </si>
  <si>
    <t>150000                            +100000                 +80000</t>
  </si>
  <si>
    <t xml:space="preserve">от 30.01.19                                          от 06.02 19                                           от 05.03.9                                           </t>
  </si>
  <si>
    <t xml:space="preserve">Изготовление и установка 24 демонтажных петель в лифтовых шахтах №№ 1,2,3,4, для лифтов «Шиндлер»  </t>
  </si>
  <si>
    <t>№ 134-15                      от 25.05.15</t>
  </si>
  <si>
    <t>10 раб дн.</t>
  </si>
  <si>
    <t>ПД на замену лифта установку лифта грузоподъемностью 1000 кг в бетонную шахту (</t>
  </si>
  <si>
    <t>№ 138П-15                      от 17.06.15</t>
  </si>
  <si>
    <t xml:space="preserve">Устройство трех м/к шахт под лифты (два  лифта  г/п 1150 кг фирмы  КОNE  и
один лифт г/п 630 кг GeN2 Premier фирмы ОТИС) </t>
  </si>
  <si>
    <t>№ 139С-2015                      от 07.08.15</t>
  </si>
  <si>
    <t>10.08.2015-30.10.2015</t>
  </si>
  <si>
    <t>7235600                    +1500000   +224867,48      +300000    +300000</t>
  </si>
  <si>
    <t>1724867,48      от 15.11.2015                               +9557334,51</t>
  </si>
  <si>
    <t xml:space="preserve">138С-2015 от 10.08.15 </t>
  </si>
  <si>
    <t>от 01.09.15</t>
  </si>
  <si>
    <t>1500000 от 29.04.16 + 600000 от 04.05.16 +500000 от 11.05.16</t>
  </si>
  <si>
    <t>№ 139С/2-2016                   от 14.03.16</t>
  </si>
  <si>
    <t>2900000         +50000        +30000</t>
  </si>
  <si>
    <t>27.01.2017 переделать акт и договор</t>
  </si>
  <si>
    <t>возврат 560000  07.04.17</t>
  </si>
  <si>
    <t>№ 139С/5-2016                   от 23.05.16</t>
  </si>
  <si>
    <t>ООО Техноимпорт Изготовление металлоконструкций для облицовки лифтовых шахт</t>
  </si>
  <si>
    <t xml:space="preserve">поставка лифта ЕСОМАКС (ЛЮКС) г/п  400 кг, монтаж двух лифтов   г/п 1000 кг и  г/п  400 кг , пуско-наладка </t>
  </si>
  <si>
    <t>№140-15                    от 16.07.15</t>
  </si>
  <si>
    <t>120000 от 12.10.15                +100000 от 25.01.16</t>
  </si>
  <si>
    <t>100000-возврат 18.10.16</t>
  </si>
  <si>
    <t>22 кал. дн.</t>
  </si>
  <si>
    <t xml:space="preserve">                          140/1-15                                         от 20.07.15</t>
  </si>
  <si>
    <t xml:space="preserve"> монтаж подъемного оборудования (2-а подъемника и лифт)</t>
  </si>
  <si>
    <t>№141-15                    от 16.07.15</t>
  </si>
  <si>
    <t xml:space="preserve">                          141/1-15                                         от 20.07.15</t>
  </si>
  <si>
    <t>100000  от 13.08.15                             +44000   272от 31.08.15 +120000 от 9.10.15</t>
  </si>
  <si>
    <t>от 08.10.15</t>
  </si>
  <si>
    <t xml:space="preserve">Монтаж  и пусконаладка 10 (десять) комплектов лифтового оборудования </t>
  </si>
  <si>
    <t>№142-15                    от 22.10.15</t>
  </si>
  <si>
    <t>907443,60 + 800000 +400000</t>
  </si>
  <si>
    <t xml:space="preserve"> 1-й  30 12 15 за вып. Работы                №206-29/04/16    №206 от 05.08.16</t>
  </si>
  <si>
    <t xml:space="preserve">Подъемные системы  "ТОР"                                       Монтаж  и пусконаладка  лифтового оборудования </t>
  </si>
  <si>
    <t xml:space="preserve">                                  1000000                 + 200000                 +200000         +911000</t>
  </si>
  <si>
    <t>был возврат 300000</t>
  </si>
  <si>
    <t>Отделка лифтовой шахты - ограждение</t>
  </si>
  <si>
    <t xml:space="preserve"> № 6058 МПС от (№144-15)                   от 16.09.15                 ДС №1 от 30.11.15</t>
  </si>
  <si>
    <t>№1224 от 15.03.16</t>
  </si>
  <si>
    <t xml:space="preserve">                            1672239                от 13.01.16</t>
  </si>
  <si>
    <t>Подписан Акт сдачи-приемки объекта о т 13.01.16</t>
  </si>
  <si>
    <t xml:space="preserve">от 09.03.16 </t>
  </si>
  <si>
    <t>ПД на устройство трех лифтовых шахт</t>
  </si>
  <si>
    <t>№145ПД-15                   от 01.09.15</t>
  </si>
  <si>
    <t>1,5 мес.</t>
  </si>
  <si>
    <t>2016 год</t>
  </si>
  <si>
    <t xml:space="preserve">ПД, реконструкция шахты, поставка и замена лифта </t>
  </si>
  <si>
    <t>№146-16                   от 16.05.16</t>
  </si>
  <si>
    <t>BIDM-12659-C1 от 12.07.2016</t>
  </si>
  <si>
    <t>ТиссенКруппЭлеватор</t>
  </si>
  <si>
    <t>34250 евро</t>
  </si>
  <si>
    <t>25 недель</t>
  </si>
  <si>
    <t>49400 евро</t>
  </si>
  <si>
    <t>34580 евро</t>
  </si>
  <si>
    <t>№5458от 12.08.16</t>
  </si>
  <si>
    <t>Волков,Толченов</t>
  </si>
  <si>
    <t>СТРОЙПОДРЯД                          Монтаж лифтовой шахты</t>
  </si>
  <si>
    <t xml:space="preserve">Поставка 1(Одного) комплектного лифта Jade 100 LM-LIFTMATERIAL (Германия) грузоподъемностью 600 кг </t>
  </si>
  <si>
    <t>№ 147/П-2016 от 21.01.16</t>
  </si>
  <si>
    <t>68900 евро</t>
  </si>
  <si>
    <t>55 120, 00 евро</t>
  </si>
  <si>
    <t>№771 от 09.03.16         №184 от 05.07.16</t>
  </si>
  <si>
    <t>Накладная У204 от 17.10.16</t>
  </si>
  <si>
    <t>№002-16.11-S,  ДС №1 от 25.03.16,                    ДС №2 от 15.034.16</t>
  </si>
  <si>
    <t>ООО "ШТЕЙН" поставка лифта Еmerald 100 г/п 630 кг</t>
  </si>
  <si>
    <t>ПД на замену пассажирских лифтов</t>
  </si>
  <si>
    <t>14 кал.дн.</t>
  </si>
  <si>
    <t>от 17.02.16</t>
  </si>
  <si>
    <t>монтаж лифта г/п 400 кг</t>
  </si>
  <si>
    <t>№149-16                   от 08.02.16</t>
  </si>
  <si>
    <t>10 кал.дн.</t>
  </si>
  <si>
    <t>№91 от 09.03.16</t>
  </si>
  <si>
    <t xml:space="preserve">Поставка, монтаж лифта «ДОМУС» г/п 250 кг производства «DOMUSLIFT» модель PL - 1С </t>
  </si>
  <si>
    <t>№150-16                   от 04.03.16</t>
  </si>
  <si>
    <t xml:space="preserve">1 559 287, 00 </t>
  </si>
  <si>
    <t>№574316 от 14.03.16</t>
  </si>
  <si>
    <t>расторгнут</t>
  </si>
  <si>
    <t xml:space="preserve">ПД на замену лифта установку лифта грузоподъемностью 1000 кг в бетонную шахту </t>
  </si>
  <si>
    <t>№ 151 ПД-2016                     от 05.04.16</t>
  </si>
  <si>
    <t>60000      +40000    +38000</t>
  </si>
  <si>
    <t>от 05/04'/16 №15            №56 от 06.06.16                       №53 от 02.06.16</t>
  </si>
  <si>
    <t>от 27.05.16 - Клейменов</t>
  </si>
  <si>
    <t xml:space="preserve">Замена лифта на  лифт Jade 100 LM-LIFTMATERIAL (Германия) грузоподъемностью 600 кг </t>
  </si>
  <si>
    <t>№ 152-16 от 18.05.16</t>
  </si>
  <si>
    <t>1839000                  +46000                    + 1180000     +620000</t>
  </si>
  <si>
    <t>ООО "СИТИТОРГ" изготовление м/констрк. Шахты лифта</t>
  </si>
  <si>
    <t>500000 от 07.07.16</t>
  </si>
  <si>
    <t xml:space="preserve">Накл.135                       Накл. 146        </t>
  </si>
  <si>
    <t>490000, 480000 , 350000  перенесены на Дог. 132/6-16</t>
  </si>
  <si>
    <t>Поставка 4 (Четыре) комплектных эскалатора, 2 (Два) комплектных траволатора «Sodimas Group – SJEC</t>
  </si>
  <si>
    <t>№ 153П/ПМ-2016 от 25.06.16</t>
  </si>
  <si>
    <t>202000 евро</t>
  </si>
  <si>
    <t>145000 евро</t>
  </si>
  <si>
    <t>1997000 +431801,64</t>
  </si>
  <si>
    <t>№263 от 29.08.16   №264от 31.08.16</t>
  </si>
  <si>
    <t>Накл. У259 от 03.11.16 и ______</t>
  </si>
  <si>
    <t>Поставка 2 (Двух) комплектных лифтов пассажирских ПП-1011 грузоподъемностью 1000 кг, монтаж  поставляемого Оборудования</t>
  </si>
  <si>
    <t>№ 154/ПМ-2016 от 25.06.16</t>
  </si>
  <si>
    <t>9640140            +1936515,98            +1997000,00            +431801,64            +2972806,44   +571538</t>
  </si>
  <si>
    <t xml:space="preserve">№160 от 06.07.16             №159 от 06.07.16     №263 от 29/08/16 №264 от 31/08/16 №330 от 20/10/16 </t>
  </si>
  <si>
    <t>№ 39/П-2016 от 06.07.16                       ДС №1 от 11.10.16</t>
  </si>
  <si>
    <t>196000 у.е.</t>
  </si>
  <si>
    <t>98000у.е.</t>
  </si>
  <si>
    <t>обор.</t>
  </si>
  <si>
    <t>4973390,97                     +95934                +55000               +70000</t>
  </si>
  <si>
    <t xml:space="preserve"> 14.03.17                     17.05.17                                                                  25.07.17      26.07.17 сканы все</t>
  </si>
  <si>
    <t>1000050 (28.11.16)      49950                        +500000 (20.01.17)     +30000( 01/02/17)          +40000 (02/02/17)   70000 (3.02)</t>
  </si>
  <si>
    <t>от 14.03.17</t>
  </si>
  <si>
    <t>ПД на установку эскалатора</t>
  </si>
  <si>
    <t>№ 157 П-16                     от 17.06.16</t>
  </si>
  <si>
    <t>от 21.09.16</t>
  </si>
  <si>
    <t>Подъемные системы  "ТОР"                                       ПД на установку эскалатора</t>
  </si>
  <si>
    <t>120000 от 17.01.17</t>
  </si>
  <si>
    <t>от 30.09.16</t>
  </si>
  <si>
    <t>остат.на опл. 20000</t>
  </si>
  <si>
    <t>разработка ПД на установки 21 ед. подъемного оборудования и СМР</t>
  </si>
  <si>
    <t>№42/Р-2016 от 07.07.2016</t>
  </si>
  <si>
    <t>569271,5  +119268,50  +200000                          +250000</t>
  </si>
  <si>
    <t xml:space="preserve">№1338 от 03.08                                  №1425 от 02.09.16         №1721 от 18.11.16    1724 от 22.11.16     1846 от 26.12.16     </t>
  </si>
  <si>
    <t xml:space="preserve">от 25.10.16 </t>
  </si>
  <si>
    <t xml:space="preserve">разработка РЧ устройства отверстия в перекрытии для размещения эскалатора в здании ТЦ «Метрополис» </t>
  </si>
  <si>
    <t>№ 159 П/16                     от 02.09.16</t>
  </si>
  <si>
    <t>15 раб.дней</t>
  </si>
  <si>
    <t>сч./сч.ф, переданы по Эл.почте</t>
  </si>
  <si>
    <t>№ 14/16-П                  от 02.09.16</t>
  </si>
  <si>
    <t xml:space="preserve">ООО   "ТОПЭКС"                                       Празработка РЧ устройства отверстия в перекрытии для размещения эскалатора в здании ТЦ «Метрополис» </t>
  </si>
  <si>
    <t xml:space="preserve">техническое обследование фрагмента перекрытия 3 этажа в зоне R11 в здании ТЦ «Метрополис» </t>
  </si>
  <si>
    <t>№160/16-ТО                    от 01.09.16</t>
  </si>
  <si>
    <t>5 раб.дней</t>
  </si>
  <si>
    <t>№118 от 31.10.16</t>
  </si>
  <si>
    <t>№ 20/16-ТО                 от 01.09.16</t>
  </si>
  <si>
    <t>Разработка ПД на замену 2-х лифтов</t>
  </si>
  <si>
    <t>№ТС-65 от 07.09.2016</t>
  </si>
  <si>
    <t>№1038 от 01.11.16</t>
  </si>
  <si>
    <t>от 25.10.16</t>
  </si>
  <si>
    <t>Волков - провели акт у Заказчика</t>
  </si>
  <si>
    <t>Монтаж лифтового оборудования -двух лифтов</t>
  </si>
  <si>
    <t>№ 161 от 17.11.2016 (ДС №1 от 06.07.17 Кор. Ст-ти)</t>
  </si>
  <si>
    <t>2,5 мес.</t>
  </si>
  <si>
    <t>от07.08.17</t>
  </si>
  <si>
    <t xml:space="preserve"> Замена двух пассажирских лифтов</t>
  </si>
  <si>
    <t xml:space="preserve">№55/4.11-04-17 от 14.04.17        </t>
  </si>
  <si>
    <t xml:space="preserve">№ 13437 от 17.04.2017 </t>
  </si>
  <si>
    <t>272907,32                 +9218504                     +4224979,38                  +783713,97</t>
  </si>
  <si>
    <t>от 24.05.17        нак 13.07.17           31.07 17   11.08.17</t>
  </si>
  <si>
    <t>№172/17от 05/05/17</t>
  </si>
  <si>
    <t>от 05.07.17</t>
  </si>
  <si>
    <t>ООО "ВУДПЕКЕР"                             г.Москва, ул.1-я Брестская, дом 22</t>
  </si>
  <si>
    <t xml:space="preserve"> Проектирование, реконструкция лифтовой шахты, замена пассажирского лифта г/п 630 кг производства "Тhyssen Krupp" (Германия) по адресу: г.Москва, ул.1-я Брестская, дом 22</t>
  </si>
  <si>
    <t>№ 162-17 от 06.02.2017  ДС №1 от 17.03.17</t>
  </si>
  <si>
    <t>68000            +17000            +15000              +328800</t>
  </si>
  <si>
    <t xml:space="preserve"> 15000                           +328800</t>
  </si>
  <si>
    <t>№134 от 17.04.17                          №135 от 17.04.17</t>
  </si>
  <si>
    <t>85000   +280000       +746000</t>
  </si>
  <si>
    <t>от 14.03.17    от 07.06.17     от 29.10.17</t>
  </si>
  <si>
    <t>Волков</t>
  </si>
  <si>
    <t xml:space="preserve"> 07.06.17</t>
  </si>
  <si>
    <t>ООО ТЭКО  догоовор скан</t>
  </si>
  <si>
    <t xml:space="preserve">Пусконаладочные работы четырех пассажирских лифтов г/п 1000 кг производства “Thyssen Krupp”(Германия), далее по тексту - «Работы», в  здании, расположенном по адресу: г. Москва, ул . Ак. Королева, д.12, д. 19 </t>
  </si>
  <si>
    <t>№ 164-17 от 27.03.2017</t>
  </si>
  <si>
    <t>700000 скан</t>
  </si>
  <si>
    <t>от 31.10.17</t>
  </si>
  <si>
    <t>ЗАО Фирма ЦВ "ПРОТЕК"                             г.Москва, ул.Чермянская, дом 2</t>
  </si>
  <si>
    <t xml:space="preserve"> Замена пассажирского лифта г/п 1000 кг </t>
  </si>
  <si>
    <t>90 раб. Дн.</t>
  </si>
  <si>
    <t>от 29.08.17</t>
  </si>
  <si>
    <t>от 03.08.17</t>
  </si>
  <si>
    <t>АО «АСТЕРОС»        г. Москва, ул. Мосфильмовская, дом 8 корп.2</t>
  </si>
  <si>
    <t xml:space="preserve">Установка 35 комплектов обрамлений на лифт Sigma и 3 лифта KONE, пусконаладочные работы по лифту Sigma </t>
  </si>
  <si>
    <t>№ 166/17 от 19.04.2017</t>
  </si>
  <si>
    <t>1 182 000,00                              +28000                         +93500</t>
  </si>
  <si>
    <t>1182000                           +28000                         +93500</t>
  </si>
  <si>
    <t>от 16.08.17</t>
  </si>
  <si>
    <t>441680                                  +458320</t>
  </si>
  <si>
    <t>30.05.17         07.06.17</t>
  </si>
  <si>
    <t>Пусконаладочные работы пассажирского лифта и эскалатора</t>
  </si>
  <si>
    <t>№170-17 от 22.05.2017</t>
  </si>
  <si>
    <t>165000           +45000</t>
  </si>
  <si>
    <t>от 13.09.17</t>
  </si>
  <si>
    <t xml:space="preserve"> Демонтаж 2-х лифтов</t>
  </si>
  <si>
    <t>№172/17от 05/05/17    1-й экз в копиях</t>
  </si>
  <si>
    <t xml:space="preserve">Замена существующих двух лифтов на два лифта грузоподъемностью 400 кг и 630 кг производства ПАО «КМЗ»,  </t>
  </si>
  <si>
    <t>№124-17 от 01.09.2017</t>
  </si>
  <si>
    <t>23.10.2017      27.10.2017    31/10/2017</t>
  </si>
  <si>
    <t>№148/17 от 25.08.17</t>
  </si>
  <si>
    <t>Инкор Системы               поставка 2-х лифтов</t>
  </si>
  <si>
    <t>накл. 1024898</t>
  </si>
  <si>
    <t>от 11.10.17</t>
  </si>
  <si>
    <t>от 17.11.17</t>
  </si>
  <si>
    <t>Толченов</t>
  </si>
  <si>
    <t>У Хуторецкой</t>
  </si>
  <si>
    <t>№113/4.11-11-11-17    от  02.11.17</t>
  </si>
  <si>
    <t>Проектные работы</t>
  </si>
  <si>
    <t>№121/4.11-11-17    от  22.11.17</t>
  </si>
  <si>
    <t>Экспертиза Проектных работ</t>
  </si>
  <si>
    <t>№ 42/4.11-12-17    от  04.12.17</t>
  </si>
  <si>
    <t xml:space="preserve">ООО «КАМЕЛОТ»                         г. Москва, Балаклавский проспект, д. 2, корп. 5   </t>
  </si>
  <si>
    <t xml:space="preserve"> Обследование, ПД на установку пассажирского лифта г</t>
  </si>
  <si>
    <t>№167/17 от 31.03.2017</t>
  </si>
  <si>
    <t>0т 18.10.17</t>
  </si>
  <si>
    <t>№177-17 от 02.10.2017</t>
  </si>
  <si>
    <t>Спиридоновка</t>
  </si>
  <si>
    <t xml:space="preserve">ПД на установку пассажирской платформы «Домус» грузоподъемностью 250 кг), поставку  комплекс  работ по строительству внутренней   металлокаркасной шахты  для пассажирской платформы и ее монтаж </t>
  </si>
  <si>
    <t>№177-17 от __.10.2017</t>
  </si>
  <si>
    <t>ПД Монтаж, пуско-наладка, техн. Освидетельствование 3-х лифтов</t>
  </si>
  <si>
    <t>7 недель</t>
  </si>
  <si>
    <t>№594 от 30.06 (ПД)</t>
  </si>
  <si>
    <t>300192                           +260072                    +150096                     +171000                  +315296                    +33040     +161660               +40964</t>
  </si>
  <si>
    <t>от 30.11.12    от 13.12.17</t>
  </si>
  <si>
    <t xml:space="preserve">Механомонтаж и электромонтаж двадцати одной единицы подъемного оборудования </t>
  </si>
  <si>
    <t>201600     +387000  +168000      +403200               +150096                       +218400</t>
  </si>
  <si>
    <t>30.09.2015      30.09.2016    06.10.16          06/02/17 и 13.03.17     27.12.2017</t>
  </si>
  <si>
    <t>№ 42/Р-2016                          от 07.07.16</t>
  </si>
  <si>
    <t>АКТ на 1538543 ?</t>
  </si>
  <si>
    <t>нет данных в программе</t>
  </si>
  <si>
    <t>Поставка подъемника</t>
  </si>
  <si>
    <t>№МО/40-0917 от05.09.17</t>
  </si>
  <si>
    <t>46740,80 евро</t>
  </si>
  <si>
    <t>Обследование строит. Констрй здания для устройства шахты лифта</t>
  </si>
  <si>
    <t>№ 01/17-ТО от 21.02.17</t>
  </si>
  <si>
    <t xml:space="preserve">от 16.10.17              </t>
  </si>
  <si>
    <t xml:space="preserve">выполнено                                  </t>
  </si>
  <si>
    <t>Устройство внутренней   металлокаркасной шахты для лифта г/п 300 кг на 4 остановки</t>
  </si>
  <si>
    <t>№ 182-17 от 13.11.17</t>
  </si>
  <si>
    <t>708000 (60%)</t>
  </si>
  <si>
    <t>170000                            +290000     +610169,49</t>
  </si>
  <si>
    <t>от 12.12.17           от 18.12.17       05/02/08</t>
  </si>
  <si>
    <t>363550 + 582350</t>
  </si>
  <si>
    <t xml:space="preserve">22.01.18       12.02.18   </t>
  </si>
  <si>
    <t xml:space="preserve"> Монтаж комплекта дополнительного оборудования и СМР</t>
  </si>
  <si>
    <t>(275500)                    207 800 по ДС</t>
  </si>
  <si>
    <t>30.10.18 -Толченов</t>
  </si>
  <si>
    <t xml:space="preserve">ИП Минасян А.М.                         комплекс СМР </t>
  </si>
  <si>
    <t>от 28.05.18</t>
  </si>
  <si>
    <t xml:space="preserve">поставка, монтаж  4  комплектных эскалатора фирмы “SODIMAS GRUP - SJEC” </t>
  </si>
  <si>
    <t xml:space="preserve">№187-18                          от 22.01.18              </t>
  </si>
  <si>
    <t>138580 долл США и 1300000</t>
  </si>
  <si>
    <t>№41/ИЛ-19 от 24.06.19</t>
  </si>
  <si>
    <t xml:space="preserve">ООО "ТЕХНОАУДИТ"  - техническое освидетельствование </t>
  </si>
  <si>
    <t>от 28.06.18</t>
  </si>
  <si>
    <t>у Хуторецкой</t>
  </si>
  <si>
    <t>117792 дол.</t>
  </si>
  <si>
    <t>1208000                                  +92000</t>
  </si>
  <si>
    <t>от 26.12.19                               26/03/20</t>
  </si>
  <si>
    <t>№10/П-2018 от 31.01.18</t>
  </si>
  <si>
    <t xml:space="preserve">ООО "СОДИМАС ГРУП" </t>
  </si>
  <si>
    <t>131600 дол.</t>
  </si>
  <si>
    <t>Демонтаж одного эскалатора</t>
  </si>
  <si>
    <t xml:space="preserve">№189-18                          от 26.01.18              </t>
  </si>
  <si>
    <t>5 дней</t>
  </si>
  <si>
    <t>от 5.02.18</t>
  </si>
  <si>
    <t>поставка, монтаж пассажирского лифта г/п 630 кг  «SODIMAS GROUP SJEC»</t>
  </si>
  <si>
    <t xml:space="preserve">№190-18                          от 16.03.18              </t>
  </si>
  <si>
    <t>25300 долл США и 385000</t>
  </si>
  <si>
    <t xml:space="preserve">80000                                 + 305000 </t>
  </si>
  <si>
    <t>от 16.04                              от 25.03.20</t>
  </si>
  <si>
    <t>№22/П-2018</t>
  </si>
  <si>
    <t>24000 дол.</t>
  </si>
  <si>
    <t>ИП Минасян А.М.                        Электромонтажные работы по установке лифта</t>
  </si>
  <si>
    <t xml:space="preserve">Работы по ревизии 5 ед.лифтового оборудования монтажу пусконаладке </t>
  </si>
  <si>
    <t xml:space="preserve">№191-18                          от 25.01.18      ДС №1 от 01.10.18        </t>
  </si>
  <si>
    <t xml:space="preserve"> =34000                                             +71200                      +34000                             +298700    </t>
  </si>
  <si>
    <t xml:space="preserve">Толченов </t>
  </si>
  <si>
    <t>Поставка пас. лифта г/п 400 кг  IGV Италия,« DOMUSLIFT» Базовая модель 1С  XL,проектирование, СМР по устройству лифтовой шахты для лифта, монтаж лифта</t>
  </si>
  <si>
    <t>в т.ч. СМР 1805000                   +210000 остекл.</t>
  </si>
  <si>
    <t>№23/П-2018 от 30.03.18</t>
  </si>
  <si>
    <t>28000 евро</t>
  </si>
  <si>
    <t xml:space="preserve"> 40150 евро                          +2 625 000,00</t>
  </si>
  <si>
    <t>357860              +552227                  +302680       +235700</t>
  </si>
  <si>
    <t>18.05.2018                      21.05.18                                         06.06.2018                                                 13.06.18</t>
  </si>
  <si>
    <t xml:space="preserve">       19.06.18</t>
  </si>
  <si>
    <t xml:space="preserve">Монтаж и пуско-наладка 2-х траволаторов </t>
  </si>
  <si>
    <t xml:space="preserve">№193-18                          от 01.03.18              </t>
  </si>
  <si>
    <t>Забрать акт - оплачено</t>
  </si>
  <si>
    <t>620000 не проведено, когда не  известно - от Заказчика</t>
  </si>
  <si>
    <t>26.03.2019 ? Информация поступит от Софии - бух.</t>
  </si>
  <si>
    <t xml:space="preserve">поставка, монтаж и пуско-наладка пассажирского лифта г/п 1000 кг, производства «SODIMAS GROUP SJEC» Китай и малого грузового лифта г/п250 кг производства ОАО «Могилевлифтмаш </t>
  </si>
  <si>
    <t>№ 194-18 от 06.03.18</t>
  </si>
  <si>
    <t>20 раб.нед.</t>
  </si>
  <si>
    <t>сч.на 350000-?</t>
  </si>
  <si>
    <t>№20/П-2018 от 14.03.18</t>
  </si>
  <si>
    <t>24200 дол.</t>
  </si>
  <si>
    <t>Поставка лифтового оборудования 2 лифта КМЗ</t>
  </si>
  <si>
    <t xml:space="preserve">№ П 195-18                          от 26.03.18              </t>
  </si>
  <si>
    <t>накладная №1 от 09.04.18 2819755,99</t>
  </si>
  <si>
    <t>№ 0481М8101 от 09.04.18 1-й экз.</t>
  </si>
  <si>
    <t xml:space="preserve">Замена двух лифтов на два лифта грузоподъемностью 400 кг и 630 кг </t>
  </si>
  <si>
    <t xml:space="preserve">№196-18                          от 26.03.18         </t>
  </si>
  <si>
    <t>1000000   в т.ч. СМР                    195 000 б/ндс</t>
  </si>
  <si>
    <t>182500 + 182500 +635000</t>
  </si>
  <si>
    <t>13.06.2018                  20/08/18</t>
  </si>
  <si>
    <t>от 30.05.2018     от 09.07.18     от31.07.2018              от 20.08.2018</t>
  </si>
  <si>
    <t>350740 + 598350             +465820-316733,87</t>
  </si>
  <si>
    <t>20.04.2018                 23.04.18                   8.05.18</t>
  </si>
  <si>
    <t>Разработка ПД, поставка, монтаж лифта и СМР шахты лифта</t>
  </si>
  <si>
    <t>ООО "Аглопласт"  Изготовление и монтаж м/к</t>
  </si>
  <si>
    <t>240000                          +4727806                  +240000</t>
  </si>
  <si>
    <t>Кузнецов - Волков</t>
  </si>
  <si>
    <t xml:space="preserve">ООО "Тандем"  Изготовление и монтаж м/к  </t>
  </si>
  <si>
    <t>316733,87                +235700</t>
  </si>
  <si>
    <t>20.06.2018  АВАНГАРД                                                                                       27/06/18  ПАО СБЕРБАНК</t>
  </si>
  <si>
    <t>ИП Минасян А.М.                         Электромонтажные работы</t>
  </si>
  <si>
    <t xml:space="preserve">                           165000                +98700                           +107000                    +105500                  +50000</t>
  </si>
  <si>
    <t>от 09.10.18                          10.10.18                               от 22.11.18                             от 06.12.18                          от 19.12 2016</t>
  </si>
  <si>
    <t>38000 евро</t>
  </si>
  <si>
    <t xml:space="preserve">ООО "Тандем"  Монтаж м/к  </t>
  </si>
  <si>
    <t xml:space="preserve">68750     +68750      </t>
  </si>
  <si>
    <t xml:space="preserve">10.07.2018 АВАНГАРД                                           18.07.18    АВАНГАРД                                              </t>
  </si>
  <si>
    <t>исправить ном.дог.</t>
  </si>
  <si>
    <t xml:space="preserve">ИП Минасян А.М.                         Электромонтажные работы </t>
  </si>
  <si>
    <t xml:space="preserve">ООО "ЭТАЛОН"  Монтаж м/к  </t>
  </si>
  <si>
    <t>3000 евро</t>
  </si>
  <si>
    <t>Акты - ?</t>
  </si>
  <si>
    <t>23000 евро</t>
  </si>
  <si>
    <t xml:space="preserve">Разработка ПД, поставка  лифта  пассажирского производства LM-LIFTMATERIAL (Германия) «грузоподъемностью 1600кг ,  устройство шахты под этот лифт, монтаж и пуско-наладка </t>
  </si>
  <si>
    <t>(6 т металла)</t>
  </si>
  <si>
    <t>7474700     СМР 2590000</t>
  </si>
  <si>
    <t>ООО "ЭТАЛОН"  Изготовление и монтаж м/к</t>
  </si>
  <si>
    <t>от 03.07.18</t>
  </si>
  <si>
    <t>543350   +340750  +498950      +483710</t>
  </si>
  <si>
    <t>от 05.07.18 АВАНГАРД              от 03.08.18 ПАО РОСБАНК                                 от 14.08.18ФИЛИАЛ 3652                                                  от 15.08.18 ФИЛИАЛ 3652</t>
  </si>
  <si>
    <t>№22/18-ТО от 06.06.18  скан</t>
  </si>
  <si>
    <t>нет актов</t>
  </si>
  <si>
    <t>87500-проект</t>
  </si>
  <si>
    <t>Кузнецов -Волков</t>
  </si>
  <si>
    <t>№029-05-1818     от 18.05.2018 г.         ДС №1 от 01.08.19</t>
  </si>
  <si>
    <t>53491евро + 490000</t>
  </si>
  <si>
    <t>накладные на обор-е -?</t>
  </si>
  <si>
    <t xml:space="preserve">ООО "Строит.компания ГАРАНТ"                          г.Москва Саратовский проезд. д.5   корп.2        </t>
  </si>
  <si>
    <t>Монтаж двух платформ для перемещения инвалидов</t>
  </si>
  <si>
    <t xml:space="preserve">№198-18                          от 21.06.18          </t>
  </si>
  <si>
    <t>657968  (02/07)+164492 (20/08/18)</t>
  </si>
  <si>
    <t xml:space="preserve">№ ПТО-27-09/2018 от 27.09.18  </t>
  </si>
  <si>
    <t>18000 от 28.09.18</t>
  </si>
  <si>
    <t>657968      164492</t>
  </si>
  <si>
    <t>от 20/08/18</t>
  </si>
  <si>
    <t>ООО АВРОРА ПЛЮС поставка дыух платформ</t>
  </si>
  <si>
    <t xml:space="preserve">тов.накл. УТ-91 От 05.09.18 </t>
  </si>
  <si>
    <t xml:space="preserve">НИУ ВШЭ                                    г. Москва, Славянская пл.  дом 4 стр.2      </t>
  </si>
  <si>
    <t xml:space="preserve">Ремонт лифта грузоподъемностью 500 кг, рег.№ 43535  </t>
  </si>
  <si>
    <t xml:space="preserve">№198-18                          от 21.08.18          </t>
  </si>
  <si>
    <t>ПД трех  лифтовых шахт  и  замена трех пассажирских лифтов на два пассажирских лифта г/п 630 кг, один пассажирский  лифтг/п 1000 кг</t>
  </si>
  <si>
    <t>№ 47/1.53-07-18                         от 16.07.2018</t>
  </si>
  <si>
    <t>3383192,22             от 23.07.18</t>
  </si>
  <si>
    <t>350000 +200000    +50000       +50000           500000</t>
  </si>
  <si>
    <t xml:space="preserve">от 04.10.18     06/11/18        14.11.18       14.12.18                 18.12.18  сбербанк </t>
  </si>
  <si>
    <t>23.07.2018      3383192,22</t>
  </si>
  <si>
    <t>ООО "ВЕЛКОМ"   монтаж металлоконструкций зак.д лифт 1000 кг</t>
  </si>
  <si>
    <t>от 06.08</t>
  </si>
  <si>
    <t>21.09                                    1 539 480,56</t>
  </si>
  <si>
    <t>ООО "АЛГАРАНТ" л.1, 2, маш.пом. монтаж металлоконструкций - общестроит.работы                 ( демонтаж м.конструкций лифта)</t>
  </si>
  <si>
    <t>370500   +347400</t>
  </si>
  <si>
    <t>от 16.08.18   от 07.11.18</t>
  </si>
  <si>
    <t>2633,54 </t>
  </si>
  <si>
    <t>от 13.09.18</t>
  </si>
  <si>
    <t>11034,53 </t>
  </si>
  <si>
    <t>"Регардус" монтаж металлоконструкций</t>
  </si>
  <si>
    <t>№ 0481М8101 от 09.04.18</t>
  </si>
  <si>
    <t>КМЗ поставка лифтов на Саратовский, 3 л. На Басманную</t>
  </si>
  <si>
    <t>6013,58 </t>
  </si>
  <si>
    <t>Разработка ПД на шахту</t>
  </si>
  <si>
    <t>№021-05-08    201                           от 21.05.18</t>
  </si>
  <si>
    <t xml:space="preserve">от 14.09.18    </t>
  </si>
  <si>
    <t>4313,39 </t>
  </si>
  <si>
    <t>СМР по изготовлению и установке 2-х м/к шахт</t>
  </si>
  <si>
    <t>8 нед.</t>
  </si>
  <si>
    <t xml:space="preserve">787000+435000 </t>
  </si>
  <si>
    <t>420000     367000   + 435000</t>
  </si>
  <si>
    <t>17.08   27.08     металлопрокат                27.08 спайдеры</t>
  </si>
  <si>
    <t>"Регардус"   общестроительные работы по изготовлению и установке металлокаркасной шахты лифта корп.23Б</t>
  </si>
  <si>
    <t xml:space="preserve">      452780     198760   </t>
  </si>
  <si>
    <t>от 20.09.18     от 04.10.18</t>
  </si>
  <si>
    <t>"Интериус"   монтаж металлоконструкций по сч. №20 от 08.10.18 - общестроит. Работы</t>
  </si>
  <si>
    <t>378760         +343500    +348300</t>
  </si>
  <si>
    <t>от 08.10.18     06.11.18                  от 07.11.18</t>
  </si>
  <si>
    <t>9195,44 </t>
  </si>
  <si>
    <t>ООО "АЛГАРАНТ"монтаж металлоконструкций</t>
  </si>
  <si>
    <t>от 06.11.18</t>
  </si>
  <si>
    <t>ИП Минасян А.М.                         комплекс СМР  (остекление шахты лифта 23А)</t>
  </si>
  <si>
    <t>56000                   +150000                      +70000                       +80000                     +285300                             +21700                        +110000                     +110000                          +75000                +133500                     +129750            +325500               +145000                    +180500                            +287000                        +204550                          +392500</t>
  </si>
  <si>
    <t>от 18.10.18  а                                                  от25.10.18   а                                         от26.10.18   а            от26.10.18   а                             от06.11.18                                                                  от20.11.18                                                            от 22.11.18                                         от 06.12.18                                                                                 от 19.12.18                                                               от 29.01.19                                                   от 06.02.19                                       27.02.19                                                                     05.03.19                                           05.03.19                                                       03/04/19                                                       21.06.19                                                 27.06.19</t>
  </si>
  <si>
    <t>7216,30 </t>
  </si>
  <si>
    <t xml:space="preserve">№ C202-18 от 22.08.18    </t>
  </si>
  <si>
    <t>583400 +353750</t>
  </si>
  <si>
    <t>от 24.09.18   от 25.09.18     от 06.12.18</t>
  </si>
  <si>
    <t xml:space="preserve">     нет</t>
  </si>
  <si>
    <t>Монтаж эскалатра</t>
  </si>
  <si>
    <t>от 19.10.18</t>
  </si>
  <si>
    <t>4057,15 </t>
  </si>
  <si>
    <t>ООО «ЕВРОХОЛОД»                                   г.Москва, Таежная улица, д.8, к.3, кв.1   нет договора</t>
  </si>
  <si>
    <t xml:space="preserve"> монтаж и пуско-наладк пассажирского лифта грузоподъемностью 250 кг </t>
  </si>
  <si>
    <t>№204/18 от 24.10.2018 г.</t>
  </si>
  <si>
    <t>294000                                 +196000</t>
  </si>
  <si>
    <t>от 30.12.19 (тор-10.01.20)           от30.10.20</t>
  </si>
  <si>
    <t>отвезли Виталий 09.09.20</t>
  </si>
  <si>
    <t>Хуторецкая эл.монтажные работы</t>
  </si>
  <si>
    <t>111100                         +66700                                +32200</t>
  </si>
  <si>
    <t>от 07.12.20                                   от 10.12.20                                 от 11.12.2020</t>
  </si>
  <si>
    <t>перенесен от Дог. С25-20 от 02.11.20</t>
  </si>
  <si>
    <t>ООО «ОРГМЕТСТРОЙ» г. Москва, Столярный пер., д. 3, корп. 14 (У Н.Н.)</t>
  </si>
  <si>
    <t>разработка проектной документации</t>
  </si>
  <si>
    <t>ООО «ОРГМЕТСТРОЙ» г. Москва, Столярный пер., д. 3, корп. 14</t>
  </si>
  <si>
    <t xml:space="preserve">демонтаж одного лифта </t>
  </si>
  <si>
    <t>Клейменов</t>
  </si>
  <si>
    <t>ИП Минасян А.М.                       демонтаж лифта и т.д.</t>
  </si>
  <si>
    <t xml:space="preserve">        от 26.04.19</t>
  </si>
  <si>
    <t xml:space="preserve">ООО «ОРГМЕТСТРОЙ» г. Москва, Столярный пер., д. 3, корп. 14, </t>
  </si>
  <si>
    <t>установка двух лифтов ,                    СМР по шахтам лифта</t>
  </si>
  <si>
    <t>Волков Кузнецов</t>
  </si>
  <si>
    <t>обор-е 72 000,00 долл. США                    монт. -1635000     + по ДС№2-                 СМР 2030111</t>
  </si>
  <si>
    <t>№208/18 от 21.12.18</t>
  </si>
  <si>
    <t>ИП Семенова Надежда Владимировна                          СМР в шахтах лифтовых</t>
  </si>
  <si>
    <t>285000 аванс</t>
  </si>
  <si>
    <t>от 05.02.19</t>
  </si>
  <si>
    <t>от 30.01.19                                 от 06.02 19                                 от 05.03.9</t>
  </si>
  <si>
    <t xml:space="preserve">№28/-19 от 08/04/2019   </t>
  </si>
  <si>
    <t>акты у Т,А.</t>
  </si>
  <si>
    <t xml:space="preserve">25.06.2019 -Кузнецов </t>
  </si>
  <si>
    <t xml:space="preserve">ИП Хуторецкая - СМР - </t>
  </si>
  <si>
    <t>1831260 закрыт</t>
  </si>
  <si>
    <t>300000                 +322200             +160500           +10800                       +355000        +162000                               +150000                   +13760                            +164000                              +193000</t>
  </si>
  <si>
    <t>18.12.2018                            26.12.18                                                        09.01.19                                           14.01.19                                                         30.01.19                              06.02.19                                07.02.19                              08.02.19                                        18.02.19                           20.02.19</t>
  </si>
  <si>
    <t xml:space="preserve">НИУ ВШЭ                                              Славянская площадь, д.4 стр.2.                 </t>
  </si>
  <si>
    <t>обследование состояния лифтов и проектные работы на замену 2-х лифтов</t>
  </si>
  <si>
    <t>103/1.53-11-18</t>
  </si>
  <si>
    <t xml:space="preserve">ООО "КФС-групп"                                      г. Москва, Хохловский пер.             д. 10 стр. 1 </t>
  </si>
  <si>
    <t xml:space="preserve">Разработка ПД, поставка  2-х лифтов пассажирскоих  «г/п 1000кг и 480 ,  устройство 2-х шахт, монтаж и пуско-наладка </t>
  </si>
  <si>
    <t>№206/18 от 18.12.18                    Доп.согл №1 от 26.09.19             Доп.согл №2 от 01.11.19</t>
  </si>
  <si>
    <t>9551925,9(СМР 3960000 (4248000)</t>
  </si>
  <si>
    <t>по акту от 15.05.18</t>
  </si>
  <si>
    <t>№70П-2018 от 20.12.18</t>
  </si>
  <si>
    <t>ООО "СОДИМАС" поставка 2-х литов г/п 1000 и 480 - 3 ост.</t>
  </si>
  <si>
    <t>56500 долл.США</t>
  </si>
  <si>
    <t>лифты получены 16.05.19</t>
  </si>
  <si>
    <t>накладные у Т.А.</t>
  </si>
  <si>
    <t>№С206/2/19 от 15.01.2019</t>
  </si>
  <si>
    <t>ИП ФилатовИ.Е.                             Монтаж м/к</t>
  </si>
  <si>
    <t>лифты получены</t>
  </si>
  <si>
    <t>ИП Хуторецкая - СМР - шахта л. Г.п. 1000 + 480 кг</t>
  </si>
  <si>
    <t>164000         +163200                   +35000                          +163200                                                            +102000                      +123000         +315370    +381400         +40000         +348800                +38150                   +39000                             +245000                    +203600             +680160</t>
  </si>
  <si>
    <t>от 01.03.19                                   от 04.03.19                      от 05.03.19                        от 06.03.19                                                                                                                               от25.04.19                            06.05.19                          13.05.19                                от23.05.19                   от 27.05.19                             от 30.05                                                от 05.06                                                   от 11.06                                                  от20.06                                                  от 27.06                                               от 28.06</t>
  </si>
  <si>
    <t>Акты КС - сканы</t>
  </si>
  <si>
    <t>200000            +200000                     +217000     +192000       +162750             +250000        +150500         +175000     +210500           +223500                +370500       +220000                +149750</t>
  </si>
  <si>
    <t>от19.12.18 ав                           от25.12.18 ав                      от10.01.19                                   от 29.01.19                                                            от31.01.19                                    от06.02.19 ав.                       от  27.05.19                                  от  27.05.19           от 30.05.19                                   от 30.05.19                              от 21.06.19                   27.06.19                     02.07.19</t>
  </si>
  <si>
    <t>Ремонт лифтового оборудования инв.№ 7579, установленного в корп. 7 (строение1) и инв.№7575 установленного в корп. 8АБК (строение2) по адресу:  г. Москва, ул. Образцова, д. 38</t>
  </si>
  <si>
    <t>218к/2018 от 04.09.2018</t>
  </si>
  <si>
    <t xml:space="preserve">выполнено </t>
  </si>
  <si>
    <t>ИП Минасян А.М.                       демонтаж лифта</t>
  </si>
  <si>
    <t>98000   +125000</t>
  </si>
  <si>
    <t xml:space="preserve"> от 18.10.18           от 24.12.18</t>
  </si>
  <si>
    <t>комплекс работ  по замене  трех пассажирских лифтов (ПД, CМР шахт, поставка, монтаж)</t>
  </si>
  <si>
    <t>34 недели</t>
  </si>
  <si>
    <t>79760 долл.                    280000</t>
  </si>
  <si>
    <t>№10/П-2019 от 12.02.19</t>
  </si>
  <si>
    <t>ООО "СОДИМАС" поставка 2-х литов г/п 630 и 450 - 5 и 7 ост.</t>
  </si>
  <si>
    <t>85000 долл.США</t>
  </si>
  <si>
    <t>ИП Минасян А.М.                                               Альфа-банк            пром        СМР</t>
  </si>
  <si>
    <t>147000                   +125000                   +150000                                   +230000                            +256000</t>
  </si>
  <si>
    <t>перенесен на дог.- 217С19</t>
  </si>
  <si>
    <t>ИП Хуторецкая - демонтажные и СМР работы</t>
  </si>
  <si>
    <t>164000                     + 230000                                       + 91000                                      +217000                                        +80000                              +162750                                      +88000                       +190000                              +225000                         +109000                         +217600                             +164000                              +298400</t>
  </si>
  <si>
    <t xml:space="preserve">         11.03.2019                                   13.03.19                                        03.04.19                                         03.04.19                                            04.04.19                                                  08/04/19                                               16.04.19                                               16.04.19                                                       25.04.19                                                                     13.05.19                                                                23.05.19                                                          от 29.05                                                                  от 27.06                                            </t>
  </si>
  <si>
    <t xml:space="preserve">№211/19 от 28.02.19  </t>
  </si>
  <si>
    <t>ООО «СП Групп»,                 выборочное инженерно-техническое обследованиюе несущих строительных
конструкций здания многофункционального комплекса</t>
  </si>
  <si>
    <t>нет акта 100000- печати черные (копия)</t>
  </si>
  <si>
    <t>Забрать акты у Акоба Михайловича</t>
  </si>
  <si>
    <t xml:space="preserve">№ 211С1/19   от 10.07.19                             </t>
  </si>
  <si>
    <t>ИП В.В.Волков  СМР установка (монтаж) эскалаторов</t>
  </si>
  <si>
    <t>40000                  +80000</t>
  </si>
  <si>
    <t xml:space="preserve">29.09.20 Кириченко забрал все акты для подписания </t>
  </si>
  <si>
    <t>164840                          +145000                    +380350</t>
  </si>
  <si>
    <t>от 24.07.19                                от 31.07.19                                  от 13.08.19</t>
  </si>
  <si>
    <t>от 23.08.19</t>
  </si>
  <si>
    <t>358160-50%</t>
  </si>
  <si>
    <t>358160 сч. №14 от 09.12.19</t>
  </si>
  <si>
    <t>64 ИЛ-19 от  12.12.19</t>
  </si>
  <si>
    <t>ТЕХНОАУДИТ Техническое освидетельствование</t>
  </si>
  <si>
    <t>300000-по акту частично</t>
  </si>
  <si>
    <t>от 31.07.19</t>
  </si>
  <si>
    <t>ООО «Артель Камень»),        Устройство проема</t>
  </si>
  <si>
    <t>от 12.07.19</t>
  </si>
  <si>
    <t>вып.</t>
  </si>
  <si>
    <t>НИУ ВШЭ                                  Б.Переяславская</t>
  </si>
  <si>
    <t xml:space="preserve">Обследование состояния лифтовых шахт, ПД на замену двух лифтов </t>
  </si>
  <si>
    <t>№09/1.53-02-19 от 27.02.19</t>
  </si>
  <si>
    <t>14914,94+101321,53=116236,47</t>
  </si>
  <si>
    <t>коттеджный лифт г/п 400 кг Италия</t>
  </si>
  <si>
    <t>№212/19 от 04.03.19                    ДС №1 от 08.08.19      ДС №2 от 25.09.19                  ДС №3 от 05.11.19</t>
  </si>
  <si>
    <t>350000                         +85000                                 +55000                              Накладные на 46500+3211982,91</t>
  </si>
  <si>
    <t>Хуторецкая СМР- оба банка (СБ и ПР,)</t>
  </si>
  <si>
    <t>перенос от 213д</t>
  </si>
  <si>
    <t>240000                 +235560</t>
  </si>
  <si>
    <t>21.01.2020                                                              28/01/20</t>
  </si>
  <si>
    <t>43920 евро +490000 -монтаж</t>
  </si>
  <si>
    <t>от 22.09.2020                    ТН  от 31.07.2019 и 15.01.20 Волков</t>
  </si>
  <si>
    <t>№16/П-2019 от 11.03.19</t>
  </si>
  <si>
    <t>ООО "СОДИМАС" поставка  лита г/п 400 кг Италия</t>
  </si>
  <si>
    <t>32000 евро</t>
  </si>
  <si>
    <t>ООО "ИДГ-реставрационные технологии"   улица Маросейка, д. 11/4</t>
  </si>
  <si>
    <t>комплекс работ  по установке  четырех пассажирских лифтов фирмы "MORIS" (ПД, поставка, CМР м/к шахт,  монтаж лифтов)</t>
  </si>
  <si>
    <t>201092 евро             11694000 руб. по ДС - об. 198480 евро       11510000 руб.</t>
  </si>
  <si>
    <t>2-й аванс на обор. 8327652,65 сч.306  -оплата 02.12.19</t>
  </si>
  <si>
    <t>№22/П-2019 от 15.04.19                 №44/П-2019 от 02.07.19</t>
  </si>
  <si>
    <t xml:space="preserve">ООО "СОДИМАС" поставка  2-х лифтов г/п 375 кг и 360 кг Италия и 2-х лифтов СОДИМС г/п </t>
  </si>
  <si>
    <t>95500 евро                  97400евро</t>
  </si>
  <si>
    <t xml:space="preserve">№009-08/20 от 18.08.2020        </t>
  </si>
  <si>
    <t>ООО"Гидропро"                           гидроизоляция кровли</t>
  </si>
  <si>
    <t>от 28.08.2020               с НДС</t>
  </si>
  <si>
    <t>№5/20-1</t>
  </si>
  <si>
    <t>ООО "ВОСТОК-ЗАПАД"   - поставка товаро</t>
  </si>
  <si>
    <t>Саядан А.А.</t>
  </si>
  <si>
    <t>386000                                           +450000                     +224000                     +281000                                   +67400</t>
  </si>
  <si>
    <t>13.11.2019                                                                            от 30.12.2019                                      от 30.12.2019                                от 23.01.20                                   от26.06.20</t>
  </si>
  <si>
    <t>834235-остаток на стекло</t>
  </si>
  <si>
    <t>Хуторецкая                                 изготовление и монтаж металлоконструкций лифтовой шахты</t>
  </si>
  <si>
    <t xml:space="preserve">          Сбербанк перенести на С214.3.19</t>
  </si>
  <si>
    <t>Миносян</t>
  </si>
  <si>
    <t>178000                                    +342000                                     +100250                                                                            +163000                       +100000                      +350000                                                    +80000                      +90000                       +654000                      +320000                                +400000                    +648000</t>
  </si>
  <si>
    <t>Установка лифта «SODIMAS GROUP АКЕ»  г/п 630 кг</t>
  </si>
  <si>
    <t xml:space="preserve">№214/19                          от 25.04.19      ДС.№1       </t>
  </si>
  <si>
    <t>30 раб. дней</t>
  </si>
  <si>
    <t>СМР в шахтах и Установка 2-х лифтов LM</t>
  </si>
  <si>
    <t>Миносян   СМР по шахте</t>
  </si>
  <si>
    <t>347200                                                                        +170000                           +180000</t>
  </si>
  <si>
    <t xml:space="preserve">05.09.2019                                                                                      07.11.19                                от 16.12.2019 </t>
  </si>
  <si>
    <t>Монтаж лифтов</t>
  </si>
  <si>
    <t>570000 + 30000</t>
  </si>
  <si>
    <t>02.12.2019              06.12.2019</t>
  </si>
  <si>
    <t>ИП Хуторецкая       Эл.монтаж лифта и т.д.</t>
  </si>
  <si>
    <t xml:space="preserve">        от 21.01.20</t>
  </si>
  <si>
    <t xml:space="preserve"> ООО "Билд Сити"                          Москва, Столярный переулок, дом 3, корп. 14  (Дог. У Лебедева)</t>
  </si>
  <si>
    <t>ПД на установку двух лифтов г/п1000 кг "SODIMAS"</t>
  </si>
  <si>
    <t xml:space="preserve">№215 П/19                           от 12.08.19             </t>
  </si>
  <si>
    <t>от 10.12.19</t>
  </si>
  <si>
    <t xml:space="preserve">проектирование установки лифта, строительство лифтовой шахты для лифта на 4-е остановки </t>
  </si>
  <si>
    <t>3381000 (3191000-СМР)</t>
  </si>
  <si>
    <t>2704800        +676200</t>
  </si>
  <si>
    <t xml:space="preserve">  от 30.06.19</t>
  </si>
  <si>
    <t xml:space="preserve">Хуторецкая                               СМР                       </t>
  </si>
  <si>
    <t>250000                                    +189000                    +66540                            +100000                              +65930                             +135000                                     +250000                                   +333350</t>
  </si>
  <si>
    <t>363250        +520800</t>
  </si>
  <si>
    <t>15.07.2019                        от  05.09.19</t>
  </si>
  <si>
    <t>от 20.01.2020</t>
  </si>
  <si>
    <t>от 10.04.20</t>
  </si>
  <si>
    <t xml:space="preserve">разработка ПД на установку  пассажирского лифта  «MORIS» производство Италия, изготовление и монтаж металлокаркасной лифтовой шахты для пассажирского лифта </t>
  </si>
  <si>
    <t>3615000 (СМР 3440000+69900)</t>
  </si>
  <si>
    <t>1032000 - по сч. №372</t>
  </si>
  <si>
    <t>выполнено                         отв.Кузнецов</t>
  </si>
  <si>
    <t xml:space="preserve">Миносян </t>
  </si>
  <si>
    <t>342000                                   +309000                           +171000                                         +30000                                       +610000</t>
  </si>
  <si>
    <t>ИП Дасаев Р.Х.           Поставка стекла</t>
  </si>
  <si>
    <t>от 02.03.20</t>
  </si>
  <si>
    <t>21.06 -1160015</t>
  </si>
  <si>
    <t>398840                                +67000                 +396000               +100000                           +133000              +90000                  +336000                +98000                          +65000                       +167000                            +107500                                 +192700</t>
  </si>
  <si>
    <t>от 18.09.19                                                                 09.10.19                                          от 14.10.19                                 от 16.10.19                                от 18.11.19                                          от 19.11.19                                    от 16.12.19                               от 17.12.19                               от 30.12.19                                                  30.12.19                                                       31.12.19                                             07.10.2020</t>
  </si>
  <si>
    <t>капитальный ремонт лифтовых шахт и замена двух пассажирских лифтов г/п 400 кг и г/п 630 кг здания НИУ ВШЭ</t>
  </si>
  <si>
    <t>438000                         +393000</t>
  </si>
  <si>
    <t>11.12.2019                                      04.02.2020</t>
  </si>
  <si>
    <t>133/1.53-07-19 от 02.08.2019               ДС №1 от 16.08.2019</t>
  </si>
  <si>
    <t>120 кал.дн</t>
  </si>
  <si>
    <t>от 07/11/19     от 25/11.19                                      от 25/11.19           от 30/11/19                        от 30/11/19</t>
  </si>
  <si>
    <t>411000                           +65000                                 +368000            (+140000)перенос</t>
  </si>
  <si>
    <t>ФГБОУ ВО «РГУ им. А.Н.Косыгина»</t>
  </si>
  <si>
    <t xml:space="preserve">разработка проектной документации (ПД) на замену 12 пассажирских лифтов </t>
  </si>
  <si>
    <t>акт от 11.03.2020.</t>
  </si>
  <si>
    <t>30 кал.дн</t>
  </si>
  <si>
    <t>акт от 22.11.2019</t>
  </si>
  <si>
    <t>разработка проектной документации (ПД) на замену 12 пассажирских лифтов - cети связи</t>
  </si>
  <si>
    <t>Дог. № 28-10 19 от 28.09.19    ИП ВИНОКУРОВА ЕВГЕНИЯ ОЛЕГОВНА</t>
  </si>
  <si>
    <t>от 18.11.19</t>
  </si>
  <si>
    <t xml:space="preserve">ФГБОУ ВО «РГУ им. А.Н.Косыгина»                     </t>
  </si>
  <si>
    <t>№ 281-ЕП-44-20 от 12.05.2020</t>
  </si>
  <si>
    <t>15 кал.дн</t>
  </si>
  <si>
    <t>от 22.05.20</t>
  </si>
  <si>
    <t xml:space="preserve">№6/П-2020 от 17.02.2020                </t>
  </si>
  <si>
    <t>ООО "СОДИМАС" поставка 6-ти лифтов СОДИМС  М.Калужская д.1 стр.2</t>
  </si>
  <si>
    <t>6900000+2949600</t>
  </si>
  <si>
    <t>ремонтные работы с плановой заменой лифтового оборудования в учебных  корпусах и общежитиях  заказчика</t>
  </si>
  <si>
    <t>48289491,01 (в т.ч. СМР 8000000)</t>
  </si>
  <si>
    <t>9373599,06                 +15143726,24                               +2479372,43                                  +14414057,67                               +6878735,62</t>
  </si>
  <si>
    <t>СубП-9373599 -СМР</t>
  </si>
  <si>
    <t>эл.м -800000</t>
  </si>
  <si>
    <t>№С230/20 от 01/07/2020       - перенести на ТО</t>
  </si>
  <si>
    <t>100000                         +100000</t>
  </si>
  <si>
    <t>100000                                      +100000</t>
  </si>
  <si>
    <t>от 18.08.20                                 от 10.12.20</t>
  </si>
  <si>
    <t>Саядян (Пром и Альфа)</t>
  </si>
  <si>
    <t xml:space="preserve">разработка  ПД на капитальный ремонт (замену) двух пассажирских лифтов  в здании общежития № 4 МТУСИ, расположенного по адресу: г. Москва ул. Маршала Тухачевского, д. 18, </t>
  </si>
  <si>
    <t xml:space="preserve">№  31908028925 от 19.07.2019г. </t>
  </si>
  <si>
    <t>10 кал.дн</t>
  </si>
  <si>
    <t>ПРИВАТ-ИВ           г.Москва, Цимлянская ул.,  д.2А</t>
  </si>
  <si>
    <t>1) разработка ПД на модернизацию пассажирского лифта  г/п 1000 кг пр-ва "Могилевлифтмаш" монтаж и пусконаладка</t>
  </si>
  <si>
    <t>№224/19                          от 16.10.19                                       ДС №1 от 17.02.20   ДС №2 от 18.02.20</t>
  </si>
  <si>
    <t>Хуторецкая - сбербанк на ВТБ     демонтаж лифта электромонтажные работы лифтового оборудования</t>
  </si>
  <si>
    <t>260000 следовало взять</t>
  </si>
  <si>
    <t>от 10.01.20</t>
  </si>
  <si>
    <t>2)  монтаж, пуско-наладке  техн. Освидет. подъемника ПГКС(М)-2-200</t>
  </si>
  <si>
    <t>1339000- 28.10.19</t>
  </si>
  <si>
    <t>от 18.02.20 Исправить год в КС-2</t>
  </si>
  <si>
    <t xml:space="preserve">1/2019 от 18.11.19   ДС №1 </t>
  </si>
  <si>
    <t>ООО"Аскенсор"                             монтаж, пуско-наладке  техн. Освидет. подъемника ПГКС(М)-2-200</t>
  </si>
  <si>
    <t>от 13.01.2020</t>
  </si>
  <si>
    <t xml:space="preserve">№225-19                          от 17.10.19             </t>
  </si>
  <si>
    <t>280000                      +10000</t>
  </si>
  <si>
    <t>от 24.01.2020                 18.08.20</t>
  </si>
  <si>
    <t>НИУ ВШЭ                                  Шаболовка д.26 стр.4</t>
  </si>
  <si>
    <t xml:space="preserve">Разработка проектной документации на Устройство подъемной платформы для маломобильных групп населения в рамках капитального ремонта здания НИУ ВШЭ, </t>
  </si>
  <si>
    <t xml:space="preserve">28/1.53-09-19 от 04.09.19  </t>
  </si>
  <si>
    <t>от 18/09/19</t>
  </si>
  <si>
    <t>Пиунов</t>
  </si>
  <si>
    <t xml:space="preserve">Устройство подъемной платформы для маломобильных групп населения в рамках капитального ремонта здания НИУ ВШЭ, </t>
  </si>
  <si>
    <t>23/1.53-11-19 от 07.11.19          ДС №1 от 25.02.2020</t>
  </si>
  <si>
    <t>1953899,09 (СМР-140000 )</t>
  </si>
  <si>
    <t>Хуторецкая -ВТБ</t>
  </si>
  <si>
    <t>от 13.01.20</t>
  </si>
  <si>
    <t>№17380-1311/19  от 13.11/19</t>
  </si>
  <si>
    <t>Центр технических средств  профилактики и реабилитации  инвалидов             монтаж пусконаладка подъемника</t>
  </si>
  <si>
    <t>1018800 -ТН            у Хуторецкой</t>
  </si>
  <si>
    <t>от 06.02.2020</t>
  </si>
  <si>
    <t>№17380-2701/20  от 27.01/20</t>
  </si>
  <si>
    <t>Акт у Хуторецкой</t>
  </si>
  <si>
    <t>НИУ ВШЭ                                  Славянская площадь д.4 стр.2</t>
  </si>
  <si>
    <t>капитальный ремонт лифтовой шахты и замена пассажирского лифта  г/п 630 кг здании НИУ ВШЭ</t>
  </si>
  <si>
    <t xml:space="preserve">320000                                           +355000                          +98000                                                          </t>
  </si>
  <si>
    <t xml:space="preserve">28.01.20аванс                                 от 04.02.20  пр                          от 18.02.20 сб                                                                  </t>
  </si>
  <si>
    <t>№230/20 от 19.02.2020</t>
  </si>
  <si>
    <t>ПД-132000</t>
  </si>
  <si>
    <t>Пиунов  (из 132000)</t>
  </si>
  <si>
    <t>ОАО «Теплопроект», Московская обл., городское поселение Апрелевка, ул. Парковая,д.1  ДОГОВОР-?</t>
  </si>
  <si>
    <t xml:space="preserve">Проектирование, реконструкция лифтовой шахты, замена пассажирского лифта  г/п 630 кг производства “SODIMAS”(Франция) </t>
  </si>
  <si>
    <t>248000                +224800                       +232200                       +202200                      +93300                                        +311500         +67400</t>
  </si>
  <si>
    <t>04.03.2020                     от 09.04.20                             от 13.04.20                          от14.04.20                          12.05.20                                         20.05.20                                               от 05.06.20</t>
  </si>
  <si>
    <t>47 900   евро                     +1 472 500,00</t>
  </si>
  <si>
    <t>куратор Волков</t>
  </si>
  <si>
    <t xml:space="preserve">№10/П-2020 от 14.02.20                </t>
  </si>
  <si>
    <t xml:space="preserve">ООО "СОДИМАС" поставка лифта г/п 375 кг и 360 кг Италия и 2-х лифтов СОДИМС г/п </t>
  </si>
  <si>
    <t xml:space="preserve">39000 евро                </t>
  </si>
  <si>
    <t>монтаж и пуско-наладка лифта пассажирского без машинного помещения типа "VM", производства "SODIMAS" (Франция), г/п 1250 кг</t>
  </si>
  <si>
    <t>№ 230/20        от   02 марта  2020</t>
  </si>
  <si>
    <t>№С78-20 от 10.08.20                     перенесен на Дог. С230.1-20</t>
  </si>
  <si>
    <t>Разработка ПД на установку лифта</t>
  </si>
  <si>
    <t>№231/20 от 19.10.2020 (Договор вместе с актом)</t>
  </si>
  <si>
    <t>от 19.10.2020   Волков</t>
  </si>
  <si>
    <t>Поставка лифта г/п 375 кг "moris"  (Италия), монтаж шахты,  лифта, пусконаладка</t>
  </si>
  <si>
    <t>430000 - монтаж-п/н                          49820 евро</t>
  </si>
  <si>
    <t xml:space="preserve">№24/П-2020 от 10.07.20                </t>
  </si>
  <si>
    <t xml:space="preserve">ООО "СОДИМАС" поставка лифта г/п 375 кг  Италия </t>
  </si>
  <si>
    <t xml:space="preserve">39800 евро                </t>
  </si>
  <si>
    <t>100000 +16200</t>
  </si>
  <si>
    <t>100000                      +16200</t>
  </si>
  <si>
    <t>24.08.2020                                01/09/20</t>
  </si>
  <si>
    <t>от 07.10.20</t>
  </si>
  <si>
    <t xml:space="preserve">капитальный ремонт Общежитие (замена лифта)   </t>
  </si>
  <si>
    <t>от 25.12.20</t>
  </si>
  <si>
    <t>222200                         +111100</t>
  </si>
  <si>
    <t>14.10.2020                            15/10/20</t>
  </si>
  <si>
    <t>Поставка стекла от ИДГ</t>
  </si>
  <si>
    <t>до 1500000</t>
  </si>
  <si>
    <t>90 дн.                   по 31.12.20</t>
  </si>
  <si>
    <t>суб. 1306698</t>
  </si>
  <si>
    <t>после подписания акта основного</t>
  </si>
  <si>
    <t>от 02.09.20</t>
  </si>
  <si>
    <t xml:space="preserve">Проектирование, устройство металлокаркасной лифтовой шахты, монтаж и пусконаладка пассажирского лифта гидравлического г/п 450 кг </t>
  </si>
  <si>
    <t>Разработа ПД</t>
  </si>
  <si>
    <t>max 175000</t>
  </si>
  <si>
    <t>30000                                +60000                             +30000</t>
  </si>
  <si>
    <t xml:space="preserve">от 18.11.2020                        от 11.01.21                                от 05.03.21                                  </t>
  </si>
  <si>
    <t xml:space="preserve">№44/П-2020 от 19.11.20                                   ДС №1 от 05.02.21     </t>
  </si>
  <si>
    <t xml:space="preserve">50770 евро                </t>
  </si>
  <si>
    <t>СМР шахты лифта</t>
  </si>
  <si>
    <t>111000                       +55500                          +33300                              +9000                                           +150000                             +20800                                +165000 аванс</t>
  </si>
  <si>
    <t>111000                       +55500                          +33300                              +9000                                           +150000                             +20800                                +165000                              +333300                                     +148700                                       +111100                                     +244500                     +32200                             +37630                          + 133300                                        +222200</t>
  </si>
  <si>
    <t xml:space="preserve">от 18.11.2020                        от 19.11.20                                       от 24.11.20                                   от 25.11 2020                                            от 25.11 2020                               от 26.11.2020                         от 26.11.2020                             от  02.12.20                                   от 04.12.20                                                   от 14.12.20                                       от17.12.20                        от23.12.2020                                     от 24.12.20                             25.12 20 29.12.20                                      </t>
  </si>
  <si>
    <t>ООО "Тплопроект"                    банк ЦЕНТРАЛЬНЫЙ _ ВТБ</t>
  </si>
  <si>
    <t>Дог.№236/2021   от 22.01.2021</t>
  </si>
  <si>
    <t>100000  от 21.01.21</t>
  </si>
  <si>
    <t>Габриелян Владимир Александрович</t>
  </si>
  <si>
    <t>Дог.№237/21   от 17.03.2021</t>
  </si>
  <si>
    <t>Электромонтажные работы</t>
  </si>
  <si>
    <t>№ С133/1-19 от 07.10.19   сбербанк с  ВТБ с Москомм</t>
  </si>
  <si>
    <t>Московский ПОЛИТЕХ</t>
  </si>
  <si>
    <t>Разработка ПД назамену  4-х лифтов - Ул Бориса Галушкина д.9 (г.п1000 кг) и ул. 800-летия Москвы д.28 к.1 - 3-и лифта г/п 630 кг)</t>
  </si>
  <si>
    <t>до 19.03.2021</t>
  </si>
  <si>
    <t>ИП Моисеенков Александр Александрович (КОРОНА) № ТО-12/21 от 28.12.2020</t>
  </si>
  <si>
    <t xml:space="preserve">Хуторецкая       </t>
  </si>
  <si>
    <t>Поставка и Монтаж коттеджного лифта г/п 1000 кг  МО Солнечногорский р-н деревня Никольскаое АО "Искра" уч. 26 28</t>
  </si>
  <si>
    <t>Поставка подъемого оборудования - 800 кг, 100 кг, монтаж и пусконаладка  -Москва ЮВАО, ул. 2-а Вольская д.30</t>
  </si>
  <si>
    <t>монтаж-980000 руб.  66200+17000 евро</t>
  </si>
  <si>
    <t>№239/21   от 29.03.2021</t>
  </si>
  <si>
    <t>Закрытое акционерное общество «МНИТИ»</t>
  </si>
  <si>
    <t xml:space="preserve">                                01/20  -12/20</t>
  </si>
  <si>
    <t>Текущий ремонт лифта KONE грузоподъемностью 1000 кг  и 630 кгв здании НИУ ВШЭ по адресу: г. Москва, ул. Мясницкая  дом.11</t>
  </si>
  <si>
    <t>60 кал. дн.</t>
  </si>
  <si>
    <t>10024670,44 в т.ч. монтаж 2600000</t>
  </si>
  <si>
    <t>Дог.№ 016-21.15-S от 26.4.21</t>
  </si>
  <si>
    <t>56200,00 евро</t>
  </si>
  <si>
    <t>232700</t>
  </si>
  <si>
    <t>от 23.04.2021</t>
  </si>
  <si>
    <r>
      <t>с</t>
    </r>
    <r>
      <rPr>
        <b/>
        <sz val="9"/>
        <rFont val="Times New Roman"/>
        <family val="1"/>
        <charset val="204"/>
      </rPr>
      <t xml:space="preserve"> 01.03.2020 </t>
    </r>
    <r>
      <rPr>
        <b/>
        <sz val="9"/>
        <rFont val="Times New Roman"/>
        <family val="1"/>
        <charset val="204"/>
      </rPr>
      <t>с продлением</t>
    </r>
  </si>
  <si>
    <t>Инж6енерно-техническое обследование стр-х конструкий</t>
  </si>
  <si>
    <t>от 23.04.21</t>
  </si>
  <si>
    <r>
      <t xml:space="preserve">ФГУП Издательство «Известия                                           </t>
    </r>
    <r>
      <rPr>
        <b/>
        <sz val="9"/>
        <color rgb="FFFF0000"/>
        <rFont val="Arial"/>
        <family val="2"/>
        <charset val="204"/>
      </rPr>
      <t>НЕТ ДОГОВОРА ПОДП.</t>
    </r>
  </si>
  <si>
    <t xml:space="preserve">услуги по техническому обслуживанию 15 лифтов, установленных по адресам:
г. Москва, ул. Лужники, дом 24, стр. 4, 6, 7, 11 </t>
  </si>
  <si>
    <r>
      <t xml:space="preserve">Акционерное общество «Олимпийский комплекс Лужники»,  </t>
    </r>
    <r>
      <rPr>
        <b/>
        <sz val="9"/>
        <color rgb="FFFF0000"/>
        <rFont val="Arial"/>
        <family val="2"/>
        <charset val="204"/>
      </rPr>
      <t>НЕТ НАШЕЙ ПЕЧАТИ</t>
    </r>
  </si>
  <si>
    <t>Дог.№2021/73-П от 26.02.2021</t>
  </si>
  <si>
    <t>Ремонт пассажирских лифтов № рег.65940 и № рег. 65941  кг  по адресу  г. Москва,ул.Уральская дом 21</t>
  </si>
  <si>
    <t>Счет-договор №7 от 22.03.2021</t>
  </si>
  <si>
    <t>от 31.03.2021</t>
  </si>
  <si>
    <t xml:space="preserve">Капитальный ремонт лифтового оборудования </t>
  </si>
  <si>
    <t>№ 17-2021 от 18.12.2020</t>
  </si>
  <si>
    <t>выполнен</t>
  </si>
  <si>
    <t xml:space="preserve">от 27.08.2020 </t>
  </si>
  <si>
    <r>
      <t xml:space="preserve">05/19 - 09/19, </t>
    </r>
    <r>
      <rPr>
        <sz val="10"/>
        <color rgb="FFFF0000"/>
        <rFont val="Times New Roman"/>
        <family val="1"/>
        <charset val="204"/>
      </rPr>
      <t>10/19</t>
    </r>
    <r>
      <rPr>
        <sz val="10"/>
        <rFont val="Times New Roman"/>
        <family val="1"/>
        <charset val="204"/>
      </rPr>
      <t xml:space="preserve">, 11/19, 12/19,           01/20-12/20 </t>
    </r>
  </si>
  <si>
    <t>№ ТО-03/21 от 01.11.20   автоматич.продление       ДС №1 от 15.03.2021</t>
  </si>
  <si>
    <t xml:space="preserve">  ДС №1 от 15.03.2021 к дог. №ТО-03/21</t>
  </si>
  <si>
    <t>71000</t>
  </si>
  <si>
    <t>от 02..04.2021</t>
  </si>
  <si>
    <t>Замена блока управления приводом кабины и редуктора с мотором на лифте г/п 630 кг</t>
  </si>
  <si>
    <t>2808000              ( 118000              в мес.)</t>
  </si>
  <si>
    <t>от 29.04.21</t>
  </si>
  <si>
    <t>№ 303-ЕП-44-21    "12" мая 2021 г.</t>
  </si>
  <si>
    <t>Разработка проектно-сметной документации (ПД) на замену 14 пассажирских лифтов</t>
  </si>
  <si>
    <t xml:space="preserve">597 940, 57 </t>
  </si>
  <si>
    <t>ФГБОУ ВО «РГУ им. А. Н. Косыгина»</t>
  </si>
  <si>
    <t>№240/21 от 15.04.2021 (1-й экз в папке у меня)</t>
  </si>
  <si>
    <t xml:space="preserve">№ 6.12-21/01.53 – 240521-11 от 24.05.2021 г. </t>
  </si>
  <si>
    <t>НИУ ВШЭ ст. Басманная</t>
  </si>
  <si>
    <t>ООО "СП ГРУПП"                       Дог. №20/21-О</t>
  </si>
  <si>
    <t>Обследование строительных конструкций</t>
  </si>
  <si>
    <t>от 03.06.21 г.</t>
  </si>
  <si>
    <t>№39-03/2021 от 05.03.2021                   ДС №2 от   26.04.2021</t>
  </si>
  <si>
    <t xml:space="preserve">№ ТО-210/19 от 27/11/19  </t>
  </si>
  <si>
    <r>
      <t xml:space="preserve">111000                              +177000                           +51700                             +10000                                              +50000                                                                 +162300                                      +162300                           </t>
    </r>
    <r>
      <rPr>
        <sz val="10"/>
        <color rgb="FF800080"/>
        <rFont val="Times New Roman"/>
        <family val="1"/>
        <charset val="204"/>
      </rPr>
      <t xml:space="preserve"> +574000 </t>
    </r>
    <r>
      <rPr>
        <sz val="10"/>
        <color rgb="FFFF0000"/>
        <rFont val="Times New Roman"/>
        <family val="1"/>
        <charset val="204"/>
      </rPr>
      <t xml:space="preserve">                         </t>
    </r>
    <r>
      <rPr>
        <sz val="10"/>
        <color rgb="FF008000"/>
        <rFont val="Times New Roman"/>
        <family val="1"/>
        <charset val="204"/>
      </rPr>
      <t xml:space="preserve">+277700 </t>
    </r>
    <r>
      <rPr>
        <sz val="10"/>
        <color rgb="FFFF0000"/>
        <rFont val="Times New Roman"/>
        <family val="1"/>
        <charset val="204"/>
      </rPr>
      <t xml:space="preserve">                               +200000                                                  +91000                                                    +333300</t>
    </r>
  </si>
  <si>
    <r>
      <t xml:space="preserve">от 11 11 2020(Перенесен от СТО/2.20) </t>
    </r>
    <r>
      <rPr>
        <sz val="9"/>
        <rFont val="Arial"/>
        <family val="2"/>
        <charset val="204"/>
      </rPr>
      <t xml:space="preserve">                от 19.01.21                                             от 20.01.21</t>
    </r>
  </si>
  <si>
    <r>
      <rPr>
        <b/>
        <sz val="9"/>
        <rFont val="Arial"/>
        <family val="2"/>
        <charset val="204"/>
      </rPr>
      <t>Хуторецкая</t>
    </r>
    <r>
      <rPr>
        <sz val="9"/>
        <rFont val="Arial"/>
        <family val="2"/>
        <charset val="204"/>
      </rPr>
      <t xml:space="preserve">      СТО-2019-328 от 25.12.2019    </t>
    </r>
    <r>
      <rPr>
        <sz val="9"/>
        <color rgb="FFFF0000"/>
        <rFont val="Arial"/>
        <family val="2"/>
        <charset val="204"/>
      </rPr>
      <t>на согласовании</t>
    </r>
  </si>
  <si>
    <r>
      <rPr>
        <b/>
        <sz val="9"/>
        <rFont val="Arial"/>
        <family val="2"/>
        <charset val="204"/>
      </rPr>
      <t>Саядан - ТО</t>
    </r>
    <r>
      <rPr>
        <sz val="9"/>
        <rFont val="Arial"/>
        <family val="2"/>
        <charset val="204"/>
      </rPr>
      <t xml:space="preserve">                      Дог. № С-ТО/2-210 от 01. 06.20                                                       </t>
    </r>
    <r>
      <rPr>
        <sz val="9"/>
        <color rgb="FFFF0000"/>
        <rFont val="Arial"/>
        <family val="2"/>
        <charset val="204"/>
      </rPr>
      <t xml:space="preserve">    на согласовании</t>
    </r>
  </si>
  <si>
    <t xml:space="preserve">                от 08.06.21 </t>
  </si>
  <si>
    <t xml:space="preserve">услуги по техническому обслуживанию 27  лифтов и диспетчерской связи </t>
  </si>
  <si>
    <t xml:space="preserve">              (199966,62 т.р. в мес)</t>
  </si>
  <si>
    <t>340200           (170100 в мес.)</t>
  </si>
  <si>
    <t>с 01.05.2021-30.06.2021</t>
  </si>
  <si>
    <t>11/20, 12/20</t>
  </si>
  <si>
    <t>10/20 - 12/20</t>
  </si>
  <si>
    <t xml:space="preserve"> перенесен с Дог. Московия  (дог. №216/19)</t>
  </si>
  <si>
    <t xml:space="preserve"> перенесен с Московия на Косыгина к дог. №77-ЭА-223-19 (дог. В папке Московия №212/19)</t>
  </si>
  <si>
    <t>6 мес. (02-07 20 г.)</t>
  </si>
  <si>
    <t xml:space="preserve">Ремонт лифтов </t>
  </si>
  <si>
    <t>120 кал.дн. (до 11.11.21)</t>
  </si>
  <si>
    <t>346440 от 29.03.2021</t>
  </si>
  <si>
    <t>№СТ0 207 от 12.01.2021</t>
  </si>
  <si>
    <r>
      <t xml:space="preserve">№ ТР-170/16 от 27.06.16     ДС №1 от 29.12.17                 </t>
    </r>
    <r>
      <rPr>
        <sz val="9"/>
        <color rgb="FFFF0000"/>
        <rFont val="Arial"/>
        <family val="2"/>
        <charset val="204"/>
      </rPr>
      <t>с 01.08.21 г. закрыт</t>
    </r>
  </si>
  <si>
    <t>№607-ЕП-44-21  от 07.07.21</t>
  </si>
  <si>
    <t>№ 284-ЕП-44-21   от 01.04.2021-30.06.2021</t>
  </si>
  <si>
    <t>Расчеты max в мес.</t>
  </si>
  <si>
    <t>мах cтоим. В мес. 750876,7</t>
  </si>
  <si>
    <t xml:space="preserve">1 143 851,29                       В мес. 95320,94 </t>
  </si>
  <si>
    <t xml:space="preserve">183300                </t>
  </si>
  <si>
    <t>от 01.04.2021-30.06.2021</t>
  </si>
  <si>
    <t>№ 279-ЕП-223-21   от 26.04.2021</t>
  </si>
  <si>
    <t>№ 634-ЕП-44-21   от 30.06.2021</t>
  </si>
  <si>
    <t>от 01.07.2021-31.07.2021</t>
  </si>
  <si>
    <t xml:space="preserve"> от 30.06.2021-31.07.2021</t>
  </si>
  <si>
    <t>№ 633-ЕП-44-21   от 30.06.2021</t>
  </si>
  <si>
    <r>
      <t>16.03.2020</t>
    </r>
    <r>
      <rPr>
        <sz val="9"/>
        <color rgb="FFFF0000"/>
        <rFont val="Arial"/>
        <family val="2"/>
        <charset val="204"/>
      </rPr>
      <t xml:space="preserve"> -15.03.2021. перенос до 03.05.2021</t>
    </r>
  </si>
  <si>
    <t>№ 96/ОПЭД-20 от 12.03.2020                                      ДС №1 и №2 от 12.04.2021</t>
  </si>
  <si>
    <t xml:space="preserve">                                  19.05.2021</t>
  </si>
  <si>
    <r>
      <t xml:space="preserve">от 18.03.21                                от 19.03.21                                         </t>
    </r>
    <r>
      <rPr>
        <sz val="9"/>
        <color rgb="FF00B050"/>
        <rFont val="Arial"/>
        <family val="2"/>
        <charset val="204"/>
      </rPr>
      <t xml:space="preserve"> от 08.06.2021от Дог.№С2-25к/2021</t>
    </r>
    <r>
      <rPr>
        <sz val="9"/>
        <color rgb="FF7030A0"/>
        <rFont val="Arial"/>
        <family val="2"/>
        <charset val="204"/>
      </rPr>
      <t xml:space="preserve">                                      от 10.06.21                                 от 12.07.21            </t>
    </r>
  </si>
  <si>
    <t>в мес.</t>
  </si>
  <si>
    <t>общаяя в мес.</t>
  </si>
  <si>
    <t>от 27.05.21                                         от 31.05.2021</t>
  </si>
  <si>
    <t>фото</t>
  </si>
  <si>
    <t>разработка и согласование проектной документации на «Капитальный ремонт лифтовой шахты и замену пассажирского лифта объекта культурного наследия регионального значения «Городская усадьба П.И. Демидова – А.Б.Куракина», кон. XVIII - XIX вв., архитекторы Р.Р. Казаков, Е.Д. Тюрин, Б.В. Фрейденберг, в рамках капитального ремонта здания НИУ ВШЭ, расположенного по адресу: г. Москва, ул. Старая Басманная, д. 21/4</t>
  </si>
  <si>
    <t xml:space="preserve">№ 6.12-21/01.53 – 070621-8 от 07.06.2021 г. </t>
  </si>
  <si>
    <t>1393101,15 от 09.07.2021</t>
  </si>
  <si>
    <t>411800/2( в мес.   205900)</t>
  </si>
  <si>
    <t xml:space="preserve">Замена частотных преобразователей на 2-х лифтах ул.Вавилова д.7 в здании НИУ ВШЭ </t>
  </si>
  <si>
    <t>№ТР 07/21  от __.08.21</t>
  </si>
  <si>
    <t>10 кал. дн.</t>
  </si>
  <si>
    <r>
      <t xml:space="preserve">ФГУП «НТЦ «Атлас»                   </t>
    </r>
    <r>
      <rPr>
        <b/>
        <sz val="9"/>
        <color rgb="FFFF0000"/>
        <rFont val="Arial"/>
        <family val="2"/>
        <charset val="204"/>
      </rPr>
      <t xml:space="preserve">  </t>
    </r>
  </si>
  <si>
    <r>
      <t xml:space="preserve">1801200    </t>
    </r>
    <r>
      <rPr>
        <sz val="9"/>
        <rFont val="Arial"/>
        <family val="2"/>
        <charset val="204"/>
      </rPr>
      <t xml:space="preserve">                                 150 100  в мес.</t>
    </r>
  </si>
  <si>
    <r>
      <rPr>
        <sz val="9"/>
        <rFont val="Arial"/>
        <family val="2"/>
        <charset val="204"/>
      </rPr>
      <t xml:space="preserve"> =209830                                  +78000              </t>
    </r>
    <r>
      <rPr>
        <sz val="9"/>
        <color rgb="FF008000"/>
        <rFont val="Arial"/>
        <family val="2"/>
        <charset val="204"/>
      </rPr>
      <t xml:space="preserve">                         +200000</t>
    </r>
    <r>
      <rPr>
        <sz val="9"/>
        <rFont val="Arial"/>
        <family val="2"/>
        <charset val="204"/>
      </rPr>
      <t xml:space="preserve">                                        +120000                                  +145980                                             +133300                                                        +222500                          </t>
    </r>
  </si>
  <si>
    <t>3.08.20                                 12.08.2020                        от 11.01.21</t>
  </si>
  <si>
    <r>
      <t xml:space="preserve">Дог. №44-02/2021 от 16.02.21    </t>
    </r>
    <r>
      <rPr>
        <b/>
        <sz val="9"/>
        <color rgb="FFFF0000"/>
        <rFont val="Arial"/>
        <family val="2"/>
        <charset val="204"/>
      </rPr>
      <t xml:space="preserve">  ДС №1 нет даты </t>
    </r>
  </si>
  <si>
    <r>
      <t xml:space="preserve">                     от 25.03.21                                             </t>
    </r>
    <r>
      <rPr>
        <sz val="9"/>
        <color rgb="FF00B050"/>
        <rFont val="Arial"/>
        <family val="2"/>
        <charset val="204"/>
      </rPr>
      <t xml:space="preserve"> </t>
    </r>
  </si>
  <si>
    <t xml:space="preserve"> от 22.07.21</t>
  </si>
  <si>
    <r>
      <t xml:space="preserve"> от  09.11.20                                     от 13.11.20                                           </t>
    </r>
    <r>
      <rPr>
        <sz val="9"/>
        <color rgb="FF008000"/>
        <rFont val="Arial"/>
        <family val="2"/>
        <charset val="204"/>
      </rPr>
      <t xml:space="preserve"> от 25.12.2020 от Дог.С25-20  </t>
    </r>
    <r>
      <rPr>
        <sz val="9"/>
        <rFont val="Arial"/>
        <family val="2"/>
        <charset val="204"/>
      </rPr>
      <t xml:space="preserve">                             от 20.01.21                                   </t>
    </r>
    <r>
      <rPr>
        <sz val="9"/>
        <color rgb="FFFF0000"/>
        <rFont val="Arial"/>
        <family val="2"/>
        <charset val="204"/>
      </rPr>
      <t xml:space="preserve">  от 12.02.21?   </t>
    </r>
    <r>
      <rPr>
        <sz val="9"/>
        <rFont val="Arial"/>
        <family val="2"/>
        <charset val="204"/>
      </rPr>
      <t xml:space="preserve">                                от 15.02.21                                     от 15.02.21                               </t>
    </r>
  </si>
  <si>
    <t>№19-04 от 06.04.2021</t>
  </si>
  <si>
    <r>
      <rPr>
        <sz val="9"/>
        <rFont val="Arial"/>
        <family val="2"/>
        <charset val="204"/>
      </rPr>
      <t xml:space="preserve">Дог.№ СТО44-02/2021 от 17.02.21 </t>
    </r>
    <r>
      <rPr>
        <sz val="9"/>
        <color rgb="FFFF0000"/>
        <rFont val="Arial"/>
        <family val="2"/>
        <charset val="204"/>
      </rPr>
      <t>на согласовании</t>
    </r>
  </si>
  <si>
    <t>Хуторецкая                                                  Акты на ТО</t>
  </si>
  <si>
    <t xml:space="preserve">                                                            </t>
  </si>
  <si>
    <t>9/13 - 12/13, , 01/14 -12/14,  01/15 -12/15,  01/16-12/16,               01/17,- 07/17   10/17,- 12/17                                                01/18-12/18                               01/19 - 06/19,  11/19,12/19,                                     01/20, 05/20, 06/20</t>
  </si>
  <si>
    <t>от 02.08.2021</t>
  </si>
  <si>
    <t>ТСЖ "Алиса"</t>
  </si>
  <si>
    <t>246/21 от16.08.2021г.</t>
  </si>
  <si>
    <t>4897280-за 8 меc/</t>
  </si>
  <si>
    <t xml:space="preserve"> 01/17-08/17 , 10/17,                                    01/18 - 07/18, 09/18, 10/18                                    01/19-11/19                                  01/20-12/20 </t>
  </si>
  <si>
    <t>450000                             +393260                           +224800                               +224160</t>
  </si>
  <si>
    <t>задел</t>
  </si>
  <si>
    <t xml:space="preserve">за 01-04 мес. </t>
  </si>
  <si>
    <t>№ТР 05/21   от 12.05.2021</t>
  </si>
  <si>
    <t>2766000 (СМР- -триплекс и мк )</t>
  </si>
  <si>
    <t>02/21-07/21</t>
  </si>
  <si>
    <t>КС-2 от 09.03.21</t>
  </si>
  <si>
    <t xml:space="preserve"> 01/16 - 06/16,  08/16,10/16-12/16,  01/17, 02/17, 04/17 - 12/17 , 01/18 - 12/18,                                                            01/19- 06/19    09/19-12/19                                           01/20- 12/20</t>
  </si>
  <si>
    <t>01/21-06/21</t>
  </si>
  <si>
    <t xml:space="preserve">ФГУП «НТЦ «Атлас»      </t>
  </si>
  <si>
    <t>01/19-12/19</t>
  </si>
  <si>
    <t xml:space="preserve">             01/18- 06/18,  08/18 - 12/18,                                                      01/19-12/19</t>
  </si>
  <si>
    <t>Акт по счету  №374 от 19.12.2019  за вып. Работы</t>
  </si>
  <si>
    <t>ТО 12 лифтов</t>
  </si>
  <si>
    <t>01.20-02.20</t>
  </si>
  <si>
    <t>03/2020  -12/2020</t>
  </si>
  <si>
    <t xml:space="preserve"> № 25к/2020                                          от 28.02. 2020 г.                                   ДС №1 от 17.09.20   ДС.№2 от  16.10.20           </t>
  </si>
  <si>
    <r>
      <t>с 1.03.20 -</t>
    </r>
    <r>
      <rPr>
        <b/>
        <sz val="10"/>
        <rFont val="Arial"/>
        <family val="2"/>
        <charset val="204"/>
      </rPr>
      <t>28.02.</t>
    </r>
    <r>
      <rPr>
        <b/>
        <sz val="10"/>
        <color rgb="FFFF0000"/>
        <rFont val="Arial"/>
        <family val="2"/>
        <charset val="204"/>
      </rPr>
      <t>2022</t>
    </r>
    <r>
      <rPr>
        <b/>
        <sz val="10"/>
        <rFont val="Arial"/>
        <family val="2"/>
        <charset val="204"/>
      </rPr>
      <t xml:space="preserve"> </t>
    </r>
    <r>
      <rPr>
        <b/>
        <sz val="10"/>
        <color rgb="FFFF0000"/>
        <rFont val="Arial"/>
        <family val="2"/>
        <charset val="204"/>
      </rPr>
      <t xml:space="preserve"> 24 мес.</t>
    </r>
  </si>
  <si>
    <t>Замена двигателя привода дверей кабины SGF 120 на лифте г/п 630 кг</t>
  </si>
  <si>
    <t xml:space="preserve">  ДС №2 от 02.08.2021 к дог. №ТО-03/21</t>
  </si>
  <si>
    <t>45000</t>
  </si>
  <si>
    <t>cоставить акт после вы-я</t>
  </si>
  <si>
    <r>
      <rPr>
        <sz val="9"/>
        <rFont val="Times New Roman"/>
        <family val="1"/>
        <charset val="204"/>
      </rPr>
      <t xml:space="preserve">№ С284-ЕП-44-21   от 05.04.2021 </t>
    </r>
    <r>
      <rPr>
        <sz val="9"/>
        <color rgb="FFFF0000"/>
        <rFont val="Times New Roman"/>
        <family val="1"/>
        <charset val="204"/>
      </rPr>
      <t>на согласовании</t>
    </r>
  </si>
  <si>
    <t>11 598,00 евро</t>
  </si>
  <si>
    <t>Дог.№219-277П от 28.04.21</t>
  </si>
  <si>
    <t>ФГБОУ ВО «РГУ им. А. Н. Косыгина»)</t>
  </si>
  <si>
    <t xml:space="preserve">от 19.07.21 </t>
  </si>
  <si>
    <t>04/21- 06/21</t>
  </si>
  <si>
    <t>05/21, 06/21</t>
  </si>
  <si>
    <t>07/21</t>
  </si>
  <si>
    <r>
      <rPr>
        <b/>
        <sz val="9"/>
        <rFont val="Times New Roman"/>
        <family val="1"/>
        <charset val="204"/>
      </rPr>
      <t>с 01.03.2021 г.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rgb="FFFF0000"/>
        <rFont val="Times New Roman"/>
        <family val="1"/>
        <charset val="204"/>
      </rPr>
      <t>по 28.02.2022 г</t>
    </r>
  </si>
  <si>
    <r>
      <rPr>
        <b/>
        <sz val="12"/>
        <rFont val="Times New Roman"/>
        <family val="1"/>
        <charset val="204"/>
      </rPr>
      <t xml:space="preserve">Миносян        </t>
    </r>
    <r>
      <rPr>
        <b/>
        <sz val="9"/>
        <rFont val="Times New Roman"/>
        <family val="1"/>
        <charset val="204"/>
      </rPr>
      <t xml:space="preserve">                                    Ремонтные работы</t>
    </r>
  </si>
  <si>
    <r>
      <t xml:space="preserve"> (</t>
    </r>
    <r>
      <rPr>
        <b/>
        <sz val="12"/>
        <rFont val="Times New Roman"/>
        <family val="1"/>
        <charset val="204"/>
      </rPr>
      <t>Корона</t>
    </r>
    <r>
      <rPr>
        <b/>
        <sz val="9"/>
        <rFont val="Times New Roman"/>
        <family val="1"/>
        <charset val="204"/>
      </rPr>
      <t xml:space="preserve"> Ольга Щербинина)    </t>
    </r>
    <r>
      <rPr>
        <sz val="9"/>
        <rFont val="Times New Roman"/>
        <family val="1"/>
        <charset val="204"/>
      </rPr>
      <t xml:space="preserve">       12 мес. по 77500 руб.</t>
    </r>
  </si>
  <si>
    <r>
      <t>ООО "</t>
    </r>
    <r>
      <rPr>
        <b/>
        <sz val="12"/>
        <rFont val="Times New Roman"/>
        <family val="1"/>
        <charset val="204"/>
      </rPr>
      <t>Содимас  Груп</t>
    </r>
    <r>
      <rPr>
        <b/>
        <sz val="9"/>
        <rFont val="Times New Roman"/>
        <family val="1"/>
        <charset val="204"/>
      </rPr>
      <t>"дог.№37/ПМ-2021 от 20.07.2021</t>
    </r>
  </si>
  <si>
    <t>№ 661-ЕП-44-21   от 30.07.2021</t>
  </si>
  <si>
    <t xml:space="preserve"> от 01.08.2021-30.09.2021</t>
  </si>
  <si>
    <t>№ 660-ЕП-44-21   от 30.07.2021</t>
  </si>
  <si>
    <t xml:space="preserve">  399 933            (199966,62 т.р. в мес)</t>
  </si>
  <si>
    <t xml:space="preserve"> 399 933             (199966,62 т.р. в мес)</t>
  </si>
  <si>
    <t>ремонт лифтов Зав. №063437 и 11246232 по адресу: г. Москва, ул. Мясницкая  дом.11 и Б.Переяславская д.50</t>
  </si>
  <si>
    <t>200000                                        +102000                                            +98000</t>
  </si>
  <si>
    <t>100000                                           +195000</t>
  </si>
  <si>
    <t>переделан номер в дог. СМР</t>
  </si>
  <si>
    <t xml:space="preserve">от18.03.21                                          от 30.04. 21                                           от 30.04.21                                         </t>
  </si>
  <si>
    <t>200000                            +102000                 +98000</t>
  </si>
  <si>
    <t>18.03.2021  перенос на Штрабаг                                     30.04.21перенос на Штрабаг                                            30.04.21 перенос на Штрабаг</t>
  </si>
  <si>
    <t>200000                                        +540000</t>
  </si>
  <si>
    <t>Ремонтные работы при замене  лифта рег.№98371</t>
  </si>
  <si>
    <t>Ремонтные работы при замене  лифта рег.№98372</t>
  </si>
  <si>
    <t>лифт</t>
  </si>
  <si>
    <t>м3</t>
  </si>
  <si>
    <t>м2</t>
  </si>
  <si>
    <t>шт</t>
  </si>
  <si>
    <t>мп</t>
  </si>
  <si>
    <t>шт.</t>
  </si>
  <si>
    <t>322000 в мес-ц</t>
  </si>
  <si>
    <t>340000+333350+636500</t>
  </si>
  <si>
    <t xml:space="preserve">Работы по аварийному ремонту лифтов рег. №№ 298417035, 298417036, установленных по адресу:
г. Москва, ул. Лужники, дом 24, стр. 9, 11 </t>
  </si>
  <si>
    <t>40 кал.дн.</t>
  </si>
  <si>
    <t xml:space="preserve">Московский Политех                    </t>
  </si>
  <si>
    <t xml:space="preserve">  03/20- 12/20,  01/21, 02/21, 05/21</t>
  </si>
  <si>
    <r>
      <rPr>
        <sz val="10"/>
        <color rgb="FF00B050"/>
        <rFont val="Times New Roman"/>
        <family val="1"/>
        <charset val="204"/>
      </rPr>
      <t xml:space="preserve">100000                                           +195000       </t>
    </r>
    <r>
      <rPr>
        <sz val="10"/>
        <color rgb="FFFF0000"/>
        <rFont val="Times New Roman"/>
        <family val="1"/>
        <charset val="204"/>
      </rPr>
      <t xml:space="preserve">                    +460870</t>
    </r>
  </si>
  <si>
    <r>
      <rPr>
        <sz val="10"/>
        <color rgb="FF00B050"/>
        <rFont val="Times New Roman"/>
        <family val="1"/>
        <charset val="204"/>
      </rPr>
      <t>от 22.07.21 -сб. от дог. СТО -207                                                     11.08.21</t>
    </r>
    <r>
      <rPr>
        <sz val="10"/>
        <color rgb="FFFF0000"/>
        <rFont val="Times New Roman"/>
        <family val="1"/>
        <charset val="204"/>
      </rPr>
      <t xml:space="preserve">                               08.09.2021</t>
    </r>
  </si>
  <si>
    <t>140000 от 23.09.21</t>
  </si>
  <si>
    <t>Устройство временных защитных ограждений: вертикальных с обшивкой по каркасу из досок</t>
  </si>
  <si>
    <t>Демонтаж металлоконструкций шахты лифта (закладные детали)</t>
  </si>
  <si>
    <t>Ремонтные работы шахты лифта</t>
  </si>
  <si>
    <t>1245800 от 17.05                               806700 от 21.06.05</t>
  </si>
  <si>
    <t>№ 433_0139.44.ОК/21  от 16.09.2021     ДС №1 от 27.09</t>
  </si>
  <si>
    <t>№ 434_0139.44.ОК/21  от 16.09.2021  ДС №1 от 27.09</t>
  </si>
  <si>
    <t>71000                                      +220000</t>
  </si>
  <si>
    <t>Работы по установке  обрамлений проемов шахтных дверей по адресу: МО, Городской округ Нарофоминский, г. Апрелевка,  улица Парковая, д.1</t>
  </si>
  <si>
    <t>от 19.03.21                                от 26.08.21</t>
  </si>
  <si>
    <t xml:space="preserve">замена  трех пассажирских лифтов грузоподъемностью  1000 кг модели «SODIMAS GROUP- SJEC» производства Китай,  по адресу: г. Москва, Варшавское ш. д.9, стр.1Б  </t>
  </si>
  <si>
    <t>№242/21 от 08.09.21</t>
  </si>
  <si>
    <t>86112 долл.         624000 руб.</t>
  </si>
  <si>
    <t>270000                                   +112500</t>
  </si>
  <si>
    <t>за 1-4</t>
  </si>
  <si>
    <t>за 1-7</t>
  </si>
  <si>
    <t>за 1-8</t>
  </si>
  <si>
    <t>за 1-9</t>
  </si>
  <si>
    <t>за 1-3 мес</t>
  </si>
  <si>
    <t>1 мес</t>
  </si>
  <si>
    <t>2мес</t>
  </si>
  <si>
    <t>3 799 996                   в мес.                         676 900  руб. (670000)</t>
  </si>
  <si>
    <t xml:space="preserve">Хуторецкая </t>
  </si>
  <si>
    <t xml:space="preserve">08/21, 09/21, </t>
  </si>
  <si>
    <t>Работы по аварийному ремонту лифтов рег. №№ 77253, 77254, установленных по адресу: Садовническая д.35 с1</t>
  </si>
  <si>
    <t>№ 741-ЕП-44-21   от 15.09.2021</t>
  </si>
  <si>
    <t>от 16.03.2021 (ПД)                                09.07.2021                       31.08.21                                   08.09.21</t>
  </si>
  <si>
    <t>Поставка и установка пожарных шкафов</t>
  </si>
  <si>
    <t>96000 от 14.07.21</t>
  </si>
  <si>
    <t xml:space="preserve">ФГУП Издательство «Известия   </t>
  </si>
  <si>
    <t>99700 от13.07.21</t>
  </si>
  <si>
    <t xml:space="preserve">   с 01.02.2021 по 31.07.2021    ДС  №1  от 30.07, cогл. Расторжении от 09.21 </t>
  </si>
  <si>
    <t>Сч.договор №133А от 01.07.2021 нет сч.Д</t>
  </si>
  <si>
    <t>Сч.Договор №115А от 22.06.2021 нет сч.Д</t>
  </si>
  <si>
    <t>от 21.10.21</t>
  </si>
  <si>
    <t xml:space="preserve">03/2020  - 12/2020 </t>
  </si>
  <si>
    <t>№ 830-ЕП-44-21   от 01.10.2021</t>
  </si>
  <si>
    <t>с 01.10.2021 до 31.12.2021 г.</t>
  </si>
  <si>
    <t xml:space="preserve"> 599 899,86            (199966,62 т.р. в мес)</t>
  </si>
  <si>
    <t>510 300            (170100 в мес.)</t>
  </si>
  <si>
    <t>76000                        +304000                   +68000</t>
  </si>
  <si>
    <t>31.05.2021                                 31.05.2021                       01.11.2021</t>
  </si>
  <si>
    <t xml:space="preserve">Московский Политех                       </t>
  </si>
  <si>
    <t>2022 год</t>
  </si>
  <si>
    <t>№ 829-ЕП-44-21   от 01.10.2021</t>
  </si>
  <si>
    <t>ПАО "Туполев"</t>
  </si>
  <si>
    <t>412225                            +317175                                +92475                                 +472000                             +449400</t>
  </si>
  <si>
    <t xml:space="preserve"> от 12.10.21                      от 13.10.21                            от 26.10.21                                  от 29.10.21                            от 11.11.21</t>
  </si>
  <si>
    <t>453500</t>
  </si>
  <si>
    <t>09/20, 10/20</t>
  </si>
  <si>
    <t>14900000 (СМР-3200000)</t>
  </si>
  <si>
    <t>от 24.11.21</t>
  </si>
  <si>
    <r>
      <t>11734172</t>
    </r>
    <r>
      <rPr>
        <sz val="11"/>
        <rFont val="Arial"/>
        <family val="2"/>
        <charset val="204"/>
      </rPr>
      <t xml:space="preserve">                         в мес.            981 981,00</t>
    </r>
  </si>
  <si>
    <t>№СТО-525/21 от 29.12.20                          на согласовании - в доработке</t>
  </si>
  <si>
    <t xml:space="preserve"> Хуторецкая</t>
  </si>
  <si>
    <r>
      <t xml:space="preserve">№СТО-633-ЕП-44-21 от 01.07.21                   </t>
    </r>
    <r>
      <rPr>
        <sz val="9"/>
        <color rgb="FFFF0000"/>
        <rFont val="Times New Roman"/>
        <family val="1"/>
        <charset val="204"/>
      </rPr>
      <t>на согласовании -уточниеть банки</t>
    </r>
  </si>
  <si>
    <t>199076,24 от 27.09.2021</t>
  </si>
  <si>
    <t>916468            от 30.08.2021</t>
  </si>
  <si>
    <t>07/21-10/21</t>
  </si>
  <si>
    <t>4508419,25                      (СМР 2 200 000)</t>
  </si>
  <si>
    <t>Офис Девелопмент</t>
  </si>
  <si>
    <r>
      <rPr>
        <sz val="11"/>
        <rFont val="Times New Roman"/>
        <family val="1"/>
        <charset val="204"/>
      </rPr>
      <t>Технолифт сервис</t>
    </r>
    <r>
      <rPr>
        <sz val="10"/>
        <rFont val="Times New Roman"/>
        <family val="1"/>
        <charset val="204"/>
      </rPr>
      <t xml:space="preserve"> (Овчаренко Жанна)  Дог.№ТОС 10/21 от 01.11.21</t>
    </r>
  </si>
  <si>
    <r>
      <t xml:space="preserve">01.11.21 - </t>
    </r>
    <r>
      <rPr>
        <b/>
        <sz val="12"/>
        <color rgb="FFFF0000"/>
        <rFont val="Times New Roman"/>
        <family val="1"/>
        <charset val="204"/>
      </rPr>
      <t>01.11.24</t>
    </r>
  </si>
  <si>
    <t>7020000                    (195 т.р.в мес.)</t>
  </si>
  <si>
    <t>04/21, 07/21</t>
  </si>
  <si>
    <t xml:space="preserve"> 06/21, 07/21, 09/21, 10/21          </t>
  </si>
  <si>
    <t>Поставка лифтового оборудования 3 лифта Sodimas Group@</t>
  </si>
  <si>
    <t>97000 долл. США</t>
  </si>
  <si>
    <t>50000                     +50000                           +50000</t>
  </si>
  <si>
    <t>от 08.09.21        от 09.11.21                                от 10.12.21</t>
  </si>
  <si>
    <t xml:space="preserve">работы по технической эксплуатации, техническому обслуживанию лифтового оборудования по адресу: г. Москва, набережная Академика Туполева, д.17; д. 15, корп. 15, корп. 22 А, корп. 28 </t>
  </si>
  <si>
    <t xml:space="preserve">МГТУ им. Н.Э. Баумана </t>
  </si>
  <si>
    <t>Поставка 4-х лифтов</t>
  </si>
  <si>
    <t>4800000     (СМР 1700000)</t>
  </si>
  <si>
    <t>236000*2                     +500000</t>
  </si>
  <si>
    <r>
      <t>Дог.№С607-ЕП-44-21 от 07.07.21  на согласовании-</t>
    </r>
    <r>
      <rPr>
        <sz val="9"/>
        <rFont val="Times New Roman"/>
        <family val="1"/>
        <charset val="204"/>
      </rPr>
      <t xml:space="preserve"> надо кор.</t>
    </r>
  </si>
  <si>
    <t>Дог. №2021/69-С от 21.09.21</t>
  </si>
  <si>
    <t xml:space="preserve">№ СВ 434_0139.44.ОК/21  от 16.09.2021  </t>
  </si>
  <si>
    <t>07/21,09/21 -11/21</t>
  </si>
  <si>
    <r>
      <t>01.03.2020-</t>
    </r>
    <r>
      <rPr>
        <b/>
        <sz val="10"/>
        <color rgb="FFFF0000"/>
        <rFont val="Arial"/>
        <family val="2"/>
        <charset val="204"/>
      </rPr>
      <t>28.02.2022</t>
    </r>
  </si>
  <si>
    <t>оплата по сч. №70 от 12.04.2021 Акт №17 от 19.07.2021</t>
  </si>
  <si>
    <t>акты на один лифт - 5 ост.</t>
  </si>
  <si>
    <t xml:space="preserve"> 31.08.2021                                      08.09.21                                             28.12.2021-С                                        28.12.2021-С                                          29.12.2021-С    </t>
  </si>
  <si>
    <t>от 10.12.2021                                                      от 29.12.21</t>
  </si>
  <si>
    <t>122250                                 +222200                            +201600</t>
  </si>
  <si>
    <t>от 30.09.21                                        от 12.10.21                                  от 29.12.21</t>
  </si>
  <si>
    <t>Уточнить наличие акта</t>
  </si>
  <si>
    <t>Субподряд</t>
  </si>
  <si>
    <t>ремонт обрамлений лифтовых проемов (28 проемов)</t>
  </si>
  <si>
    <t>320000                                  +200000</t>
  </si>
  <si>
    <t>6.12-21/04.11-160921-4 от 16.09.2021</t>
  </si>
  <si>
    <t>перенос от 07.09.21 отДог .С2-239/21                                  16.09.21</t>
  </si>
  <si>
    <t>№ 525/4.11-12-20                   от 25.12.20 г.        ДС.№1 от 14.05.2021</t>
  </si>
  <si>
    <t>28.12.2021 перенос от дог.№СТО-525/21</t>
  </si>
  <si>
    <t>№СР 6.12-21                    от 17.09.2021</t>
  </si>
  <si>
    <r>
      <rPr>
        <sz val="9"/>
        <color rgb="FF7030A0"/>
        <rFont val="Arial"/>
        <family val="2"/>
        <charset val="204"/>
      </rPr>
      <t xml:space="preserve">120000                                  +145980                                             +133300                                                        +222500 </t>
    </r>
    <r>
      <rPr>
        <sz val="9"/>
        <color rgb="FFFF0000"/>
        <rFont val="Arial"/>
        <family val="2"/>
        <charset val="204"/>
      </rPr>
      <t xml:space="preserve">                                        +133290                                      +123290                                      +178790                                      </t>
    </r>
    <r>
      <rPr>
        <sz val="9"/>
        <color rgb="FF00B050"/>
        <rFont val="Arial"/>
        <family val="2"/>
        <charset val="204"/>
      </rPr>
      <t>+55500</t>
    </r>
    <r>
      <rPr>
        <sz val="9"/>
        <color rgb="FFFF0000"/>
        <rFont val="Arial"/>
        <family val="2"/>
        <charset val="204"/>
      </rPr>
      <t xml:space="preserve">                                                                                          </t>
    </r>
    <r>
      <rPr>
        <sz val="9"/>
        <color rgb="FF00B050"/>
        <rFont val="Arial"/>
        <family val="2"/>
        <charset val="204"/>
      </rPr>
      <t>+64500</t>
    </r>
    <r>
      <rPr>
        <sz val="9"/>
        <color rgb="FFFF0000"/>
        <rFont val="Arial"/>
        <family val="2"/>
        <charset val="204"/>
      </rPr>
      <t>)</t>
    </r>
  </si>
  <si>
    <r>
      <rPr>
        <sz val="9"/>
        <rFont val="Arial"/>
        <family val="2"/>
        <charset val="204"/>
      </rPr>
      <t>Дог.№ СТО44/2021 от 19.02.21</t>
    </r>
    <r>
      <rPr>
        <sz val="9"/>
        <color rgb="FFFF0000"/>
        <rFont val="Arial"/>
        <family val="2"/>
        <charset val="204"/>
      </rPr>
      <t xml:space="preserve"> на согласовании</t>
    </r>
  </si>
  <si>
    <t xml:space="preserve">                                                15.04.2021</t>
  </si>
  <si>
    <r>
      <t xml:space="preserve">Дог.№ </t>
    </r>
    <r>
      <rPr>
        <sz val="9"/>
        <color rgb="FFFF0000"/>
        <rFont val="Arial"/>
        <family val="2"/>
        <charset val="204"/>
      </rPr>
      <t>С19-04/21</t>
    </r>
    <r>
      <rPr>
        <sz val="9"/>
        <rFont val="Arial"/>
        <family val="2"/>
        <charset val="204"/>
      </rPr>
      <t xml:space="preserve"> от 06.04.2021 от 07.04.21 </t>
    </r>
    <r>
      <rPr>
        <b/>
        <sz val="12"/>
        <color rgb="FFFF0000"/>
        <rFont val="Arial"/>
        <family val="2"/>
        <charset val="204"/>
      </rPr>
      <t>на согласовании</t>
    </r>
  </si>
  <si>
    <t>04/19 - 09/19, 11/19, 12/19,</t>
  </si>
  <si>
    <t>Научное руководство  и авторский надзор по замене пассажирского лифта рег.№135007 грузоподъемностью 500 кг на пассажирский лифт грузоподъемностью 630 кг по адресу:  г. Москва, ул. Старая Басманная, д. 21/4, стр. 1</t>
  </si>
  <si>
    <t xml:space="preserve">№ 6.12-21/01.53 – 150721-5 (244/21)  от 15.07.2021 г. </t>
  </si>
  <si>
    <t>274620                                                +111120</t>
  </si>
  <si>
    <t>от 27.12.21                                            от  27.01.22</t>
  </si>
  <si>
    <t>ИП Каралев Павел Владимирович</t>
  </si>
  <si>
    <t xml:space="preserve"> 10/21,  11/21,  12/21, </t>
  </si>
  <si>
    <t xml:space="preserve">10/21,  11/21,  12/21, </t>
  </si>
  <si>
    <t xml:space="preserve">  Дог.№ С829-ЕП-44-21   от 04.10.2021</t>
  </si>
  <si>
    <t>Замена тяговых канатов на лифте зав.№11246235 в здании НИУ ВШЭ по адресу: г. Москва, ул. Мясницкая  дом.11</t>
  </si>
  <si>
    <t>от 16/12/2021</t>
  </si>
  <si>
    <t>обор.4622000 с НДС</t>
  </si>
  <si>
    <t xml:space="preserve">                                         02/20, 04/21-12/21</t>
  </si>
  <si>
    <t xml:space="preserve"> 01/21-05/21, 07/21-11/21</t>
  </si>
  <si>
    <t>06/21</t>
  </si>
  <si>
    <r>
      <t>03/16-06/16,08/16,-10/16-12/16,  01/17- 12/17     02/18- 06/18, 08/18-12/18,   01/19 - 12/19 ,01.20-12/2020,</t>
    </r>
    <r>
      <rPr>
        <sz val="9"/>
        <color rgb="FFFF0000"/>
        <rFont val="Arial"/>
        <family val="2"/>
        <charset val="204"/>
      </rPr>
      <t xml:space="preserve">     </t>
    </r>
    <r>
      <rPr>
        <sz val="9"/>
        <color rgb="FF7030A0"/>
        <rFont val="Arial"/>
        <family val="2"/>
        <charset val="204"/>
      </rPr>
      <t>01/21-05/21, 07/21-11/21</t>
    </r>
  </si>
  <si>
    <r>
      <rPr>
        <sz val="9"/>
        <rFont val="Times New Roman"/>
        <family val="1"/>
        <charset val="204"/>
      </rPr>
      <t>№СТО-525/1/4.11-21 от 28.12.20</t>
    </r>
    <r>
      <rPr>
        <sz val="9"/>
        <color rgb="FFFF0000"/>
        <rFont val="Times New Roman"/>
        <family val="1"/>
        <charset val="204"/>
      </rPr>
      <t xml:space="preserve"> на согласовании               </t>
    </r>
    <r>
      <rPr>
        <sz val="9"/>
        <color rgb="FF7030A0"/>
        <rFont val="Times New Roman"/>
        <family val="1"/>
        <charset val="204"/>
      </rPr>
      <t xml:space="preserve">  уточнить последний платеж</t>
    </r>
  </si>
  <si>
    <t>01/21-03/21, 05/21, 06/21,  08/21- 12/21</t>
  </si>
  <si>
    <t xml:space="preserve">                                         01/21-12/21</t>
  </si>
  <si>
    <t>Акт № 223 на заамену ролшиков дверей кабины и шахты</t>
  </si>
  <si>
    <r>
      <t xml:space="preserve">Дог.№С 25к/202 от 28.12.2020 </t>
    </r>
    <r>
      <rPr>
        <sz val="9"/>
        <color rgb="FFFF0000"/>
        <rFont val="Arial"/>
        <family val="2"/>
        <charset val="204"/>
      </rPr>
      <t>отдать на согласование</t>
    </r>
  </si>
  <si>
    <t>№СТО-6.12-21/04.11     от 28.12.2021</t>
  </si>
  <si>
    <t xml:space="preserve">                    =3969957,52 +55000</t>
  </si>
  <si>
    <t>от  14.01.22</t>
  </si>
  <si>
    <r>
      <t>№СТО-525/2/4.11-21 от 11.01.2021 (дата 01.12.20)</t>
    </r>
    <r>
      <rPr>
        <b/>
        <sz val="10"/>
        <color rgb="FF00B050"/>
        <rFont val="Times New Roman"/>
        <family val="1"/>
        <charset val="204"/>
      </rPr>
      <t xml:space="preserve"> </t>
    </r>
    <r>
      <rPr>
        <sz val="10"/>
        <color rgb="FF00B050"/>
        <rFont val="Times New Roman"/>
        <family val="1"/>
        <charset val="204"/>
      </rPr>
      <t>перенесено</t>
    </r>
  </si>
  <si>
    <t>01/21-12/21</t>
  </si>
  <si>
    <r>
      <t xml:space="preserve">№СТР 05/21  от 18.05.21                               </t>
    </r>
    <r>
      <rPr>
        <sz val="10"/>
        <color rgb="FFFF0000"/>
        <rFont val="Times New Roman"/>
        <family val="1"/>
        <charset val="204"/>
      </rPr>
      <t xml:space="preserve">  на согласовании</t>
    </r>
  </si>
  <si>
    <r>
      <rPr>
        <sz val="9"/>
        <color rgb="FF00B050"/>
        <rFont val="Arial"/>
        <family val="2"/>
        <charset val="204"/>
      </rPr>
      <t xml:space="preserve">от 22.07.21 -сб. - перенос на дог.СТР05/21   </t>
    </r>
    <r>
      <rPr>
        <sz val="9"/>
        <color rgb="FF00B050"/>
        <rFont val="Arial"/>
        <family val="2"/>
        <charset val="204"/>
      </rPr>
      <t xml:space="preserve">                                                   11.08.21</t>
    </r>
  </si>
  <si>
    <t>270000                                          +300000                                                        +499200                                           +498500                                                   +487200</t>
  </si>
  <si>
    <t>ООО "СП Групп"                           (Акт у Т.А.)</t>
  </si>
  <si>
    <t>1080000 от 18.11.21</t>
  </si>
  <si>
    <t xml:space="preserve">01/2021  -  06/21, 08/21-12/21 </t>
  </si>
  <si>
    <t xml:space="preserve">03/2020  - 12/2020,  01/2021  -  06/21, 08/21-12/21 </t>
  </si>
  <si>
    <t>01/21, 11/21, 12/21</t>
  </si>
  <si>
    <t>Миносян не пошел</t>
  </si>
  <si>
    <t xml:space="preserve"> 01/13 -12/13,  01/14 -12/14, 01/15 -12/15, 01/16,  03/16- 06/16,   08/16- 12/16,      01/17-12/17                                                01/18-04.18  06./18-12/18                        01/19-  09/19 сканы, 01/19  04/19- 12/19                                  02/20, 04/21-09/21</t>
  </si>
  <si>
    <r>
      <t xml:space="preserve">07/17-11/17                            01/18-12/18                        01/19 -  </t>
    </r>
    <r>
      <rPr>
        <sz val="9"/>
        <color rgb="FFFF0000"/>
        <rFont val="Arial"/>
        <family val="2"/>
        <charset val="204"/>
      </rPr>
      <t xml:space="preserve">11/19               </t>
    </r>
    <r>
      <rPr>
        <sz val="9"/>
        <rFont val="Arial"/>
        <family val="2"/>
        <charset val="204"/>
      </rPr>
      <t xml:space="preserve"> 01/20 -12/20,                              01/21-12/21</t>
    </r>
  </si>
  <si>
    <t>Хохловский, 10</t>
  </si>
  <si>
    <t>29.12.2021                      30.12.2021                         30/12/2021</t>
  </si>
  <si>
    <t xml:space="preserve">                +499500                         +499500                                   </t>
  </si>
  <si>
    <t xml:space="preserve">                    от 29.12.21                             от 29.12.21                               </t>
  </si>
  <si>
    <r>
      <t xml:space="preserve">29.10.2021                                       от 23.11.21                    </t>
    </r>
    <r>
      <rPr>
        <sz val="9"/>
        <color rgb="FF00B050"/>
        <rFont val="Arial"/>
        <family val="2"/>
        <charset val="204"/>
      </rPr>
      <t xml:space="preserve">   от 11/11/2021перенос на СТО830-ЕП-44.21</t>
    </r>
  </si>
  <si>
    <r>
      <t xml:space="preserve">242300                 +215600                         </t>
    </r>
    <r>
      <rPr>
        <sz val="9"/>
        <color rgb="FF92D050"/>
        <rFont val="Arial"/>
        <family val="2"/>
        <charset val="204"/>
      </rPr>
      <t xml:space="preserve"> </t>
    </r>
    <r>
      <rPr>
        <sz val="9"/>
        <color rgb="FF00B050"/>
        <rFont val="Arial"/>
        <family val="2"/>
        <charset val="204"/>
      </rPr>
      <t>+193500</t>
    </r>
  </si>
  <si>
    <r>
      <rPr>
        <sz val="9"/>
        <rFont val="Times New Roman"/>
        <family val="1"/>
        <charset val="204"/>
      </rPr>
      <t>№СТО-661-</t>
    </r>
    <r>
      <rPr>
        <sz val="9"/>
        <rFont val="Times New Roman"/>
        <family val="1"/>
        <charset val="204"/>
      </rPr>
      <t>ЕН-</t>
    </r>
    <r>
      <rPr>
        <sz val="9"/>
        <rFont val="Times New Roman"/>
        <family val="1"/>
        <charset val="204"/>
      </rPr>
      <t xml:space="preserve">44-21 от 02..08.21 2-а мес. </t>
    </r>
    <r>
      <rPr>
        <sz val="9"/>
        <color rgb="FFFF0000"/>
        <rFont val="Times New Roman"/>
        <family val="1"/>
        <charset val="204"/>
      </rPr>
      <t xml:space="preserve">          на согласовании</t>
    </r>
  </si>
  <si>
    <t>акт от 03.09.21 на 520000</t>
  </si>
  <si>
    <t>150000                                 +291800                         +337000                                    +380000                                             +450000</t>
  </si>
  <si>
    <t>акт на 50000 от 26.02.2021</t>
  </si>
  <si>
    <t xml:space="preserve">                                Акт на 183300 от 29.04.21</t>
  </si>
  <si>
    <r>
      <rPr>
        <sz val="9"/>
        <rFont val="Times New Roman"/>
        <family val="1"/>
        <charset val="204"/>
      </rPr>
      <t xml:space="preserve">585 052,18 </t>
    </r>
    <r>
      <rPr>
        <sz val="9"/>
        <rFont val="Times New Roman"/>
        <family val="1"/>
        <charset val="204"/>
      </rPr>
      <t xml:space="preserve">    +314 635,36                   от 29.09.21                        </t>
    </r>
  </si>
  <si>
    <t>Акт на 457900                  от 29.09.21</t>
  </si>
  <si>
    <t>Акт от 19.07.21</t>
  </si>
  <si>
    <t xml:space="preserve">от 23.09.21                                        от 13.10.21                             от 21.10.21                              от  29.10                                         от 10.12.21                               от 16.12.21                                    </t>
  </si>
  <si>
    <t>300000                              +455800</t>
  </si>
  <si>
    <t>ФГБОУ ВО «РГУ им. А. Н. Косыгина</t>
  </si>
  <si>
    <t>197168,78 от 14.02.22</t>
  </si>
  <si>
    <t xml:space="preserve">                                           </t>
  </si>
  <si>
    <t>Дог. №6.12-21/04.11-310122-6 от 31.01.2022</t>
  </si>
  <si>
    <t>50000                                 +50000                              +50000                                 +50000</t>
  </si>
  <si>
    <t>27.04.2021                                  26.05.2021                           07.07.2021                                       12.08.2021</t>
  </si>
  <si>
    <r>
      <t>674150</t>
    </r>
    <r>
      <rPr>
        <sz val="9"/>
        <color rgb="FF008000"/>
        <rFont val="Arial"/>
        <family val="2"/>
        <charset val="204"/>
      </rPr>
      <t xml:space="preserve">                          </t>
    </r>
    <r>
      <rPr>
        <sz val="9"/>
        <color rgb="FFFF0000"/>
        <rFont val="Arial"/>
        <family val="2"/>
        <charset val="204"/>
      </rPr>
      <t xml:space="preserve">                         +449500                                    +786500                        </t>
    </r>
    <r>
      <rPr>
        <sz val="9"/>
        <color rgb="FF003366"/>
        <rFont val="Arial"/>
        <family val="2"/>
        <charset val="204"/>
      </rPr>
      <t xml:space="preserve">  +393250                             +280900                                  +337080                 </t>
    </r>
  </si>
  <si>
    <r>
      <t xml:space="preserve">18.03.2021                                 от 17.05.2021                                        от 10.06.21                                              от 10.06.21                                        07.09.21                                     12.10.21                                                                 13.10.21                                                    26.10.21                                         от 10.12.21                             </t>
    </r>
    <r>
      <rPr>
        <b/>
        <sz val="10"/>
        <color rgb="FF00B050"/>
        <rFont val="Times New Roman"/>
        <family val="1"/>
        <charset val="204"/>
      </rPr>
      <t xml:space="preserve"> от 28.12.2021перенос на №СР 6.12-21</t>
    </r>
  </si>
  <si>
    <t>СМР шахты при замене лифта рег.№ 127271</t>
  </si>
  <si>
    <t>СМР шахты при замене лифта рег.№ 127273</t>
  </si>
  <si>
    <t>СМР шахты при замене лифта рег.№ 127275</t>
  </si>
  <si>
    <t>Акт от 09.12.2021</t>
  </si>
  <si>
    <t xml:space="preserve"> НИУ ВШЭ </t>
  </si>
  <si>
    <t>КС от 27.09.21</t>
  </si>
  <si>
    <r>
      <t xml:space="preserve"> от 20.01.21                                     от 12.02.21были на дог.С230/1-20                                   от 15.02.21                                     от 15.02.21                                   </t>
    </r>
    <r>
      <rPr>
        <sz val="9"/>
        <color rgb="FFFF0000"/>
        <rFont val="Arial"/>
        <family val="2"/>
        <charset val="204"/>
      </rPr>
      <t xml:space="preserve">   от 17.03.21    </t>
    </r>
    <r>
      <rPr>
        <sz val="9"/>
        <color rgb="FF0070C0"/>
        <rFont val="Arial"/>
        <family val="2"/>
        <charset val="204"/>
      </rPr>
      <t xml:space="preserve">                                          </t>
    </r>
    <r>
      <rPr>
        <sz val="9"/>
        <color rgb="FFFF0000"/>
        <rFont val="Arial"/>
        <family val="2"/>
        <charset val="204"/>
      </rPr>
      <t xml:space="preserve">06.04.21                                         12.04.21                                 </t>
    </r>
    <r>
      <rPr>
        <sz val="9"/>
        <color rgb="FF00B050"/>
        <rFont val="Arial"/>
        <family val="2"/>
        <charset val="204"/>
      </rPr>
      <t xml:space="preserve">     16.04.21 перенос наСТО-525/1/4.11-21</t>
    </r>
    <r>
      <rPr>
        <sz val="9"/>
        <color rgb="FFFF0000"/>
        <rFont val="Arial"/>
        <family val="2"/>
        <charset val="204"/>
      </rPr>
      <t xml:space="preserve">                                               </t>
    </r>
    <r>
      <rPr>
        <sz val="9"/>
        <color rgb="FF00B050"/>
        <rFont val="Arial"/>
        <family val="2"/>
        <charset val="204"/>
      </rPr>
      <t xml:space="preserve">23.04.21  </t>
    </r>
    <r>
      <rPr>
        <sz val="9"/>
        <color rgb="FFFF0000"/>
        <rFont val="Arial"/>
        <family val="2"/>
        <charset val="204"/>
      </rPr>
      <t xml:space="preserve">       </t>
    </r>
  </si>
  <si>
    <t>КС №1 от 12.10            КС №2 от 08.12</t>
  </si>
  <si>
    <t>01/21-03/21,  05/21-11/21</t>
  </si>
  <si>
    <t>ООО Торговый Центр "Новомосковский"</t>
  </si>
  <si>
    <t>СМР</t>
  </si>
  <si>
    <t>акт от 04.06.21</t>
  </si>
  <si>
    <t>АРКАДА №АП-95/21 от 14.05.21 (нет договра)</t>
  </si>
  <si>
    <t xml:space="preserve">  № СТО-830-ЕП-44-21            от«01» октября 2021 г.                                                                                              </t>
  </si>
  <si>
    <r>
      <t xml:space="preserve">Дог.№С3- 25к/2021 от 29.12.2020  на согласовании </t>
    </r>
    <r>
      <rPr>
        <sz val="9"/>
        <color rgb="FF7030A0"/>
        <rFont val="Arial"/>
        <family val="2"/>
        <charset val="204"/>
      </rPr>
      <t>без резерва322380</t>
    </r>
  </si>
  <si>
    <t>КС от 26.02 на 118300</t>
  </si>
  <si>
    <r>
      <t xml:space="preserve">Хуторецкая  Дог.№ СР17-2021 от 18.01.2021   </t>
    </r>
    <r>
      <rPr>
        <sz val="10"/>
        <color rgb="FFFF0000"/>
        <rFont val="Times New Roman"/>
        <family val="1"/>
        <charset val="204"/>
      </rPr>
      <t>на согласовании</t>
    </r>
  </si>
  <si>
    <r>
      <t>КС-на 50000 от 05.03.21</t>
    </r>
    <r>
      <rPr>
        <sz val="12"/>
        <color rgb="FFFF0000"/>
        <rFont val="Arial"/>
        <family val="2"/>
        <charset val="204"/>
      </rPr>
      <t xml:space="preserve"> кор.</t>
    </r>
  </si>
  <si>
    <r>
      <rPr>
        <sz val="9"/>
        <rFont val="Times New Roman"/>
        <family val="1"/>
        <charset val="204"/>
      </rPr>
      <t xml:space="preserve">№СТР 741-ЕП-44-21   от 15.09.2021  </t>
    </r>
    <r>
      <rPr>
        <sz val="9"/>
        <rFont val="Times New Roman"/>
        <family val="1"/>
        <charset val="204"/>
      </rPr>
      <t xml:space="preserve">    </t>
    </r>
    <r>
      <rPr>
        <sz val="9"/>
        <color rgb="FFFF0000"/>
        <rFont val="Times New Roman"/>
        <family val="1"/>
        <charset val="204"/>
      </rPr>
      <t xml:space="preserve">                                                 </t>
    </r>
    <r>
      <rPr>
        <b/>
        <sz val="9"/>
        <color rgb="FFFF0000"/>
        <rFont val="Times New Roman"/>
        <family val="1"/>
        <charset val="204"/>
      </rPr>
      <t>на согласовании</t>
    </r>
  </si>
  <si>
    <t>170000                       +96780                        +55600                  +85620</t>
  </si>
  <si>
    <t>08.06.2021                                                29.10.21                                                     10.11.21                                               14.03.21</t>
  </si>
  <si>
    <r>
      <t xml:space="preserve">Акт от </t>
    </r>
    <r>
      <rPr>
        <sz val="11"/>
        <rFont val="Times New Roman"/>
        <family val="1"/>
        <charset val="204"/>
      </rPr>
      <t>06.10.21</t>
    </r>
    <r>
      <rPr>
        <sz val="11"/>
        <rFont val="Times New Roman"/>
        <family val="1"/>
        <charset val="204"/>
      </rPr>
      <t xml:space="preserve"> на 385740</t>
    </r>
  </si>
  <si>
    <r>
      <t xml:space="preserve">№ СР2021/69 от 27.09.21 </t>
    </r>
    <r>
      <rPr>
        <sz val="14"/>
        <color rgb="FFFF0000"/>
        <rFont val="Times New Roman"/>
        <family val="1"/>
        <charset val="204"/>
      </rPr>
      <t>на согласовании</t>
    </r>
  </si>
  <si>
    <r>
      <t xml:space="preserve">Дог. № С-ТО6ОПЭД от  06.04.20    сб.                         </t>
    </r>
    <r>
      <rPr>
        <sz val="9"/>
        <color rgb="FFFF0000"/>
        <rFont val="Arial"/>
        <family val="2"/>
        <charset val="204"/>
      </rPr>
      <t xml:space="preserve">  на согласовании</t>
    </r>
  </si>
  <si>
    <t>СМР шахты лифта №3</t>
  </si>
  <si>
    <t>услуги по техническому обслуживанию лифтового оборудования
по адресу:  г. Москва,  ул. 8 Марта д. 10, стр. 5</t>
  </si>
  <si>
    <t>3700000              (в мес.308333,33)</t>
  </si>
  <si>
    <t>КС №1 от 17.12.2021</t>
  </si>
  <si>
    <t>перенесен</t>
  </si>
  <si>
    <r>
      <t xml:space="preserve">ООО "КЕСКО-М"                                         </t>
    </r>
    <r>
      <rPr>
        <b/>
        <sz val="11"/>
        <color rgb="FFFF0000"/>
        <rFont val="Times New Roman"/>
        <family val="1"/>
        <charset val="204"/>
      </rPr>
      <t>Дог.  скан</t>
    </r>
  </si>
  <si>
    <t>01.04.19-31.03.20  c пролан                гацией</t>
  </si>
  <si>
    <t xml:space="preserve">ежемес-но                </t>
  </si>
  <si>
    <t>01.01.2022 - 31.03.2022 г.</t>
  </si>
  <si>
    <t>57-22-ЕП-44-2 (1)  от 10.02.2022</t>
  </si>
  <si>
    <t xml:space="preserve">3666700 по ДС </t>
  </si>
  <si>
    <t xml:space="preserve">  от 25.01.19                               16.04.19                                            17/07/19</t>
  </si>
  <si>
    <t>294438                    +2176461</t>
  </si>
  <si>
    <t>от 23.10.18                          от 25.01.19</t>
  </si>
  <si>
    <t>763000                                 + 1565108,14                                +1830276,61                                 +939582,71</t>
  </si>
  <si>
    <t>Поставка 2-х лифтов</t>
  </si>
  <si>
    <t xml:space="preserve">Акт №175 от 06.10. </t>
  </si>
  <si>
    <t>03/21-12/21,              01/22-02/22</t>
  </si>
  <si>
    <t>№ 1221-ЕП-223-21Р от 30.12.2021</t>
  </si>
  <si>
    <t>499 932,00             (166644 в мес.)</t>
  </si>
  <si>
    <t>11/17 - 09/18,  11/18, 12/18                              01/19 - 12/19                                      01/21-03/21,  05/21-12/21</t>
  </si>
  <si>
    <t>по 14.05.2022</t>
  </si>
  <si>
    <t xml:space="preserve">Разработка проектно-сметной документации на замену 3 лифтов Московского Политеха по адресу г. Москва,  ул. Б.Семеновская, дом 38, ул. Прянишникова, д.2А»   </t>
  </si>
  <si>
    <t>Договор №280_840.ЕП/22 от 29.03.2022</t>
  </si>
  <si>
    <t>АО "НПК "НИИДАР" оборонзаказ</t>
  </si>
  <si>
    <t>77000 евро</t>
  </si>
  <si>
    <t>Болотов Андрей Юрьевич                                 МО гор.округ Одинцовский дер.Таганьково коттеджныйпос.Николино</t>
  </si>
  <si>
    <t>Ремонт лифтового оборудования (инв. №№ 07605, 07571, 3-119, 07226, 3-120, 07632, 3-121, 07547, 3-125, 3-124, 07759)</t>
  </si>
  <si>
    <t>демонтажные работы</t>
  </si>
  <si>
    <t>Эл.монтаж</t>
  </si>
  <si>
    <t>546000 аванс</t>
  </si>
  <si>
    <t>Дог.№2022/56-П от 01.03.2022</t>
  </si>
  <si>
    <t>Дог.№2022/57-П от 01.03.2022</t>
  </si>
  <si>
    <t xml:space="preserve">услуги по техническому обслуживанию лифтов на территории АО "Лужники" по адресам: г. Москва, ул. Лужники, д.24 ,стр.2, 3, 9, 15, 17, 18, 20, Новолужнецкий пр-д, д.15 </t>
  </si>
  <si>
    <t xml:space="preserve">услуги технического обслуживания лифтов и подъёмных платформ на территории АО "Лужники"по адресам: г. Москва, ул. Лужники, д.24, стр.4, 6, 7, 11, 38, Новолужнецкий пр-д, д.9, стр. 4, 5, 6 </t>
  </si>
  <si>
    <r>
      <rPr>
        <b/>
        <sz val="9"/>
        <rFont val="Times New Roman"/>
        <family val="1"/>
        <charset val="204"/>
      </rPr>
      <t>с 01.03.2022 г.</t>
    </r>
    <r>
      <rPr>
        <b/>
        <sz val="9"/>
        <color rgb="FFFF0000"/>
        <rFont val="Times New Roman"/>
        <family val="1"/>
        <charset val="204"/>
      </rPr>
      <t xml:space="preserve"> по 28.02.2025 г</t>
    </r>
  </si>
  <si>
    <t>01/22-03/22</t>
  </si>
  <si>
    <t>ООО                                       "Природа Инвест"</t>
  </si>
  <si>
    <t>№РЭУ-28 от 31.01.2022 (ПРОМСВЯЗЬБАНК)</t>
  </si>
  <si>
    <t>№ 9К/2022                                   от 02.02.2022                          Банк Филиал «Корпоративный» ПАО
«Совкомбанк» г. Москва</t>
  </si>
  <si>
    <r>
      <t xml:space="preserve">№ ТО-03/21 от 01.11.20   автоматич.продление       ДС №1 от 15.03.2021    </t>
    </r>
    <r>
      <rPr>
        <b/>
        <sz val="9"/>
        <color rgb="FFFF0000"/>
        <rFont val="Arial"/>
        <family val="2"/>
        <charset val="204"/>
      </rPr>
      <t>БАНК ЦЕНТРАЛЬНЫЙ (от них)</t>
    </r>
  </si>
  <si>
    <t xml:space="preserve">№  6.12-21/04.11-211221-5                               от 24.12.21 г.        ДС.№1 от 24.12.2021 (АО «АЛЬФА-БАНК») </t>
  </si>
  <si>
    <t>ФГУП «НТЦ «Атлас»  (закрыт)</t>
  </si>
  <si>
    <r>
      <t xml:space="preserve">ДС №1 от 29.12.12                               ДС №2 от 29.12.2017 </t>
    </r>
    <r>
      <rPr>
        <b/>
        <sz val="11"/>
        <rFont val="Times New Roman"/>
        <family val="1"/>
        <charset val="204"/>
      </rPr>
      <t xml:space="preserve"> (</t>
    </r>
    <r>
      <rPr>
        <b/>
        <sz val="11"/>
        <color rgb="FFFF0000"/>
        <rFont val="Times New Roman"/>
        <family val="1"/>
        <charset val="204"/>
      </rPr>
      <t>ДС№3 НА Альфа банк)</t>
    </r>
  </si>
  <si>
    <r>
      <rPr>
        <b/>
        <sz val="9"/>
        <rFont val="Times New Roman"/>
        <family val="1"/>
        <charset val="204"/>
      </rPr>
      <t>с 01.03.2022 г</t>
    </r>
    <r>
      <rPr>
        <b/>
        <sz val="9"/>
        <color rgb="FFFF0000"/>
        <rFont val="Times New Roman"/>
        <family val="1"/>
        <charset val="204"/>
      </rPr>
      <t>. по 28.02.2025 г (ПАО СБЕРБАНК )</t>
    </r>
  </si>
  <si>
    <r>
      <t xml:space="preserve">№17592 от01.11.21                     </t>
    </r>
    <r>
      <rPr>
        <b/>
        <sz val="12"/>
        <color rgb="FFFF0000"/>
        <rFont val="Arial"/>
        <family val="2"/>
        <charset val="204"/>
      </rPr>
      <t>(ДС№1 НА Альфа банк)</t>
    </r>
  </si>
  <si>
    <t>обследование состояния лифтовой шахты объекта культурного наследия «Доходное владение А.П. Нилуса - Х.Д. Спиридонова - С.В. Давыдовой (в основе - усадьба Салтыковых), XVIII - нач. ХХ вв. - Главный дом усадьбы (гостиница «Рояль»), XVIII в., 1810-е гг., 1891 г., арх. К.В. Трейман. Здесь останавливались химик Д.И. Менделеев, писатели Г.И. Успенский, В.А. Гиляровский», расположенного по адресу: г. Москва, ул. Мясницкая, д. 13, стр. 4</t>
  </si>
  <si>
    <t>от 15/04/2022</t>
  </si>
  <si>
    <t>Дог. № 6.12-21/01.53-140322-5           от 14.03.2022 г. ДС №1 от 15.04.2022</t>
  </si>
  <si>
    <t>175000                    +1101900                              +2408000</t>
  </si>
  <si>
    <t>от 23.10.2019                                от 17.12.2019 -                        от 26.10.2020</t>
  </si>
  <si>
    <t>с 01.01.2022 - 31.03.2022    ПАО СБЕРБАНК</t>
  </si>
  <si>
    <t>01/21                          05/21-11/21</t>
  </si>
  <si>
    <t>01/2022- 03/2022</t>
  </si>
  <si>
    <t>58-22-ЕП-44-2   от 15.02.2022</t>
  </si>
  <si>
    <t>№ 123-22-ЕП-44-2   от 25.03.2022</t>
  </si>
  <si>
    <t>№ 122-22-ЕП-44-2   от 25.03.2022</t>
  </si>
  <si>
    <t xml:space="preserve">услуги по  техническому обслуживанию 23  лифтов и диспетчерской связи </t>
  </si>
  <si>
    <t xml:space="preserve">услуги по эксплуатации лифтового оборудования 23  лифтов и диспетчерской связи </t>
  </si>
  <si>
    <t>599998,92           (199999,64 в мес.)</t>
  </si>
  <si>
    <t>599 610            (199870 в мес.)</t>
  </si>
  <si>
    <t xml:space="preserve">ООО "КРЕАТИВ"         </t>
  </si>
  <si>
    <t>01/22-04/22</t>
  </si>
  <si>
    <t>Политех</t>
  </si>
  <si>
    <t>Ремонт лифтового оборудования зав. №80719 по адресу ул.Б.Галушкина д.9</t>
  </si>
  <si>
    <t>№287_951.ЕП/22 от 11.05.2022</t>
  </si>
  <si>
    <t>Ремонт лифтового оборудования зав. №80077 по адресу ул.Б.Галушкина д.9</t>
  </si>
  <si>
    <r>
      <t>№ ТО 207 от 01.04.2019 c пролангацией ДС №1 от _____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( НА Альфа бан  -будет новый договор )</t>
    </r>
  </si>
  <si>
    <t>ООО "ЛАНИТ-Интеграция"</t>
  </si>
  <si>
    <t>50000           +100000</t>
  </si>
  <si>
    <t>26.04.2022                                         27.05.22</t>
  </si>
  <si>
    <t>Хуторецкая    - ремонтные работы лифта №809719</t>
  </si>
  <si>
    <t>15335190 (СМР 5900000) - на 5300000</t>
  </si>
  <si>
    <r>
      <t xml:space="preserve">11 646 995,68 </t>
    </r>
    <r>
      <rPr>
        <sz val="11"/>
        <rFont val="Arial"/>
        <family val="2"/>
        <charset val="204"/>
      </rPr>
      <t xml:space="preserve">                        в мес.           970 582,97</t>
    </r>
  </si>
  <si>
    <t>02.21-12.21</t>
  </si>
  <si>
    <t>01/21-05/21, 08/21 - остальные сканы</t>
  </si>
  <si>
    <r>
      <t xml:space="preserve">Акционерное общество «Олимпийский комплекс </t>
    </r>
    <r>
      <rPr>
        <b/>
        <sz val="12"/>
        <rFont val="Times New Roman"/>
        <family val="1"/>
        <charset val="204"/>
      </rPr>
      <t>Лужники</t>
    </r>
    <r>
      <rPr>
        <b/>
        <sz val="12"/>
        <rFont val="Times New Roman"/>
        <family val="1"/>
        <charset val="204"/>
      </rPr>
      <t>»,  НЕТ НАШЕЙ ПЕЧАТИ</t>
    </r>
  </si>
  <si>
    <t>03/21-09/21, 12/21, 01/22, 02/22</t>
  </si>
  <si>
    <r>
      <t xml:space="preserve">                                                   </t>
    </r>
    <r>
      <rPr>
        <sz val="9"/>
        <color rgb="FF008000"/>
        <rFont val="Arial"/>
        <family val="2"/>
        <charset val="204"/>
      </rPr>
      <t xml:space="preserve">  01/20- 09/20                       01/21-06/21</t>
    </r>
  </si>
  <si>
    <r>
      <t xml:space="preserve">ЗАО «ТОРГОВЫЙ ДОМ «ПЕРОВСКИЙ»                                   </t>
    </r>
    <r>
      <rPr>
        <b/>
        <sz val="9"/>
        <color rgb="FFFF0000"/>
        <rFont val="Arial"/>
        <family val="2"/>
        <charset val="204"/>
      </rPr>
      <t xml:space="preserve">НЕТ ДОГОВОРА И ДС     </t>
    </r>
    <r>
      <rPr>
        <b/>
        <sz val="9"/>
        <rFont val="Arial"/>
        <family val="2"/>
        <charset val="204"/>
      </rPr>
      <t xml:space="preserve">  </t>
    </r>
    <r>
      <rPr>
        <b/>
        <sz val="9"/>
        <rFont val="Arial"/>
        <family val="2"/>
        <charset val="204"/>
      </rPr>
      <t xml:space="preserve">расторгнут                 </t>
    </r>
    <r>
      <rPr>
        <b/>
        <sz val="9"/>
        <color rgb="FFFF0000"/>
        <rFont val="Arial"/>
        <family val="2"/>
        <charset val="204"/>
      </rPr>
      <t xml:space="preserve">                                  </t>
    </r>
  </si>
  <si>
    <r>
      <t xml:space="preserve">ООО «Техносервис»    </t>
    </r>
    <r>
      <rPr>
        <b/>
        <sz val="12"/>
        <color rgb="FFFF0000"/>
        <rFont val="Times New Roman"/>
        <family val="1"/>
        <charset val="204"/>
      </rPr>
      <t>(не платит) попросить скан Договора - нет подписанного</t>
    </r>
  </si>
  <si>
    <t>Доп.работы</t>
  </si>
  <si>
    <t>от 14.04.22</t>
  </si>
  <si>
    <t xml:space="preserve"> «Московский государственный психолого-педагогический университет» (ФГБОУ ВО МГППУ) - Куличкин</t>
  </si>
  <si>
    <t xml:space="preserve">Замена электродвигателя главного привода лифта в здании ФГБОУ ВО МГППУ по адресу: г. Москва, ул. Сретенка, дом 29 </t>
  </si>
  <si>
    <t xml:space="preserve">№221/19 от 10.09.19             </t>
  </si>
  <si>
    <t>Отв.Волков</t>
  </si>
  <si>
    <t>150500 евро</t>
  </si>
  <si>
    <t>Поставка алюминиевые конструкции светопрозрачные противопожарные для ограждненияч внутренней лифтовой шахты</t>
  </si>
  <si>
    <t xml:space="preserve">от 02.02.2022 </t>
  </si>
  <si>
    <t>Ремонт лифтов по сч. 264 от 06.12.2021</t>
  </si>
  <si>
    <t>103626,64 от 06.12.2021</t>
  </si>
  <si>
    <t>200000 в мес.</t>
  </si>
  <si>
    <t>бух.акт  от 25.05.22</t>
  </si>
  <si>
    <t>№326_858.ЕП/22 от 16.05.2022</t>
  </si>
  <si>
    <t xml:space="preserve">от 18.11.21                        от 20.12.21       </t>
  </si>
  <si>
    <t>Договор №251/22   от 12.04.2022</t>
  </si>
  <si>
    <t>110250 евро                   1240000 руб.  (130000ПД                    +1100000СМР)</t>
  </si>
  <si>
    <t>Поставка и монтаж лифта г.п.1000кг - Содимас</t>
  </si>
  <si>
    <r>
      <rPr>
        <b/>
        <sz val="9"/>
        <rFont val="Arial"/>
        <family val="2"/>
        <charset val="204"/>
      </rPr>
      <t xml:space="preserve">ТО-190/17                         от 30.06.17  </t>
    </r>
    <r>
      <rPr>
        <b/>
        <sz val="8"/>
        <rFont val="Arial"/>
        <family val="2"/>
        <charset val="204"/>
      </rPr>
      <t xml:space="preserve">                                   ДС №1 от 29.12.17 </t>
    </r>
    <r>
      <rPr>
        <b/>
        <sz val="8"/>
        <color rgb="FFFF0000"/>
        <rFont val="Arial"/>
        <family val="2"/>
        <charset val="204"/>
      </rPr>
      <t xml:space="preserve"> (ДС№1 НА Альфа банк)                                  соглашение о расторжении Договора от 30.06.22</t>
    </r>
  </si>
  <si>
    <t xml:space="preserve">Работы по ремонту трех лифтов - лифт зав. № 147734 по адресу: г.Москва, ул. Большой Трехсвятительский пер. д.3; лифт зав. №11524 по адресу: г.Москва, ул.Большая Переяславская, д.50, стр.1; лифт зав.№133659 по адресу: г.Москва, ул. Старая Басманная, д.21/4, стр.5 </t>
  </si>
  <si>
    <r>
      <t>01.02.22-</t>
    </r>
    <r>
      <rPr>
        <b/>
        <sz val="10"/>
        <color rgb="FFFF0000"/>
        <rFont val="Times New Roman"/>
        <family val="1"/>
        <charset val="204"/>
      </rPr>
      <t>31.01.23</t>
    </r>
  </si>
  <si>
    <r>
      <t xml:space="preserve">с 01.04.2022 до </t>
    </r>
    <r>
      <rPr>
        <b/>
        <sz val="10"/>
        <color rgb="FFFF0000"/>
        <rFont val="Times New Roman"/>
        <family val="1"/>
        <charset val="204"/>
      </rPr>
      <t>30.06.2022 г.</t>
    </r>
  </si>
  <si>
    <t>28636824 (СМР- 15804024)</t>
  </si>
  <si>
    <r>
      <t xml:space="preserve">03/16-06/16,08/16,-10/16-12/16,          01/17- 12/17     02/18- 06/18, 08/18-12/18       01/19 - 12/19              01.20-11/2020       </t>
    </r>
    <r>
      <rPr>
        <sz val="9"/>
        <color rgb="FFFF0000"/>
        <rFont val="Arial"/>
        <family val="2"/>
        <charset val="204"/>
      </rPr>
      <t xml:space="preserve"> 12/2020                      01/21-05/21, 07/21-11/21</t>
    </r>
  </si>
  <si>
    <t>суб.</t>
  </si>
  <si>
    <r>
      <t xml:space="preserve">8677000 (в мес. 242259,30) оплата по </t>
    </r>
    <r>
      <rPr>
        <b/>
        <sz val="9"/>
        <color rgb="FFFF0000"/>
        <rFont val="Times New Roman"/>
        <family val="1"/>
        <charset val="204"/>
      </rPr>
      <t xml:space="preserve">245426,09 </t>
    </r>
  </si>
  <si>
    <r>
      <t>5200000                            144444,44 -3года (</t>
    </r>
    <r>
      <rPr>
        <b/>
        <sz val="9"/>
        <color rgb="FFFF0000"/>
        <rFont val="Times New Roman"/>
        <family val="1"/>
        <charset val="204"/>
      </rPr>
      <t>оплата по147080,28</t>
    </r>
    <r>
      <rPr>
        <b/>
        <sz val="9"/>
        <rFont val="Times New Roman"/>
        <family val="1"/>
        <charset val="204"/>
      </rPr>
      <t>)</t>
    </r>
  </si>
  <si>
    <t>задел по оплате</t>
  </si>
  <si>
    <t>288600                                        +210000                                                             +234510                                  +168900                              +300000                                      +87000                                               +178900                                      +100000                                     +91400                      +180000                                    +111200                                     +60940                                  +117800                               +204200                                   +125685                                        +130000                                               +110000                                          +112300                                   +72430                                          +166700                               +166700                                 +277800</t>
  </si>
  <si>
    <r>
      <t xml:space="preserve">15.02.21                                      25/02/2021   </t>
    </r>
    <r>
      <rPr>
        <sz val="9"/>
        <color rgb="FFFFC000"/>
        <rFont val="Arial"/>
        <family val="2"/>
        <charset val="204"/>
      </rPr>
      <t xml:space="preserve"> </t>
    </r>
    <r>
      <rPr>
        <sz val="9"/>
        <color rgb="FFFF0000"/>
        <rFont val="Arial"/>
        <family val="2"/>
        <charset val="204"/>
      </rPr>
      <t xml:space="preserve">                      </t>
    </r>
    <r>
      <rPr>
        <sz val="9"/>
        <color rgb="FF7030A0"/>
        <rFont val="Arial"/>
        <family val="2"/>
        <charset val="204"/>
      </rPr>
      <t xml:space="preserve">                                                                          </t>
    </r>
    <r>
      <rPr>
        <sz val="9"/>
        <color rgb="FFFF0000"/>
        <rFont val="Arial"/>
        <family val="2"/>
        <charset val="204"/>
      </rPr>
      <t>от 06.04.21</t>
    </r>
    <r>
      <rPr>
        <sz val="9"/>
        <color rgb="FF7030A0"/>
        <rFont val="Arial"/>
        <family val="2"/>
        <charset val="204"/>
      </rPr>
      <t xml:space="preserve"> </t>
    </r>
    <r>
      <rPr>
        <sz val="9"/>
        <color rgb="FFFF0000"/>
        <rFont val="Arial"/>
        <family val="2"/>
        <charset val="204"/>
      </rPr>
      <t xml:space="preserve">                                             02.06.21                                           12.07.21                                       04.08.21                                         11.08.21                                                         13.08.21                                                          19.08.21                                                    19.08.21                                                    26.08.21                                                           16.09.21                                                   21/09/21                                                 13.10.21                                                        20/10/21                                                  08/12/21                                                                                      </t>
    </r>
    <r>
      <rPr>
        <sz val="9"/>
        <color rgb="FF7030A0"/>
        <rFont val="Arial"/>
        <family val="2"/>
        <charset val="204"/>
      </rPr>
      <t xml:space="preserve"> 13.01.22                                                     14.01.22                                            07.02.22                                      </t>
    </r>
    <r>
      <rPr>
        <sz val="9"/>
        <color rgb="FFC00000"/>
        <rFont val="Arial"/>
        <family val="2"/>
        <charset val="204"/>
      </rPr>
      <t xml:space="preserve">   10.03.22                                     11.03.22                                      22.03.22</t>
    </r>
  </si>
  <si>
    <r>
      <rPr>
        <b/>
        <sz val="12"/>
        <rFont val="Arial"/>
        <family val="2"/>
        <charset val="204"/>
      </rPr>
      <t xml:space="preserve">Хуторецкая       </t>
    </r>
    <r>
      <rPr>
        <b/>
        <sz val="9"/>
        <rFont val="Arial"/>
        <family val="2"/>
        <charset val="204"/>
      </rPr>
      <t xml:space="preserve">                                    </t>
    </r>
    <r>
      <rPr>
        <b/>
        <sz val="9"/>
        <color rgb="FFFF0000"/>
        <rFont val="Arial"/>
        <family val="2"/>
        <charset val="204"/>
      </rPr>
      <t xml:space="preserve">          </t>
    </r>
  </si>
  <si>
    <r>
      <t xml:space="preserve">акты за </t>
    </r>
    <r>
      <rPr>
        <sz val="9"/>
        <rFont val="Arial"/>
        <family val="2"/>
        <charset val="204"/>
      </rPr>
      <t xml:space="preserve">2022 г.                                     </t>
    </r>
    <r>
      <rPr>
        <sz val="9"/>
        <rFont val="Arial"/>
        <family val="2"/>
        <charset val="204"/>
      </rPr>
      <t>110000                                          +112300                                   +72430                                          +166700                               +166700                                 +277800 -95657</t>
    </r>
  </si>
  <si>
    <r>
      <rPr>
        <b/>
        <sz val="10"/>
        <rFont val="Times New Roman"/>
        <family val="1"/>
        <charset val="204"/>
      </rPr>
      <t xml:space="preserve">Дог. № С- ТО 208 от  28.12.20 </t>
    </r>
    <r>
      <rPr>
        <sz val="10"/>
        <color rgb="FFFF0000"/>
        <rFont val="Times New Roman"/>
        <family val="1"/>
        <charset val="204"/>
      </rPr>
      <t xml:space="preserve"> </t>
    </r>
    <r>
      <rPr>
        <sz val="10"/>
        <color rgb="FFFF0000"/>
        <rFont val="Times New Roman"/>
        <family val="1"/>
        <charset val="204"/>
      </rPr>
      <t xml:space="preserve">                     </t>
    </r>
  </si>
  <si>
    <t>от 01.07.2022 -КС-3 и 12 актов КС-2</t>
  </si>
  <si>
    <t>Разработка проектной документации на размещение подъемного устройства г.п 630 кг на 4 остановки в металлокаркасную шахту с панорамным остеклением и работ по монтажу металлокаркасной шахты на готовом основании по адресу                 г. Москва,  ул. 3-Я Ямского Поля , дом 2  корп.13</t>
  </si>
  <si>
    <t>220000-ПД                      3 396 000 - СМР                     720000 ПН                   55400 евро</t>
  </si>
  <si>
    <t>Разработка проектной документации на размещение подъемного устройства г.п 100 кг на 4 остановки в металлокаркасную шахту  и работ по монтажу подъемного устройства по адресу                 г. Москва,  ул. 3-Я Ямского Поля , дом 2  корп.13</t>
  </si>
  <si>
    <t>50000-ПД                               440000 М иПН                  21615 евро</t>
  </si>
  <si>
    <t>Дог.№2022/82-С от 08.08.2022</t>
  </si>
  <si>
    <t>11 кал.дн.</t>
  </si>
  <si>
    <t>Работы по аварийномуремонту лифтов рег."135246 135247 на территории АО "Лужники"по адресу: г. Москва, ул. Лужники, д.24, стр.9</t>
  </si>
  <si>
    <t>Хуторецкая    - ремонтные работы лифта 80077 по адресу ул.Б.Галушкина д.9</t>
  </si>
  <si>
    <t>от 04.08.2022</t>
  </si>
  <si>
    <t>04/22-06/22</t>
  </si>
  <si>
    <t>№ 365-22-Е-44-2   от 01.07.2022</t>
  </si>
  <si>
    <r>
      <t xml:space="preserve">с 01.07.2022 до </t>
    </r>
    <r>
      <rPr>
        <b/>
        <sz val="10"/>
        <color rgb="FFFF0000"/>
        <rFont val="Times New Roman"/>
        <family val="1"/>
        <charset val="204"/>
      </rPr>
      <t>30.09.2022 г.</t>
    </r>
  </si>
  <si>
    <t>№ 362-22-Е-44-2   от 01.07.2022</t>
  </si>
  <si>
    <t>смр -шахта 2</t>
  </si>
  <si>
    <t>11578000 (СМР -4035500) ПД-140000</t>
  </si>
  <si>
    <r>
      <t>Сделать акты за 2022 г.  Оплата на 2022г - 810273 4-е акта 244072*4-810273=</t>
    </r>
    <r>
      <rPr>
        <sz val="11"/>
        <color rgb="FFFF0000"/>
        <rFont val="Arial"/>
        <family val="2"/>
        <charset val="204"/>
      </rPr>
      <t>166015</t>
    </r>
    <r>
      <rPr>
        <sz val="11"/>
        <color rgb="FFFF0000"/>
        <rFont val="Arial"/>
        <family val="2"/>
        <charset val="204"/>
      </rPr>
      <t xml:space="preserve"> резерв к оплате</t>
    </r>
  </si>
  <si>
    <t>с2 242 .21</t>
  </si>
  <si>
    <r>
      <rPr>
        <sz val="9"/>
        <rFont val="Arial"/>
        <family val="2"/>
        <charset val="204"/>
      </rPr>
      <t xml:space="preserve">150855                               +133500                                 +15800                       +25500    </t>
    </r>
    <r>
      <rPr>
        <sz val="9"/>
        <color rgb="FF00B050"/>
        <rFont val="Arial"/>
        <family val="2"/>
        <charset val="204"/>
      </rPr>
      <t xml:space="preserve">                                   +222200</t>
    </r>
  </si>
  <si>
    <r>
      <rPr>
        <sz val="9"/>
        <rFont val="Arial"/>
        <family val="2"/>
        <charset val="204"/>
      </rPr>
      <t xml:space="preserve">от 20.10.21                                                   от 25.11.21                                              от 29.11.21                               от 17.01.22   </t>
    </r>
    <r>
      <rPr>
        <sz val="9"/>
        <color rgb="FFFF0000"/>
        <rFont val="Arial"/>
        <family val="2"/>
        <charset val="204"/>
      </rPr>
      <t xml:space="preserve">                              </t>
    </r>
    <r>
      <rPr>
        <sz val="9"/>
        <color rgb="FF00B050"/>
        <rFont val="Arial"/>
        <family val="2"/>
        <charset val="204"/>
      </rPr>
      <t xml:space="preserve"> от 20.01.22</t>
    </r>
  </si>
  <si>
    <r>
      <rPr>
        <sz val="9"/>
        <rFont val="Arial"/>
        <family val="2"/>
        <charset val="204"/>
      </rPr>
      <t>193500                                                +136500                                       +10000</t>
    </r>
    <r>
      <rPr>
        <sz val="9"/>
        <color rgb="FFFF0000"/>
        <rFont val="Arial"/>
        <family val="2"/>
        <charset val="204"/>
      </rPr>
      <t xml:space="preserve">                   </t>
    </r>
    <r>
      <rPr>
        <sz val="9"/>
        <color rgb="FF00B050"/>
        <rFont val="Arial"/>
        <family val="2"/>
        <charset val="204"/>
      </rPr>
      <t xml:space="preserve">  +123900</t>
    </r>
  </si>
  <si>
    <r>
      <t xml:space="preserve">от </t>
    </r>
    <r>
      <rPr>
        <sz val="9"/>
        <rFont val="Arial"/>
        <family val="2"/>
        <charset val="204"/>
      </rPr>
      <t xml:space="preserve">11.11.2021                                          от 29.11.21                              от 02.02.22  </t>
    </r>
    <r>
      <rPr>
        <sz val="9"/>
        <color rgb="FF7030A0"/>
        <rFont val="Arial"/>
        <family val="2"/>
        <charset val="204"/>
      </rPr>
      <t xml:space="preserve">                          </t>
    </r>
    <r>
      <rPr>
        <sz val="9"/>
        <color rgb="FF00B050"/>
        <rFont val="Arial"/>
        <family val="2"/>
        <charset val="204"/>
      </rPr>
      <t xml:space="preserve"> 02.02.22</t>
    </r>
  </si>
  <si>
    <t xml:space="preserve">проектирование, заказ-поставка на объект монтажа лифтового оборудования, строительство наружной  лифтовой шахты, изготовление и монтаж на готовое основание наружной металлокаркасной шахты для лифта, установка лифта, проведение монтажных и пусконаладочных работ лифтового оборудования, проведение полного технического освидетельствования лифтового оборудования , участие в комиссии по сдаче лифта инспектору Ростехнадзора, в  здании по адресу: г. Москва, Смоленская площадь, дом 6, строение 3 </t>
  </si>
  <si>
    <t xml:space="preserve">27 недель </t>
  </si>
  <si>
    <t>144000-ПД                               2286000 СМР и ПН                  43165 долл</t>
  </si>
  <si>
    <t>36600 долл.</t>
  </si>
  <si>
    <t xml:space="preserve">  по 170000                          - 2 мес.</t>
  </si>
  <si>
    <t>перенести на дог. №217 С/2-19 от 12.09.19 (СОДИМАС)</t>
  </si>
  <si>
    <r>
      <t xml:space="preserve">Дог.С287_951.ЕП/22 от 12.05.22 </t>
    </r>
    <r>
      <rPr>
        <b/>
        <sz val="9"/>
        <color rgb="FFFF0000"/>
        <rFont val="Arial"/>
        <family val="2"/>
        <charset val="204"/>
      </rPr>
      <t>на согласовании</t>
    </r>
  </si>
  <si>
    <r>
      <rPr>
        <sz val="9"/>
        <color rgb="FF002060"/>
        <rFont val="Arial"/>
        <family val="2"/>
        <charset val="204"/>
      </rPr>
      <t xml:space="preserve">170000                       +96780                        +55600   </t>
    </r>
    <r>
      <rPr>
        <sz val="9"/>
        <color rgb="FFFF0000"/>
        <rFont val="Arial"/>
        <family val="2"/>
        <charset val="204"/>
      </rPr>
      <t xml:space="preserve">               +85620                   +85620</t>
    </r>
  </si>
  <si>
    <r>
      <rPr>
        <sz val="9"/>
        <color rgb="FF002060"/>
        <rFont val="Arial"/>
        <family val="2"/>
        <charset val="204"/>
      </rPr>
      <t xml:space="preserve">08.06.2021                                                29.10.21                                                     10.11.21        </t>
    </r>
    <r>
      <rPr>
        <sz val="9"/>
        <color rgb="FF7030A0"/>
        <rFont val="Arial"/>
        <family val="2"/>
        <charset val="204"/>
      </rPr>
      <t xml:space="preserve">                       </t>
    </r>
    <r>
      <rPr>
        <sz val="9"/>
        <color rgb="FFFF0000"/>
        <rFont val="Arial"/>
        <family val="2"/>
        <charset val="204"/>
      </rPr>
      <t>17.01.22                              14.03.22</t>
    </r>
  </si>
  <si>
    <r>
      <rPr>
        <sz val="9"/>
        <color rgb="FF002060"/>
        <rFont val="Arial"/>
        <family val="2"/>
        <charset val="204"/>
      </rPr>
      <t>34000 -за 2021 г.</t>
    </r>
    <r>
      <rPr>
        <sz val="9"/>
        <color rgb="FFFF0000"/>
        <rFont val="Arial"/>
        <family val="2"/>
        <charset val="204"/>
      </rPr>
      <t xml:space="preserve"> </t>
    </r>
    <r>
      <rPr>
        <b/>
        <sz val="10"/>
        <color rgb="FFFF0000"/>
        <rFont val="Arial"/>
        <family val="2"/>
        <charset val="204"/>
      </rPr>
      <t>42810 - за 2022 г. два мес.</t>
    </r>
  </si>
  <si>
    <t xml:space="preserve"> 18.10.21                              02.02.2022</t>
  </si>
  <si>
    <t>16370*6+9820</t>
  </si>
  <si>
    <r>
      <t>16370*6+9820-(75300                            +88400) -</t>
    </r>
    <r>
      <rPr>
        <sz val="9"/>
        <color rgb="FF00B050"/>
        <rFont val="Arial"/>
        <family val="2"/>
        <charset val="204"/>
      </rPr>
      <t>остаток 55660 перенести на Дог.№;СТО-6.12-21/04.11</t>
    </r>
  </si>
  <si>
    <t>18.10.21                                   02.02.22</t>
  </si>
  <si>
    <r>
      <rPr>
        <b/>
        <sz val="12"/>
        <rFont val="Times New Roman"/>
        <family val="1"/>
        <charset val="204"/>
      </rPr>
      <t>Хуторецкая</t>
    </r>
    <r>
      <rPr>
        <sz val="11"/>
        <rFont val="Times New Roman"/>
        <family val="1"/>
        <charset val="204"/>
      </rPr>
      <t xml:space="preserve">   </t>
    </r>
    <r>
      <rPr>
        <sz val="11"/>
        <color rgb="FFFF0000"/>
        <rFont val="Times New Roman"/>
        <family val="1"/>
        <charset val="204"/>
      </rPr>
      <t xml:space="preserve">              </t>
    </r>
    <r>
      <rPr>
        <sz val="9"/>
        <rFont val="Times New Roman"/>
        <family val="1"/>
        <charset val="204"/>
      </rPr>
      <t>№СТО-212/20 от 29.12.20</t>
    </r>
    <r>
      <rPr>
        <sz val="9"/>
        <color rgb="FFFF0000"/>
        <rFont val="Times New Roman"/>
        <family val="1"/>
        <charset val="204"/>
      </rPr>
      <t xml:space="preserve">                                          на согласовании         </t>
    </r>
  </si>
  <si>
    <t>346800</t>
  </si>
  <si>
    <t>от 16.08.2022</t>
  </si>
  <si>
    <t>358000,00*6                  +361510,00</t>
  </si>
  <si>
    <r>
      <t xml:space="preserve"> </t>
    </r>
    <r>
      <rPr>
        <sz val="9"/>
        <color rgb="FF0070C0"/>
        <rFont val="Arial"/>
        <family val="2"/>
        <charset val="204"/>
      </rPr>
      <t xml:space="preserve">от 18.03.21   </t>
    </r>
    <r>
      <rPr>
        <sz val="9"/>
        <color rgb="FFFF0000"/>
        <rFont val="Arial"/>
        <family val="2"/>
        <charset val="204"/>
      </rPr>
      <t xml:space="preserve">                         </t>
    </r>
    <r>
      <rPr>
        <sz val="9"/>
        <color rgb="FF7030A0"/>
        <rFont val="Arial"/>
        <family val="2"/>
        <charset val="204"/>
      </rPr>
      <t xml:space="preserve">   от 06.04.21  </t>
    </r>
    <r>
      <rPr>
        <sz val="9"/>
        <color rgb="FFFF0000"/>
        <rFont val="Arial"/>
        <family val="2"/>
        <charset val="204"/>
      </rPr>
      <t xml:space="preserve">                               </t>
    </r>
    <r>
      <rPr>
        <sz val="9"/>
        <color rgb="FF7030A0"/>
        <rFont val="Arial"/>
        <family val="2"/>
        <charset val="204"/>
      </rPr>
      <t xml:space="preserve">   от 12.04.21      </t>
    </r>
    <r>
      <rPr>
        <sz val="9"/>
        <color rgb="FFFF0000"/>
        <rFont val="Arial"/>
        <family val="2"/>
        <charset val="204"/>
      </rPr>
      <t xml:space="preserve">                               </t>
    </r>
    <r>
      <rPr>
        <sz val="9"/>
        <color rgb="FF7030A0"/>
        <rFont val="Arial"/>
        <family val="2"/>
        <charset val="204"/>
      </rPr>
      <t xml:space="preserve">  от 15.04.21</t>
    </r>
    <r>
      <rPr>
        <sz val="9"/>
        <color rgb="FFFF0000"/>
        <rFont val="Arial"/>
        <family val="2"/>
        <charset val="204"/>
      </rPr>
      <t xml:space="preserve">                                                    02.06.21                                             </t>
    </r>
    <r>
      <rPr>
        <sz val="9"/>
        <color rgb="FF7030A0"/>
        <rFont val="Arial"/>
        <family val="2"/>
        <charset val="204"/>
      </rPr>
      <t>от 03.06.21                                  от 17.06.21                                                                                                                                                                      от 21.06.21          от 21.06.21                                                   от 12.07.21                                                 от 12.07.21                                   от  15.07.21                                            от 19.07.21</t>
    </r>
  </si>
  <si>
    <t xml:space="preserve"> =180000                                  +420000                                        +98910                                     +100000                                            +220000                                 +33400                                         +92500                                                                     +188900                                          +22300                                                                  +92000                            +336700                                                +333400                                               +33340</t>
  </si>
  <si>
    <r>
      <t xml:space="preserve">№ ТО-6/2/21 от 01.02.2021  </t>
    </r>
    <r>
      <rPr>
        <b/>
        <sz val="11"/>
        <color rgb="FFFF0000"/>
        <rFont val="Arial"/>
        <family val="2"/>
        <charset val="204"/>
      </rPr>
      <t xml:space="preserve">согласовано - </t>
    </r>
  </si>
  <si>
    <r>
      <t xml:space="preserve">№ СТО-6/1/21 от 01.02.2021  кор. Дата договора на </t>
    </r>
    <r>
      <rPr>
        <sz val="12"/>
        <color rgb="FFFF0000"/>
        <rFont val="Arial"/>
        <family val="2"/>
        <charset val="204"/>
      </rPr>
      <t>согласовании</t>
    </r>
  </si>
  <si>
    <t>аварийный ремонт пассажирсих лифтов рег.№123606 по адресу: Медынская 8 корп.3</t>
  </si>
  <si>
    <r>
      <t xml:space="preserve">№СТР 05/1/21  от 14.05.21      </t>
    </r>
    <r>
      <rPr>
        <sz val="10"/>
        <color rgb="FFFF0000"/>
        <rFont val="Times New Roman"/>
        <family val="1"/>
        <charset val="204"/>
      </rPr>
      <t>согласовано</t>
    </r>
  </si>
  <si>
    <t xml:space="preserve">  от 18.02.2022</t>
  </si>
  <si>
    <t>от 23.03.2022</t>
  </si>
  <si>
    <t>Заменв частотного преобразователя привода дверей кабины лифта</t>
  </si>
  <si>
    <t>48500 от 30.06.22</t>
  </si>
  <si>
    <t>СМР И монтаж</t>
  </si>
  <si>
    <t>Работы по внесению изменений в ПД по Объекту "ФГБУ культуры "Всеросийское музейное объединение "Государственная третьяковская галерея" строительство музейного комплекса Кадашевская набережная вл.№10 12/2 М Толмачевский пер. вл. №1-3 5-7</t>
  </si>
  <si>
    <t>от 25.07.2022</t>
  </si>
  <si>
    <t>122300 от 24.05.22</t>
  </si>
  <si>
    <r>
      <t xml:space="preserve">№СХ 326_858.ЕП/22 от 16.05.2022 </t>
    </r>
    <r>
      <rPr>
        <sz val="9"/>
        <color rgb="FFFF0000"/>
        <rFont val="Arial"/>
        <family val="2"/>
        <charset val="204"/>
      </rPr>
      <t>на согласовании</t>
    </r>
  </si>
  <si>
    <r>
      <rPr>
        <sz val="9"/>
        <rFont val="Arial"/>
        <family val="2"/>
        <charset val="204"/>
      </rPr>
      <t>Дог.№С3- 25к/2021 от 29.12.2020 ДС №1 от 29.12.21</t>
    </r>
    <r>
      <rPr>
        <sz val="9"/>
        <color rgb="FFFF0000"/>
        <rFont val="Arial"/>
        <family val="2"/>
        <charset val="204"/>
      </rPr>
      <t xml:space="preserve"> согласован </t>
    </r>
  </si>
  <si>
    <t>Хуторецкая -</t>
  </si>
  <si>
    <t>Акты КС на 266109                 от 24.02.22</t>
  </si>
  <si>
    <r>
      <t>650500 от 08.11.2019         7</t>
    </r>
    <r>
      <rPr>
        <b/>
        <sz val="11"/>
        <rFont val="Times New Roman"/>
        <family val="1"/>
        <charset val="204"/>
      </rPr>
      <t>63600</t>
    </r>
    <r>
      <rPr>
        <b/>
        <sz val="11"/>
        <rFont val="Times New Roman"/>
        <family val="1"/>
        <charset val="204"/>
      </rPr>
      <t xml:space="preserve"> от 14.01.2022     </t>
    </r>
  </si>
  <si>
    <t>120000 от 31.07.2020</t>
  </si>
  <si>
    <t xml:space="preserve">  г.Москва МКАД 44 </t>
  </si>
  <si>
    <r>
      <t xml:space="preserve">Техническое обслуживание  лифта   г/п           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г.Москва, ул. Казакова, д.8 стр.6  </t>
    </r>
  </si>
  <si>
    <t>Техническое обслуживание  лифта   г/п 400 кг "SUPERDOMUS" IGV Италия                                                                                                     г.Москва, ул. Казакова, д.8 стр.2</t>
  </si>
  <si>
    <t>Дог.№ТО-05/22 от 26 августа 2022</t>
  </si>
  <si>
    <t>8000 в мес.</t>
  </si>
  <si>
    <r>
      <rPr>
        <b/>
        <sz val="10"/>
        <rFont val="Times New Roman"/>
        <family val="1"/>
        <charset val="204"/>
      </rPr>
      <t xml:space="preserve">Дог. № С- ТО 208 от  28.12.20 </t>
    </r>
    <r>
      <rPr>
        <sz val="10"/>
        <color rgb="FFFF0000"/>
        <rFont val="Times New Roman"/>
        <family val="1"/>
        <charset val="204"/>
      </rPr>
      <t xml:space="preserve"> </t>
    </r>
    <r>
      <rPr>
        <sz val="10"/>
        <color rgb="FFFF0000"/>
        <rFont val="Times New Roman"/>
        <family val="1"/>
        <charset val="204"/>
      </rPr>
      <t xml:space="preserve">                      На согласовании -закрыты 11 мес. На </t>
    </r>
    <r>
      <rPr>
        <b/>
        <sz val="12"/>
        <color rgb="FFFF0000"/>
        <rFont val="Times New Roman"/>
        <family val="1"/>
        <charset val="204"/>
      </rPr>
      <t>2684792</t>
    </r>
  </si>
  <si>
    <t>остаток 166015-доплатить и закрыть 4-мя месяцами за 2022 г.</t>
  </si>
  <si>
    <t>ООО "Персей-Юг"</t>
  </si>
  <si>
    <t>Замена тяговых канатов в лифтовом обороудовании по адресу: г.Москва ул.Россошанская д.6</t>
  </si>
  <si>
    <t>Дог.№ ТР-01/22 от 16.08.2022</t>
  </si>
  <si>
    <t>15 раб.ддн.</t>
  </si>
  <si>
    <t xml:space="preserve">                 05.09.22</t>
  </si>
  <si>
    <t xml:space="preserve">Поставка, монтаж и пуско-наладка дистанционного диспетчерского контроля за работой 25 лифтов на объектах территории АО "Лужники" </t>
  </si>
  <si>
    <t xml:space="preserve">90 кал. дней </t>
  </si>
  <si>
    <t>01/21-03/21, 05/21, 06/21,  08/21- 12/21                                01/22, 08/22</t>
  </si>
  <si>
    <t>03/22, 06/22, 08/22</t>
  </si>
  <si>
    <t>ООО "Персей ЮГ"</t>
  </si>
  <si>
    <t>192500 от  02.09.2022</t>
  </si>
  <si>
    <t>счет №160 от 09.08.2022</t>
  </si>
  <si>
    <t>Замена тяговых канатов на лифте  по адресу: г. Москва, ул.Россашанская   дом.6</t>
  </si>
  <si>
    <t>Акты КС №1 на 790000 от 08.02.22                         КС №2 на 304180 от 22.04.2022</t>
  </si>
  <si>
    <t>Ремонтные работы на лифтах «THYSSENKRUPP» зав. №298418288, №298418289 по адресу: г. Москва, ул. Лужники д.24 стр.4</t>
  </si>
  <si>
    <t>122000 от 09.09.2022</t>
  </si>
  <si>
    <t>от18.07.2022 - акты у Т.А.</t>
  </si>
  <si>
    <t xml:space="preserve">Дог. №260/22 от 22.09.2022 </t>
  </si>
  <si>
    <t>ООО "СОДИМАС"</t>
  </si>
  <si>
    <t>Работы по аварийномуремонту лифтов пассажирских лифтов "THYSSENKRUPP" с зав. №№ 298418288, 298418289, 298418290, 298418293, 298418292  по адресу г. Москва, ул. Лужники, д. 24, стр. 4</t>
  </si>
  <si>
    <t>30 кал.дн.</t>
  </si>
  <si>
    <t>1564950,04</t>
  </si>
  <si>
    <t>ИП В.Ф.Каппунин       Дог. №СРК -320П от 24.08.2022</t>
  </si>
  <si>
    <t>Демонтаж лифтового оборудования</t>
  </si>
  <si>
    <t>Ремонтные работы приямка</t>
  </si>
  <si>
    <t>Разборка железобетонных фундаментов</t>
  </si>
  <si>
    <t>Ремонт пола</t>
  </si>
  <si>
    <t>Монтаж лестницы</t>
  </si>
  <si>
    <t>Окрашивание стен</t>
  </si>
  <si>
    <t>Монтаж металлоконструкций шахты лифта</t>
  </si>
  <si>
    <t>Установка закладных деталей</t>
  </si>
  <si>
    <t>Устройство обрамлений проемов шахтных дверей лифтов</t>
  </si>
  <si>
    <t xml:space="preserve">     к-т</t>
  </si>
  <si>
    <t>Очистка вручную поверхности стен шахты лифта от пыли и грязи</t>
  </si>
  <si>
    <t>Окрашивание стен водоэмульсионной краской</t>
  </si>
  <si>
    <t xml:space="preserve">Ремонтные работы машинного помещения </t>
  </si>
  <si>
    <t>Демонтаж  люка</t>
  </si>
  <si>
    <t>Монтаж  люка и двери</t>
  </si>
  <si>
    <t>Монтаж металлоконструкций постаментов под технологическое оборудование</t>
  </si>
  <si>
    <t>Ремонт полов (устройство цементной стяжки, железнение)</t>
  </si>
  <si>
    <t>Окраска  металлоконструкций</t>
  </si>
  <si>
    <t>Окраска стен и потолков</t>
  </si>
  <si>
    <t>Освещение шахты и машинного помещения</t>
  </si>
  <si>
    <t>Прокладка кабелей</t>
  </si>
  <si>
    <t>Установка светильников</t>
  </si>
  <si>
    <t>Замена кабеля электропитания лифтов</t>
  </si>
  <si>
    <t>Прокладка кабеля</t>
  </si>
  <si>
    <t>Установка преобразователя</t>
  </si>
  <si>
    <t>Установка рубильника</t>
  </si>
  <si>
    <t>Сети связи</t>
  </si>
  <si>
    <t>296 000,00</t>
  </si>
  <si>
    <t>Монтажные работы сетей связи</t>
  </si>
  <si>
    <t>Система кондиционирования</t>
  </si>
  <si>
    <t>Установка системы кондиционирования</t>
  </si>
  <si>
    <t>Монтажные и электромонтажные работы лифтового оборудования</t>
  </si>
  <si>
    <t xml:space="preserve">АО «Олимпийский комплекс Лужники»                    </t>
  </si>
  <si>
    <t xml:space="preserve">разработка рабочей документации (включая проекты установки 6 лифтов)  на объекте, расположенном по адресу: г. Москва, «Образовательный (Управленческий) кластер» инновационного научно-технологического центра (ИНТЦ) МГУ «Воробьевы горы», </t>
  </si>
  <si>
    <t>ог.№ 256/22                       от 25.08.2022</t>
  </si>
  <si>
    <t>от 23.09.22</t>
  </si>
  <si>
    <t>к-т</t>
  </si>
  <si>
    <t>Очистка вручную поверхности  стен шахты от пыли, грязи, cтарой краски</t>
  </si>
  <si>
    <t>Демонтаж  люка и двери</t>
  </si>
  <si>
    <t>ООО "Инженерно-экспертная служба"</t>
  </si>
  <si>
    <t>Оценка соответствия лифтов при вводе в эксплуатацию</t>
  </si>
  <si>
    <t>75000 от 23.09.22</t>
  </si>
  <si>
    <t>Акт КС-2.1  от 31.05.22  на  1140000              Акт КС-2.2 от 02.09.22 на 595000</t>
  </si>
  <si>
    <t>Cаядян</t>
  </si>
  <si>
    <t>Прокладка сетей связи</t>
  </si>
  <si>
    <t>Замена кабеля электропитания</t>
  </si>
  <si>
    <t>Электромонтажные работы лифтового оборудования</t>
  </si>
  <si>
    <t>Акты №1</t>
  </si>
  <si>
    <t>Акты №2</t>
  </si>
  <si>
    <t>от 15.03</t>
  </si>
  <si>
    <t>от 16.05</t>
  </si>
  <si>
    <t>Акт №3</t>
  </si>
  <si>
    <t>Акт №4</t>
  </si>
  <si>
    <t>КС</t>
  </si>
  <si>
    <t>сметы</t>
  </si>
  <si>
    <t>лифт105243</t>
  </si>
  <si>
    <t>лифт 61334</t>
  </si>
  <si>
    <t>лифт 61336</t>
  </si>
  <si>
    <t>КС.2 №1от 15.03</t>
  </si>
  <si>
    <t>КС.2 №2от 12.05</t>
  </si>
  <si>
    <t>КС-2.1 от 12.05 2022 - 2001896                         КС-2.2 от 12.05 2022 - 1933904</t>
  </si>
  <si>
    <t>Акт КС от 02.07.21                      на 291000</t>
  </si>
  <si>
    <t>250600                 от 22.05.22</t>
  </si>
  <si>
    <t>КС 2/1 от 12/05</t>
  </si>
  <si>
    <t>3100000                               (210000-ПД, 2890000 -СМР)</t>
  </si>
  <si>
    <t>27 860 000 ,00 -оборудование               3500000 -СМР и Пусконал.</t>
  </si>
  <si>
    <t xml:space="preserve">24 недели-обор-е и + 20 раб.дн. На СМР </t>
  </si>
  <si>
    <t>1190000 ав. +</t>
  </si>
  <si>
    <t>Техническое обслуживание  лифтов по адресу: г. Москва, ул. Сретенка, д. 29</t>
  </si>
  <si>
    <t>Контракт №ЛФТ_22/23 от 07.10.2022</t>
  </si>
  <si>
    <r>
      <t>07.10.2022-</t>
    </r>
    <r>
      <rPr>
        <sz val="10"/>
        <color rgb="FFFF0000"/>
        <rFont val="Times New Roman"/>
        <family val="1"/>
        <charset val="204"/>
      </rPr>
      <t>06.10.2023</t>
    </r>
  </si>
  <si>
    <t>№ ТО 207 от 20.09.2022</t>
  </si>
  <si>
    <t xml:space="preserve">400000                                   +350000                           </t>
  </si>
  <si>
    <t xml:space="preserve">от 04.10.2022                              от 19.10.2022                                              </t>
  </si>
  <si>
    <r>
      <rPr>
        <b/>
        <sz val="11"/>
        <rFont val="Times New Roman"/>
        <family val="1"/>
        <charset val="204"/>
      </rPr>
      <t>Миносян</t>
    </r>
    <r>
      <rPr>
        <sz val="11"/>
        <rFont val="Times New Roman"/>
        <family val="1"/>
        <charset val="204"/>
      </rPr>
      <t xml:space="preserve">      Дог.№ СМ 052/2022 от 01.07.2022</t>
    </r>
  </si>
  <si>
    <t>07/22-09/22</t>
  </si>
  <si>
    <t>№ 487-22-Е-44-2   от 27.09.2022</t>
  </si>
  <si>
    <t>№ 486-22-Е-44-2   от 27.09.2022</t>
  </si>
  <si>
    <t>599 999,40           (199999-80 в мес.)</t>
  </si>
  <si>
    <t xml:space="preserve">услуги по эксплуатации лифтового оборудования 28  лифтов и диспетчерской связи </t>
  </si>
  <si>
    <t xml:space="preserve">услуги по  техническому обслуживанию 28  лифтов и диспетчерской связи </t>
  </si>
  <si>
    <r>
      <rPr>
        <b/>
        <sz val="10"/>
        <rFont val="Times New Roman"/>
        <family val="1"/>
        <charset val="204"/>
      </rPr>
      <t xml:space="preserve">20.09.2022-19.09.2023 </t>
    </r>
    <r>
      <rPr>
        <b/>
        <sz val="10"/>
        <color rgb="FFFF0000"/>
        <rFont val="Times New Roman"/>
        <family val="1"/>
        <charset val="204"/>
      </rPr>
      <t xml:space="preserve"> c пролан                гацией</t>
    </r>
  </si>
  <si>
    <t>350000 в мес-ц</t>
  </si>
  <si>
    <t>Договор №254/22   от 19.04.2022</t>
  </si>
  <si>
    <t xml:space="preserve">Поставка и монтаж малого грузового лифта  г.п.100кг </t>
  </si>
  <si>
    <t>19250 евро                   390000 руб.  (М и ПН)</t>
  </si>
  <si>
    <t>нет договора</t>
  </si>
  <si>
    <t>250000                                    +140000                            + 10000                            +70000</t>
  </si>
  <si>
    <t>111120                               +222300                                +103200                           +340000                              +326700</t>
  </si>
  <si>
    <t>от 10.10.22                   от 18.10.22                                        от 20.10.22                               от 26.10.22                                    от 27.10.22</t>
  </si>
  <si>
    <t>лифт MORIS (Итоалия) г.Москва, п.Десеновское, пгт Ватутинки</t>
  </si>
  <si>
    <t>Поставка лифта MORIS (Итоалия) г.Москва, п.Десеновское, пгт Ватутинки</t>
  </si>
  <si>
    <t>46000 евро</t>
  </si>
  <si>
    <r>
      <t xml:space="preserve">Клейменов - </t>
    </r>
    <r>
      <rPr>
        <b/>
        <sz val="11"/>
        <rFont val="Times New Roman"/>
        <family val="1"/>
        <charset val="204"/>
      </rPr>
      <t>выполнено</t>
    </r>
  </si>
  <si>
    <t>Поставка лифта малого грузового фирмы BKG (Германия)</t>
  </si>
  <si>
    <t>14370 вевро</t>
  </si>
  <si>
    <t xml:space="preserve">Lift MRL (Греция) панорамный  пассажирский  электрический без МП 630 кг на 4  остановки </t>
  </si>
  <si>
    <t>16602 евро</t>
  </si>
  <si>
    <t xml:space="preserve">20.09.2022 </t>
  </si>
  <si>
    <t xml:space="preserve">ООО «Юг Девелопмент» </t>
  </si>
  <si>
    <t>07.06.2022                                                                 18.07.22                             от 27.07.22                      от 29.07.22                         06.09.2022                                      07.09.2022                                         09.09.2022                                               27.09.2022                                     30/09/22</t>
  </si>
  <si>
    <t>Прайм Технолоджен</t>
  </si>
  <si>
    <t xml:space="preserve"> замена (4 лифта -5,6,7,8) лифтов  по адресу: Г. Москва, Рубцовская набережная 2/18. </t>
  </si>
  <si>
    <t>03.06.2022                           11.07.22                               14.07.22                                    27.07.22                              28.07.22                             28.07.2022</t>
  </si>
  <si>
    <t xml:space="preserve">345000                             +154000                          +415000                          +480000                    +320000                                    +380000     </t>
  </si>
  <si>
    <t>ЗАДЕЛ на 2022</t>
  </si>
  <si>
    <t>140000                           +185000                                       +127800                                      +180000                                            +333400                                       +220000</t>
  </si>
  <si>
    <t>в мес. 8 330,00</t>
  </si>
  <si>
    <r>
      <t xml:space="preserve">с 01.09.2022    (с 11.2022)         </t>
    </r>
    <r>
      <rPr>
        <sz val="10"/>
        <color rgb="FFFF0000"/>
        <rFont val="Times New Roman"/>
        <family val="1"/>
        <charset val="204"/>
      </rPr>
      <t>с пролангацией</t>
    </r>
  </si>
  <si>
    <t xml:space="preserve">05/22, 06/22 -закрыт </t>
  </si>
  <si>
    <r>
      <rPr>
        <b/>
        <sz val="11"/>
        <rFont val="Times New Roman"/>
        <family val="1"/>
        <charset val="204"/>
      </rPr>
      <t xml:space="preserve">ООО "СОДИМАС ГРУПП" </t>
    </r>
    <r>
      <rPr>
        <sz val="11"/>
        <rFont val="Times New Roman"/>
        <family val="1"/>
        <charset val="204"/>
      </rPr>
      <t xml:space="preserve">                    Дог.№47/П-2021 от 30.09.21</t>
    </r>
  </si>
  <si>
    <r>
      <rPr>
        <b/>
        <sz val="11"/>
        <rFont val="Times New Roman"/>
        <family val="1"/>
        <charset val="204"/>
      </rPr>
      <t>Миносян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№ С 242 /21  от 16.09.2021</t>
    </r>
    <r>
      <rPr>
        <sz val="11"/>
        <color rgb="FFFF0000"/>
        <rFont val="Times New Roman"/>
        <family val="1"/>
        <charset val="204"/>
      </rPr>
      <t xml:space="preserve">  на согласовании</t>
    </r>
  </si>
  <si>
    <r>
      <t xml:space="preserve">№217C/2-19 от 12.09.19   сбербанк </t>
    </r>
    <r>
      <rPr>
        <b/>
        <sz val="11"/>
        <rFont val="Times New Roman"/>
        <family val="1"/>
        <charset val="204"/>
      </rPr>
      <t xml:space="preserve">ДС №1 от     30.11.2021   </t>
    </r>
    <r>
      <rPr>
        <sz val="11"/>
        <rFont val="Times New Roman"/>
        <family val="1"/>
        <charset val="204"/>
      </rPr>
      <t xml:space="preserve">              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 xml:space="preserve"> договор кор. согласован</t>
    </r>
  </si>
  <si>
    <r>
      <rPr>
        <b/>
        <sz val="11"/>
        <rFont val="Times New Roman"/>
        <family val="1"/>
        <charset val="204"/>
      </rPr>
      <t>ООО "АКС Групп"</t>
    </r>
    <r>
      <rPr>
        <sz val="11"/>
        <rFont val="Times New Roman"/>
        <family val="1"/>
        <charset val="204"/>
      </rPr>
      <t xml:space="preserve"> Дог.№ 117/ТДМ от 17.12.2021 ДС №1 от18.03.2022</t>
    </r>
  </si>
  <si>
    <r>
      <t xml:space="preserve">№217 С/19                          от 22.05.19               Альфа    </t>
    </r>
    <r>
      <rPr>
        <sz val="11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 xml:space="preserve"> подписан</t>
    </r>
  </si>
  <si>
    <r>
      <t xml:space="preserve">№212/19 от  15.09.2019 </t>
    </r>
    <r>
      <rPr>
        <b/>
        <sz val="11"/>
        <color rgb="FFFF0000"/>
        <rFont val="Times New Roman"/>
        <family val="1"/>
        <charset val="204"/>
      </rPr>
      <t xml:space="preserve">  сбербанк - уточнить   подписан</t>
    </r>
  </si>
  <si>
    <r>
      <t xml:space="preserve">С2006/1/19   от 24.06.19    </t>
    </r>
    <r>
      <rPr>
        <sz val="11"/>
        <color rgb="FFFF0000"/>
        <rFont val="Times New Roman"/>
        <family val="1"/>
        <charset val="204"/>
      </rPr>
      <t xml:space="preserve">сбербанк с  МОСКОМ. С ВТБ                   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</si>
  <si>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№2006/1-19 от 27.06.19 промсявязьбанк с ВТБ  </t>
    </r>
    <r>
      <rPr>
        <sz val="11"/>
        <color rgb="FFFF0000"/>
        <rFont val="Times New Roman"/>
        <family val="1"/>
        <charset val="204"/>
      </rPr>
      <t>подписан</t>
    </r>
  </si>
  <si>
    <r>
      <t xml:space="preserve">№49-рв/2008 </t>
    </r>
    <r>
      <rPr>
        <b/>
        <sz val="11"/>
        <color rgb="FFFF0000"/>
        <rFont val="Times New Roman"/>
        <family val="1"/>
        <charset val="204"/>
      </rPr>
      <t>дог. Цесссии</t>
    </r>
  </si>
  <si>
    <r>
      <t xml:space="preserve">ООО«ПетростудиоРекордс» (с "Предприятием ТОР") </t>
    </r>
    <r>
      <rPr>
        <sz val="11"/>
        <rFont val="Times New Roman"/>
        <family val="1"/>
        <charset val="204"/>
      </rPr>
      <t>ул.Саянская д.11</t>
    </r>
  </si>
  <si>
    <r>
      <t xml:space="preserve">2-а проекта на установку лифта </t>
    </r>
    <r>
      <rPr>
        <b/>
        <sz val="11"/>
        <rFont val="Times New Roman"/>
        <family val="1"/>
        <charset val="204"/>
      </rPr>
      <t>и поставка</t>
    </r>
    <r>
      <rPr>
        <b/>
        <sz val="11"/>
        <rFont val="Times New Roman"/>
        <family val="1"/>
        <charset val="204"/>
      </rPr>
      <t xml:space="preserve"> </t>
    </r>
  </si>
  <si>
    <r>
      <t>ООО "Предприятие ТОР" (Cубподр-й дог.)</t>
    </r>
    <r>
      <rPr>
        <sz val="11"/>
        <rFont val="Times New Roman"/>
        <family val="1"/>
        <charset val="204"/>
      </rPr>
      <t xml:space="preserve">                                                           г.Москва, Стремянный пер., д.д 14, 36, </t>
    </r>
  </si>
  <si>
    <r>
      <t>№ 07.1-08 от 15.01.2009 г.</t>
    </r>
    <r>
      <rPr>
        <b/>
        <sz val="11"/>
        <rFont val="Times New Roman"/>
        <family val="1"/>
        <charset val="204"/>
      </rPr>
      <t xml:space="preserve"> (</t>
    </r>
    <r>
      <rPr>
        <sz val="11"/>
        <rFont val="Times New Roman"/>
        <family val="1"/>
        <charset val="204"/>
      </rPr>
      <t>было №163/1-08      от 15.11.08</t>
    </r>
    <r>
      <rPr>
        <b/>
        <sz val="11"/>
        <rFont val="Times New Roman"/>
        <family val="1"/>
        <charset val="204"/>
      </rPr>
      <t>)</t>
    </r>
  </si>
  <si>
    <r>
      <t xml:space="preserve">СТРОЙПРОЕКТ ХХI </t>
    </r>
    <r>
      <rPr>
        <b/>
        <sz val="11"/>
        <rFont val="Times New Roman"/>
        <family val="1"/>
        <charset val="204"/>
      </rPr>
      <t>(дем.лифта)</t>
    </r>
  </si>
  <si>
    <r>
      <t xml:space="preserve"> </t>
    </r>
    <r>
      <rPr>
        <b/>
        <sz val="11"/>
        <rFont val="Times New Roman"/>
        <family val="1"/>
        <charset val="204"/>
      </rPr>
      <t xml:space="preserve">"ЭКОТОРГ"   </t>
    </r>
    <r>
      <rPr>
        <b/>
        <sz val="11"/>
        <rFont val="Times New Roman"/>
        <family val="1"/>
        <charset val="204"/>
      </rPr>
      <t xml:space="preserve">                                   дем. Лифта</t>
    </r>
  </si>
  <si>
    <r>
      <t>ФГУП "НИИССУ"</t>
    </r>
    <r>
      <rPr>
        <sz val="11"/>
        <rFont val="Times New Roman"/>
        <family val="1"/>
        <charset val="204"/>
      </rPr>
      <t xml:space="preserve"> Старокалужское ш.д58</t>
    </r>
  </si>
  <si>
    <r>
      <t xml:space="preserve"> ФГУП «НИИССУ»,   </t>
    </r>
    <r>
      <rPr>
        <sz val="11"/>
        <rFont val="Times New Roman"/>
        <family val="1"/>
        <charset val="204"/>
      </rPr>
      <t xml:space="preserve">                                                                       Уступка прав (цессия)</t>
    </r>
  </si>
  <si>
    <r>
      <t>"</t>
    </r>
    <r>
      <rPr>
        <b/>
        <sz val="11"/>
        <rFont val="Times New Roman"/>
        <family val="1"/>
        <charset val="204"/>
      </rPr>
      <t>ЭКОТОРГ"</t>
    </r>
    <r>
      <rPr>
        <b/>
        <sz val="11"/>
        <rFont val="Times New Roman"/>
        <family val="1"/>
        <charset val="204"/>
      </rPr>
      <t xml:space="preserve">                                                   отделочные работы</t>
    </r>
  </si>
  <si>
    <r>
      <t xml:space="preserve">" Трансэнергомаш"   </t>
    </r>
    <r>
      <rPr>
        <b/>
        <sz val="11"/>
        <rFont val="Times New Roman"/>
        <family val="1"/>
        <charset val="204"/>
      </rPr>
      <t xml:space="preserve">                            -пуско-нал. Раб.</t>
    </r>
  </si>
  <si>
    <r>
      <t>Винтек-2001</t>
    </r>
    <r>
      <rPr>
        <b/>
        <sz val="11"/>
        <color rgb="FF99CC00"/>
        <rFont val="Times New Roman"/>
        <family val="1"/>
        <charset val="204"/>
      </rPr>
      <t xml:space="preserve"> </t>
    </r>
    <r>
      <rPr>
        <sz val="11"/>
        <color rgb="FF99CC00"/>
        <rFont val="Times New Roman"/>
        <family val="1"/>
        <charset val="204"/>
      </rPr>
      <t>(Предпр.ТОР)</t>
    </r>
  </si>
  <si>
    <r>
      <t xml:space="preserve">ООО«Универсам Чертаново» </t>
    </r>
    <r>
      <rPr>
        <sz val="11"/>
        <rFont val="Times New Roman"/>
        <family val="1"/>
        <charset val="204"/>
      </rPr>
      <t xml:space="preserve">                                                       (Предпр. ТОР)</t>
    </r>
  </si>
  <si>
    <r>
      <t xml:space="preserve">КИТ  Финанс Инвестиционный банк (ОАО) </t>
    </r>
    <r>
      <rPr>
        <sz val="11"/>
        <rFont val="Times New Roman"/>
        <family val="1"/>
        <charset val="204"/>
      </rPr>
      <t xml:space="preserve">                                       г. Москва,  1-я Тверская-Ямская, д.7 </t>
    </r>
  </si>
  <si>
    <r>
      <t xml:space="preserve">ОАО "Метрогипротранс"  </t>
    </r>
    <r>
      <rPr>
        <sz val="11"/>
        <rFont val="Times New Roman"/>
        <family val="1"/>
        <charset val="204"/>
      </rPr>
      <t xml:space="preserve">                  СОГЛАШЕНИЕ О ПЕРЕМЕНЕ ЛИЦ В ОБЯЗАТЕЛЬСТВЕ - </t>
    </r>
    <r>
      <rPr>
        <b/>
        <sz val="11"/>
        <color rgb="FFFF0000"/>
        <rFont val="Times New Roman"/>
        <family val="1"/>
        <charset val="204"/>
      </rPr>
      <t>нет оригинала согл + дог.</t>
    </r>
  </si>
  <si>
    <r>
      <t xml:space="preserve"> ООО «Винтек-2001»                                                      </t>
    </r>
    <r>
      <rPr>
        <sz val="11"/>
        <rFont val="Times New Roman"/>
        <family val="1"/>
        <charset val="204"/>
      </rPr>
      <t xml:space="preserve"> (на  «Предприятие ТОР»)</t>
    </r>
  </si>
  <si>
    <r>
      <t xml:space="preserve"> </t>
    </r>
    <r>
      <rPr>
        <b/>
        <sz val="11"/>
        <color rgb="FFFF0000"/>
        <rFont val="Times New Roman"/>
        <family val="1"/>
        <charset val="204"/>
      </rPr>
      <t>дог. Цесссии</t>
    </r>
  </si>
  <si>
    <r>
      <t xml:space="preserve">ООО "Тексис" -  проверить вып-е </t>
    </r>
    <r>
      <rPr>
        <sz val="11"/>
        <rFont val="Times New Roman"/>
        <family val="1"/>
        <charset val="204"/>
      </rPr>
      <t xml:space="preserve">                                             г. Москва, ул. Свободы, д. 29</t>
    </r>
  </si>
  <si>
    <r>
      <t>167812,5</t>
    </r>
    <r>
      <rPr>
        <b/>
        <sz val="11"/>
        <color rgb="FFFF0000"/>
        <rFont val="Times New Roman"/>
        <family val="1"/>
        <charset val="204"/>
      </rPr>
      <t xml:space="preserve"> (150000+100000+119375 - ?)</t>
    </r>
  </si>
  <si>
    <r>
      <t xml:space="preserve">"Трансэнергомаш"                               </t>
    </r>
    <r>
      <rPr>
        <sz val="11"/>
        <rFont val="Times New Roman"/>
        <family val="1"/>
        <charset val="204"/>
      </rPr>
      <t xml:space="preserve"> - пусконаладочные работы</t>
    </r>
  </si>
  <si>
    <r>
      <t xml:space="preserve"> "Техностройресурс"                                </t>
    </r>
    <r>
      <rPr>
        <sz val="11"/>
        <rFont val="Times New Roman"/>
        <family val="1"/>
        <charset val="204"/>
      </rPr>
      <t>- пусконаладочные работы</t>
    </r>
  </si>
  <si>
    <r>
      <t xml:space="preserve"> « Легион»</t>
    </r>
    <r>
      <rPr>
        <b/>
        <sz val="11"/>
        <rFont val="Times New Roman"/>
        <family val="1"/>
        <charset val="204"/>
      </rPr>
      <t xml:space="preserve">                                                                комплекс работ по изготовлению металлических конструкций шахты лифта </t>
    </r>
  </si>
  <si>
    <r>
      <t xml:space="preserve"> "Авангард"</t>
    </r>
    <r>
      <rPr>
        <b/>
        <sz val="11"/>
        <rFont val="Times New Roman"/>
        <family val="1"/>
        <charset val="204"/>
      </rPr>
      <t xml:space="preserve">                                       Устройство лифтовой шахты</t>
    </r>
  </si>
  <si>
    <r>
      <t>ООО "ТИССЕНКРУПП ЭЛЕВАТОР"</t>
    </r>
    <r>
      <rPr>
        <sz val="11"/>
        <rFont val="Times New Roman"/>
        <family val="1"/>
        <charset val="204"/>
      </rPr>
      <t xml:space="preserve">                                              -(г.Казань)</t>
    </r>
  </si>
  <si>
    <r>
      <t xml:space="preserve">№006 /26.1-09 от 21.07.09   </t>
    </r>
    <r>
      <rPr>
        <b/>
        <sz val="11"/>
        <color rgb="FFFF0000"/>
        <rFont val="Times New Roman"/>
        <family val="1"/>
        <charset val="204"/>
      </rPr>
      <t xml:space="preserve"> есть</t>
    </r>
  </si>
  <si>
    <r>
      <t>"Техноэстетика"</t>
    </r>
    <r>
      <rPr>
        <b/>
        <sz val="11"/>
        <rFont val="Times New Roman"/>
        <family val="1"/>
        <charset val="204"/>
      </rPr>
      <t xml:space="preserve">                                      -  поставка комплекта деталей металлоконструкций шахты ПУЛ-026</t>
    </r>
  </si>
  <si>
    <r>
      <t xml:space="preserve"> "Техностройресурс"</t>
    </r>
    <r>
      <rPr>
        <b/>
        <sz val="11"/>
        <rFont val="Times New Roman"/>
        <family val="1"/>
        <charset val="204"/>
      </rPr>
      <t xml:space="preserve">                               Устройство лифтовой шахты</t>
    </r>
  </si>
  <si>
    <r>
      <t>"Арсенал-проект"</t>
    </r>
    <r>
      <rPr>
        <b/>
        <sz val="11"/>
        <rFont val="Times New Roman"/>
        <family val="1"/>
        <charset val="204"/>
      </rPr>
      <t xml:space="preserve">                                      Остекление лифтовой шахты</t>
    </r>
  </si>
  <si>
    <r>
      <t>ОАО "Метрогипротранс"</t>
    </r>
    <r>
      <rPr>
        <sz val="11"/>
        <rFont val="Times New Roman"/>
        <family val="1"/>
        <charset val="204"/>
      </rPr>
      <t xml:space="preserve">                                          г. Москва, ул.Бахрушина, д.36/14, cтр.1</t>
    </r>
  </si>
  <si>
    <r>
      <t xml:space="preserve">" Трансэнергомаш"                                          - </t>
    </r>
    <r>
      <rPr>
        <b/>
        <sz val="11"/>
        <rFont val="Times New Roman"/>
        <family val="1"/>
        <charset val="204"/>
      </rPr>
      <t>проект 4-х лифтов</t>
    </r>
  </si>
  <si>
    <r>
      <t xml:space="preserve">№597-06 </t>
    </r>
    <r>
      <rPr>
        <sz val="11"/>
        <rFont val="Times New Roman"/>
        <family val="1"/>
        <charset val="204"/>
      </rPr>
      <t>от 28.07.06 согл. О перемене лиц от  10.12.08</t>
    </r>
  </si>
  <si>
    <r>
      <t xml:space="preserve">"Трансэнергомаш "                                         - </t>
    </r>
    <r>
      <rPr>
        <b/>
        <sz val="11"/>
        <rFont val="Times New Roman"/>
        <family val="1"/>
        <charset val="204"/>
      </rPr>
      <t>монтаж м/к шахты</t>
    </r>
  </si>
  <si>
    <r>
      <t xml:space="preserve"> "ТиссенКрупп Элеватор" </t>
    </r>
    <r>
      <rPr>
        <b/>
        <sz val="11"/>
        <rFont val="Times New Roman"/>
        <family val="1"/>
        <charset val="204"/>
      </rPr>
      <t xml:space="preserve">поставка 2-х лифтов </t>
    </r>
  </si>
  <si>
    <r>
      <t>ООО "ДИВВ"</t>
    </r>
    <r>
      <rPr>
        <sz val="11"/>
        <rFont val="Times New Roman"/>
        <family val="1"/>
        <charset val="204"/>
      </rPr>
      <t xml:space="preserve">                                                       г. Москва ул. Алтуфьевское  шоссе дом 44 </t>
    </r>
  </si>
  <si>
    <r>
      <t xml:space="preserve">МРНЦ РАМН                                                      </t>
    </r>
    <r>
      <rPr>
        <sz val="11"/>
        <rFont val="Times New Roman"/>
        <family val="1"/>
        <charset val="204"/>
      </rPr>
      <t xml:space="preserve">  Калужская обл. г. Обнинск, </t>
    </r>
  </si>
  <si>
    <r>
      <t xml:space="preserve">ООО «ОПТОТОРГ 2000» </t>
    </r>
    <r>
      <rPr>
        <sz val="11"/>
        <rFont val="Times New Roman"/>
        <family val="1"/>
        <charset val="204"/>
      </rPr>
      <t xml:space="preserve">                                   г.Москва, ул.Нарвская, Д.№23 </t>
    </r>
  </si>
  <si>
    <r>
      <t>ООО «КЕСКО-М»</t>
    </r>
    <r>
      <rPr>
        <sz val="11"/>
        <rFont val="Times New Roman"/>
        <family val="1"/>
        <charset val="204"/>
      </rPr>
      <t xml:space="preserve">                                               г. Москва, Малый Новопесковский переулок, д. 8 </t>
    </r>
  </si>
  <si>
    <r>
      <t xml:space="preserve">150000 +226000+       100000         </t>
    </r>
    <r>
      <rPr>
        <b/>
        <sz val="11"/>
        <color rgb="FFFF0000"/>
        <rFont val="Times New Roman"/>
        <family val="1"/>
        <charset val="204"/>
      </rPr>
      <t>+40000</t>
    </r>
  </si>
  <si>
    <r>
      <t xml:space="preserve">128000+3035271,60+1629900           </t>
    </r>
    <r>
      <rPr>
        <b/>
        <sz val="11"/>
        <color rgb="FFFF0000"/>
        <rFont val="Times New Roman"/>
        <family val="1"/>
        <charset val="204"/>
      </rPr>
      <t>+489000</t>
    </r>
  </si>
  <si>
    <r>
      <t>"Трансэнергомаш"</t>
    </r>
    <r>
      <rPr>
        <b/>
        <sz val="11"/>
        <rFont val="Times New Roman"/>
        <family val="1"/>
        <charset val="204"/>
      </rPr>
      <t xml:space="preserve">                                          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>- монтаж м/к шахты и проектн. работы</t>
    </r>
  </si>
  <si>
    <r>
      <t>"Рокстер"</t>
    </r>
    <r>
      <rPr>
        <b/>
        <sz val="11"/>
        <rFont val="Times New Roman"/>
        <family val="1"/>
        <charset val="204"/>
      </rPr>
      <t xml:space="preserve">                                                         Устройство лифтовой шахты - монтаж металлоконструкций шахты</t>
    </r>
  </si>
  <si>
    <r>
      <t>ООО "Сфера"</t>
    </r>
    <r>
      <rPr>
        <sz val="11"/>
        <rFont val="Times New Roman"/>
        <family val="1"/>
        <charset val="204"/>
      </rPr>
      <t xml:space="preserve">                                      г.Москва, ул. Лобачевского, д.52.</t>
    </r>
  </si>
  <si>
    <r>
      <t>ООО "Сфера"</t>
    </r>
    <r>
      <rPr>
        <sz val="11"/>
        <rFont val="Times New Roman"/>
        <family val="1"/>
        <charset val="204"/>
      </rPr>
      <t xml:space="preserve">                                           г.Москва, ул. Лобачевского, д.52.</t>
    </r>
  </si>
  <si>
    <r>
      <t xml:space="preserve">Акт приема-передачи оборудования от 26.08.10 накл-я сч.ф.- </t>
    </r>
    <r>
      <rPr>
        <b/>
        <sz val="11"/>
        <color rgb="FFFF0000"/>
        <rFont val="Times New Roman"/>
        <family val="1"/>
        <charset val="204"/>
      </rPr>
      <t>переданы Заказчику 6.09.10</t>
    </r>
  </si>
  <si>
    <r>
      <t xml:space="preserve">ООО "Сфера" </t>
    </r>
    <r>
      <rPr>
        <sz val="11"/>
        <rFont val="Times New Roman"/>
        <family val="1"/>
        <charset val="204"/>
      </rPr>
      <t xml:space="preserve">                                          г.Москва, ул. Лобачевского, д.52.</t>
    </r>
  </si>
  <si>
    <r>
      <t xml:space="preserve">Дог. 31-09 от 12.04.10                             </t>
    </r>
    <r>
      <rPr>
        <b/>
        <sz val="11"/>
        <rFont val="Times New Roman"/>
        <family val="1"/>
        <charset val="204"/>
      </rPr>
      <t>ДС №1 от 01.12.10</t>
    </r>
  </si>
  <si>
    <r>
      <t xml:space="preserve">1157229,46               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+140529,21</t>
    </r>
  </si>
  <si>
    <r>
      <t xml:space="preserve">"Трастстройсервис"                               </t>
    </r>
    <r>
      <rPr>
        <sz val="11"/>
        <rFont val="Times New Roman"/>
        <family val="1"/>
        <charset val="204"/>
      </rPr>
      <t xml:space="preserve"> -монтаж лифтовой шахты для пассажирского лифта «JADE 400»  г/п  630 кг </t>
    </r>
  </si>
  <si>
    <r>
      <t xml:space="preserve">ООО "ИНТЭС"                                    </t>
    </r>
    <r>
      <rPr>
        <sz val="11"/>
        <rFont val="Times New Roman"/>
        <family val="1"/>
        <charset val="204"/>
      </rPr>
      <t>МО Ногинский р-н д. Молзино</t>
    </r>
  </si>
  <si>
    <r>
      <t>90000+53999,76+215999,64+615000+100000/лифт. Обор. От 01.04.10</t>
    </r>
    <r>
      <rPr>
        <b/>
        <sz val="11"/>
        <rFont val="Times New Roman"/>
        <family val="1"/>
        <charset val="204"/>
      </rPr>
      <t>=2617955,46 всего 2817955,46 +350000</t>
    </r>
  </si>
  <si>
    <r>
      <t>Трастстройсервис</t>
    </r>
    <r>
      <rPr>
        <sz val="11"/>
        <rFont val="Times New Roman"/>
        <family val="1"/>
        <charset val="204"/>
      </rPr>
      <t xml:space="preserve"> -монтаж лифтовой шахты для 3-х пассажирских лифтов   г/п  400 кг </t>
    </r>
  </si>
  <si>
    <r>
      <t xml:space="preserve">ООО Атлант                         </t>
    </r>
    <r>
      <rPr>
        <sz val="11"/>
        <rFont val="Times New Roman"/>
        <family val="1"/>
        <charset val="204"/>
      </rPr>
      <t xml:space="preserve"> монтаж лифтовой шахты для 3-х пассажирских лифтов   г/п  400 кг </t>
    </r>
  </si>
  <si>
    <r>
      <t xml:space="preserve">250000            +430000  +250000    </t>
    </r>
    <r>
      <rPr>
        <b/>
        <sz val="11"/>
        <rFont val="Times New Roman"/>
        <family val="1"/>
        <charset val="204"/>
      </rPr>
      <t>+470000</t>
    </r>
  </si>
  <si>
    <r>
      <t xml:space="preserve">№ 388 от 12.08.13  №397 от 14.08.13 пл.№451 от 06.09.13 </t>
    </r>
    <r>
      <rPr>
        <sz val="11"/>
        <color rgb="FFFF0000"/>
        <rFont val="Times New Roman"/>
        <family val="1"/>
        <charset val="204"/>
      </rPr>
      <t>переплпта</t>
    </r>
  </si>
  <si>
    <r>
      <t xml:space="preserve">ООО "Центральное управление ОЛЗ"    </t>
    </r>
    <r>
      <rPr>
        <b/>
        <i/>
        <sz val="11"/>
        <rFont val="Times New Roman"/>
        <family val="1"/>
        <charset val="204"/>
      </rPr>
      <t xml:space="preserve">                 </t>
    </r>
    <r>
      <rPr>
        <b/>
        <sz val="11"/>
        <rFont val="Times New Roman"/>
        <family val="1"/>
        <charset val="204"/>
      </rPr>
      <t xml:space="preserve">  </t>
    </r>
    <r>
      <rPr>
        <sz val="11"/>
        <rFont val="Times New Roman"/>
        <family val="1"/>
        <charset val="204"/>
      </rPr>
      <t xml:space="preserve">Поставка 3-х пассажирских лифтов   г/п  400 кг </t>
    </r>
  </si>
  <si>
    <r>
      <t xml:space="preserve">Проектирование, изготовление и монтаж металлокаркаса  Павильона для выездной торговли </t>
    </r>
    <r>
      <rPr>
        <b/>
        <sz val="11"/>
        <rFont val="Times New Roman"/>
        <family val="1"/>
        <charset val="204"/>
      </rPr>
      <t xml:space="preserve">Счетной палаты </t>
    </r>
  </si>
  <si>
    <r>
      <t xml:space="preserve">"Трастстройсервис"                                      </t>
    </r>
    <r>
      <rPr>
        <sz val="11"/>
        <rFont val="Times New Roman"/>
        <family val="1"/>
        <charset val="204"/>
      </rPr>
      <t xml:space="preserve"> Устройство лифтовой шахты</t>
    </r>
  </si>
  <si>
    <r>
      <t xml:space="preserve">"Рокстер"                                </t>
    </r>
    <r>
      <rPr>
        <sz val="11"/>
        <rFont val="Times New Roman"/>
        <family val="1"/>
        <charset val="204"/>
      </rPr>
      <t>Монтаж   лифта г.п. 250 кг</t>
    </r>
  </si>
  <si>
    <r>
      <t>1400000+477000+98000+317873+350000+250000+211915,94+100000 3984000</t>
    </r>
    <r>
      <rPr>
        <b/>
        <sz val="11"/>
        <rFont val="Times New Roman"/>
        <family val="1"/>
        <charset val="204"/>
      </rPr>
      <t>,00</t>
    </r>
  </si>
  <si>
    <r>
      <t xml:space="preserve">"Легион"                                   </t>
    </r>
    <r>
      <rPr>
        <sz val="11"/>
        <rFont val="Times New Roman"/>
        <family val="1"/>
        <charset val="204"/>
      </rPr>
      <t xml:space="preserve"> -монтаж лифтовой шахты и проектн. Раб. для 2-х лифтов   г/п  400 кг </t>
    </r>
  </si>
  <si>
    <r>
      <t xml:space="preserve">700000 </t>
    </r>
    <r>
      <rPr>
        <sz val="11"/>
        <rFont val="Times New Roman"/>
        <family val="1"/>
        <charset val="204"/>
      </rPr>
      <t xml:space="preserve">            </t>
    </r>
    <r>
      <rPr>
        <sz val="11"/>
        <color rgb="FF99CC00"/>
        <rFont val="Times New Roman"/>
        <family val="1"/>
        <charset val="204"/>
      </rPr>
      <t xml:space="preserve"> </t>
    </r>
    <r>
      <rPr>
        <sz val="11"/>
        <color rgb="FF339966"/>
        <rFont val="Times New Roman"/>
        <family val="1"/>
        <charset val="204"/>
      </rPr>
      <t>+170000</t>
    </r>
  </si>
  <si>
    <r>
      <t>31.03.2010</t>
    </r>
    <r>
      <rPr>
        <sz val="11"/>
        <rFont val="Times New Roman"/>
        <family val="1"/>
        <charset val="204"/>
      </rPr>
      <t xml:space="preserve"> </t>
    </r>
    <r>
      <rPr>
        <sz val="11"/>
        <color rgb="FF99CC00"/>
        <rFont val="Times New Roman"/>
        <family val="1"/>
        <charset val="204"/>
      </rPr>
      <t>25/06/10</t>
    </r>
  </si>
  <si>
    <r>
      <t xml:space="preserve">"Легион"                                                      </t>
    </r>
    <r>
      <rPr>
        <sz val="11"/>
        <rFont val="Times New Roman"/>
        <family val="1"/>
        <charset val="204"/>
      </rPr>
      <t xml:space="preserve">  Проектн. работы</t>
    </r>
  </si>
  <si>
    <r>
      <t xml:space="preserve">"Диамант"                                                   </t>
    </r>
    <r>
      <rPr>
        <sz val="11"/>
        <rFont val="Times New Roman"/>
        <family val="1"/>
        <charset val="204"/>
      </rPr>
      <t>- Облицовка шахты, примыкания к холлам</t>
    </r>
  </si>
  <si>
    <r>
      <t xml:space="preserve">"Рокстер"                               </t>
    </r>
    <r>
      <rPr>
        <sz val="11"/>
        <rFont val="Times New Roman"/>
        <family val="1"/>
        <charset val="204"/>
      </rPr>
      <t xml:space="preserve"> Монтаж 2-х  лифтов г.п. 400 кг</t>
    </r>
  </si>
  <si>
    <r>
      <t xml:space="preserve"> "Трастстройсервис"                              </t>
    </r>
    <r>
      <rPr>
        <sz val="11"/>
        <rFont val="Times New Roman"/>
        <family val="1"/>
        <charset val="204"/>
      </rPr>
      <t xml:space="preserve">  Ремонтно-строительные работы 6-ти  лифтовых шахт</t>
    </r>
  </si>
  <si>
    <r>
      <t xml:space="preserve">поставка,  </t>
    </r>
    <r>
      <rPr>
        <b/>
        <sz val="11"/>
        <rFont val="Times New Roman"/>
        <family val="1"/>
        <charset val="204"/>
      </rPr>
      <t xml:space="preserve">хранение, монтаж </t>
    </r>
    <r>
      <rPr>
        <sz val="11"/>
        <rFont val="Times New Roman"/>
        <family val="1"/>
        <charset val="204"/>
      </rPr>
      <t xml:space="preserve"> двух комплектов лифтового обор-я, монтаж 2-х шахт </t>
    </r>
  </si>
  <si>
    <r>
      <t xml:space="preserve">2230000, </t>
    </r>
    <r>
      <rPr>
        <sz val="11"/>
        <rFont val="Times New Roman"/>
        <family val="1"/>
        <charset val="204"/>
      </rPr>
      <t>в т.ч. Оплачено 25</t>
    </r>
    <r>
      <rPr>
        <b/>
        <sz val="11"/>
        <rFont val="Times New Roman"/>
        <family val="1"/>
        <charset val="204"/>
      </rPr>
      <t>00000</t>
    </r>
  </si>
  <si>
    <r>
      <t xml:space="preserve">1710862 - </t>
    </r>
    <r>
      <rPr>
        <b/>
        <sz val="11"/>
        <rFont val="Times New Roman"/>
        <family val="1"/>
        <charset val="204"/>
      </rPr>
      <t>не больше 1600000</t>
    </r>
  </si>
  <si>
    <r>
      <t xml:space="preserve">накл №12 от 14.02.11                      на </t>
    </r>
    <r>
      <rPr>
        <b/>
        <sz val="11"/>
        <color rgb="FFFF0000"/>
        <rFont val="Times New Roman"/>
        <family val="1"/>
        <charset val="204"/>
      </rPr>
      <t>1 лифт</t>
    </r>
    <r>
      <rPr>
        <sz val="11"/>
        <rFont val="Times New Roman"/>
        <family val="1"/>
        <charset val="204"/>
      </rPr>
      <t xml:space="preserve"> на 855431-00</t>
    </r>
  </si>
  <si>
    <r>
      <t xml:space="preserve">"Диамант" </t>
    </r>
    <r>
      <rPr>
        <b/>
        <sz val="11"/>
        <rFont val="Times New Roman"/>
        <family val="1"/>
        <charset val="204"/>
      </rPr>
      <t xml:space="preserve">                                                 </t>
    </r>
    <r>
      <rPr>
        <sz val="11"/>
        <rFont val="Times New Roman"/>
        <family val="1"/>
        <charset val="204"/>
      </rPr>
      <t xml:space="preserve">Строительные работы по 2-м лифтовым шахтам </t>
    </r>
  </si>
  <si>
    <r>
      <t xml:space="preserve">"Легион"                                           </t>
    </r>
    <r>
      <rPr>
        <sz val="11"/>
        <rFont val="Times New Roman"/>
        <family val="1"/>
        <charset val="204"/>
      </rPr>
      <t xml:space="preserve"> Устройство лифтовой шахты - монтаж металлоконструкций шахты</t>
    </r>
  </si>
  <si>
    <r>
      <t xml:space="preserve">100000 </t>
    </r>
    <r>
      <rPr>
        <sz val="11"/>
        <color rgb="FF99CC00"/>
        <rFont val="Times New Roman"/>
        <family val="1"/>
        <charset val="204"/>
      </rPr>
      <t>+100000</t>
    </r>
  </si>
  <si>
    <r>
      <t xml:space="preserve">26.03.2010                    </t>
    </r>
    <r>
      <rPr>
        <sz val="11"/>
        <color rgb="FF99CC00"/>
        <rFont val="Times New Roman"/>
        <family val="1"/>
        <charset val="204"/>
      </rPr>
      <t xml:space="preserve">  30.06.10</t>
    </r>
  </si>
  <si>
    <r>
      <t xml:space="preserve"> "ТРАСТСТРОЙСЕРВИС"                     </t>
    </r>
    <r>
      <rPr>
        <sz val="11"/>
        <rFont val="Times New Roman"/>
        <family val="1"/>
        <charset val="204"/>
      </rPr>
      <t xml:space="preserve"> Устройство лифтовой шахты - монтаж металлоконструкций шахты</t>
    </r>
  </si>
  <si>
    <r>
      <t>"Диамант"                                                   - Облицовка шахты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(- только ремонтные работы)</t>
    </r>
  </si>
  <si>
    <r>
      <t xml:space="preserve">600000 </t>
    </r>
    <r>
      <rPr>
        <sz val="11"/>
        <color rgb="FFCC99FF"/>
        <rFont val="Times New Roman"/>
        <family val="1"/>
        <charset val="204"/>
      </rPr>
      <t xml:space="preserve"> 250000</t>
    </r>
  </si>
  <si>
    <r>
      <t>ООО «КЕСКО-М»</t>
    </r>
    <r>
      <rPr>
        <sz val="11"/>
        <rFont val="Times New Roman"/>
        <family val="1"/>
        <charset val="204"/>
      </rPr>
      <t xml:space="preserve">                                               г. Москва, Коробейников переулок, д. 1 стр.1А  </t>
    </r>
  </si>
  <si>
    <r>
      <t>"Строитель"</t>
    </r>
    <r>
      <rPr>
        <sz val="11"/>
        <rFont val="Times New Roman"/>
        <family val="1"/>
        <charset val="204"/>
      </rPr>
      <t xml:space="preserve">                                               СМР изматериалов Заказчика</t>
    </r>
  </si>
  <si>
    <r>
      <t xml:space="preserve">ОАО «РЖДстрой»                          </t>
    </r>
    <r>
      <rPr>
        <sz val="11"/>
        <rFont val="Times New Roman"/>
        <family val="1"/>
        <charset val="204"/>
      </rPr>
      <t xml:space="preserve"> г. Москва, ул. Казакова, д.8 стр.6  </t>
    </r>
  </si>
  <si>
    <r>
      <t xml:space="preserve">ООО «Призма»                                            </t>
    </r>
    <r>
      <rPr>
        <sz val="11"/>
        <rFont val="Times New Roman"/>
        <family val="1"/>
        <charset val="204"/>
      </rPr>
      <t xml:space="preserve">  г.Подольск, Комсомольский проспект , д.3 </t>
    </r>
  </si>
  <si>
    <r>
      <t xml:space="preserve"> СтройГрадСервис                                                  -Строительные работы шахты</t>
    </r>
    <r>
      <rPr>
        <sz val="11"/>
        <rFont val="Times New Roman"/>
        <family val="1"/>
        <charset val="204"/>
      </rPr>
      <t xml:space="preserve"> </t>
    </r>
  </si>
  <si>
    <r>
      <t xml:space="preserve">АБ "БПФ" г. Москва, </t>
    </r>
    <r>
      <rPr>
        <sz val="11"/>
        <rFont val="Times New Roman"/>
        <family val="1"/>
        <charset val="204"/>
      </rPr>
      <t xml:space="preserve">Ленинградский пр-т, дом 59 </t>
    </r>
  </si>
  <si>
    <r>
      <t>ООО Диамант</t>
    </r>
    <r>
      <rPr>
        <b/>
        <sz val="11"/>
        <rFont val="Times New Roman"/>
        <family val="1"/>
        <charset val="204"/>
      </rPr>
      <t xml:space="preserve">                                          (переделано от СтройГрадСервис)                               Ремонтно-строительные работы в шахте лифта</t>
    </r>
    <r>
      <rPr>
        <sz val="11"/>
        <rFont val="Times New Roman"/>
        <family val="1"/>
        <charset val="204"/>
      </rPr>
      <t xml:space="preserve"> </t>
    </r>
  </si>
  <si>
    <r>
      <t xml:space="preserve">ООО «Арх-креатив»                          </t>
    </r>
    <r>
      <rPr>
        <sz val="11"/>
        <rFont val="Times New Roman"/>
        <family val="1"/>
        <charset val="204"/>
      </rPr>
      <t xml:space="preserve">здание Торгового центра на ул. Якиманка, г.Москва. </t>
    </r>
  </si>
  <si>
    <r>
      <t xml:space="preserve">ОАО «ВНИИНМ»(Бочвара)                   </t>
    </r>
    <r>
      <rPr>
        <sz val="11"/>
        <rFont val="Times New Roman"/>
        <family val="1"/>
        <charset val="204"/>
      </rPr>
      <t xml:space="preserve"> г.Москва, ул.Рогова, д. 5а </t>
    </r>
  </si>
  <si>
    <r>
      <t xml:space="preserve">«Государственный университет – Высшая школа экономики» - "ВШЭ"                         </t>
    </r>
    <r>
      <rPr>
        <sz val="11"/>
        <rFont val="Times New Roman"/>
        <family val="1"/>
        <charset val="204"/>
      </rPr>
      <t xml:space="preserve">  г. Москва, Кочновский пр-д, д.3 </t>
    </r>
  </si>
  <si>
    <r>
      <t xml:space="preserve">"Государственный университет – Высшая школа экономики"    - "ВШЭ"                         </t>
    </r>
    <r>
      <rPr>
        <sz val="11"/>
        <rFont val="Times New Roman"/>
        <family val="1"/>
        <charset val="204"/>
      </rPr>
      <t xml:space="preserve">  </t>
    </r>
    <r>
      <rPr>
        <sz val="11"/>
        <rFont val="Times New Roman"/>
        <family val="1"/>
        <charset val="204"/>
      </rPr>
      <t>г. Москва, ул. Шаболовка, д 26, стр. 3,5</t>
    </r>
  </si>
  <si>
    <r>
      <t xml:space="preserve">ДС №1 от 04.04.11 к Дог. №SBR1011220727-00008742/1 от 27.12.2010 г. - </t>
    </r>
    <r>
      <rPr>
        <b/>
        <sz val="11"/>
        <color rgb="FFFF0000"/>
        <rFont val="Times New Roman"/>
        <family val="1"/>
        <charset val="204"/>
      </rPr>
      <t>Атлант -/3от 23.06.11</t>
    </r>
  </si>
  <si>
    <r>
      <t>ООО Диамант</t>
    </r>
    <r>
      <rPr>
        <b/>
        <sz val="11"/>
        <rFont val="Times New Roman"/>
        <family val="1"/>
        <charset val="204"/>
      </rPr>
      <t xml:space="preserve"> (Переделано на Атлант) </t>
    </r>
    <r>
      <rPr>
        <b/>
        <sz val="11"/>
        <rFont val="Times New Roman"/>
        <family val="1"/>
        <charset val="204"/>
      </rPr>
      <t xml:space="preserve">Ремонтные работы  машинных отделений  3-х лифтовых шахт </t>
    </r>
  </si>
  <si>
    <r>
      <t>25.05.2011</t>
    </r>
    <r>
      <rPr>
        <b/>
        <sz val="11"/>
        <color rgb="FFFF0000"/>
        <rFont val="Times New Roman"/>
        <family val="1"/>
        <charset val="204"/>
      </rPr>
      <t xml:space="preserve"> 30.06.11</t>
    </r>
  </si>
  <si>
    <r>
      <t xml:space="preserve">ЗАО «СТАЛЬИНВЕСТ»                         </t>
    </r>
    <r>
      <rPr>
        <sz val="11"/>
        <rFont val="Times New Roman"/>
        <family val="1"/>
        <charset val="204"/>
      </rPr>
      <t xml:space="preserve"> Тульская обл., Щекинский р-н, пос. Первомайсий, ул. Административная, д.16 </t>
    </r>
  </si>
  <si>
    <r>
      <t>№ 26-10</t>
    </r>
    <r>
      <rPr>
        <b/>
        <sz val="11"/>
        <rFont val="Times New Roman"/>
        <family val="1"/>
        <charset val="204"/>
      </rPr>
      <t xml:space="preserve"> от 15.12.10,</t>
    </r>
    <r>
      <rPr>
        <b/>
        <sz val="11"/>
        <color rgb="FFFF0000"/>
        <rFont val="Times New Roman"/>
        <family val="1"/>
        <charset val="204"/>
      </rPr>
      <t xml:space="preserve">                      </t>
    </r>
    <r>
      <rPr>
        <b/>
        <sz val="11"/>
        <rFont val="Times New Roman"/>
        <family val="1"/>
        <charset val="204"/>
      </rPr>
      <t xml:space="preserve"> ДС №1</t>
    </r>
    <r>
      <rPr>
        <b/>
        <sz val="11"/>
        <rFont val="Times New Roman"/>
        <family val="1"/>
        <charset val="204"/>
      </rPr>
      <t xml:space="preserve"> от 18.01.11,                                </t>
    </r>
    <r>
      <rPr>
        <b/>
        <sz val="11"/>
        <rFont val="Times New Roman"/>
        <family val="1"/>
        <charset val="204"/>
      </rPr>
      <t xml:space="preserve"> ДС №2</t>
    </r>
    <r>
      <rPr>
        <b/>
        <sz val="11"/>
        <rFont val="Times New Roman"/>
        <family val="1"/>
        <charset val="204"/>
      </rPr>
      <t xml:space="preserve"> от 13.05.11</t>
    </r>
  </si>
  <si>
    <r>
      <t>18</t>
    </r>
    <r>
      <rPr>
        <sz val="11"/>
        <color rgb="FF000000"/>
        <rFont val="Times New Roman"/>
        <family val="1"/>
        <charset val="204"/>
      </rPr>
      <t xml:space="preserve"> недель.</t>
    </r>
  </si>
  <si>
    <r>
      <t xml:space="preserve">ООО «Союзлифтмонтаж»             </t>
    </r>
    <r>
      <rPr>
        <sz val="11"/>
        <rFont val="Times New Roman"/>
        <family val="1"/>
        <charset val="204"/>
      </rPr>
      <t xml:space="preserve">  г.Cаранск, </t>
    </r>
  </si>
  <si>
    <r>
      <t>1260000</t>
    </r>
    <r>
      <rPr>
        <sz val="11"/>
        <color rgb="FFFF0000"/>
        <rFont val="Times New Roman"/>
        <family val="1"/>
        <charset val="204"/>
      </rPr>
      <t>+630000</t>
    </r>
  </si>
  <si>
    <r>
      <t>400000                    +</t>
    </r>
    <r>
      <rPr>
        <sz val="11"/>
        <color rgb="FFFF0000"/>
        <rFont val="Times New Roman"/>
        <family val="1"/>
        <charset val="204"/>
      </rPr>
      <t>596000 опл. 15.09</t>
    </r>
  </si>
  <si>
    <r>
      <t xml:space="preserve">Сорин Борис Владимирович,                          МО Павл-я слобода к/п "Боскони" уч. 249                                                         </t>
    </r>
    <r>
      <rPr>
        <b/>
        <sz val="11"/>
        <color rgb="FFFF0000"/>
        <rFont val="Times New Roman"/>
        <family val="1"/>
        <charset val="204"/>
      </rPr>
      <t>Оборудован. Получено нет возм монт. - уведомление ?</t>
    </r>
  </si>
  <si>
    <r>
      <t xml:space="preserve"> Поставка 3-х (Трех) комплектных лифтов:  </t>
    </r>
    <r>
      <rPr>
        <b/>
        <sz val="11"/>
        <color rgb="FFFF0000"/>
        <rFont val="Times New Roman"/>
        <family val="1"/>
        <charset val="204"/>
      </rPr>
      <t xml:space="preserve">СМР и ДС №1 (Передано Толмачевы 24.03.11) - наловые </t>
    </r>
  </si>
  <si>
    <r>
      <t xml:space="preserve">239 510 евро              </t>
    </r>
    <r>
      <rPr>
        <sz val="11"/>
        <rFont val="Times New Roman"/>
        <family val="1"/>
        <charset val="204"/>
      </rPr>
      <t>22 недели</t>
    </r>
  </si>
  <si>
    <r>
      <t xml:space="preserve"> </t>
    </r>
    <r>
      <rPr>
        <sz val="11"/>
        <rFont val="Times New Roman"/>
        <family val="1"/>
        <charset val="204"/>
      </rPr>
      <t>9780638</t>
    </r>
  </si>
  <si>
    <r>
      <t>1436000 +</t>
    </r>
    <r>
      <rPr>
        <sz val="11"/>
        <color rgb="FFFF0000"/>
        <rFont val="Times New Roman"/>
        <family val="1"/>
        <charset val="204"/>
      </rPr>
      <t>143706 евро</t>
    </r>
  </si>
  <si>
    <r>
      <t>1436616                   +5955019</t>
    </r>
    <r>
      <rPr>
        <sz val="11"/>
        <color rgb="FFFF0000"/>
        <rFont val="Times New Roman"/>
        <family val="1"/>
        <charset val="204"/>
      </rPr>
      <t xml:space="preserve">                            +2 389 002</t>
    </r>
  </si>
  <si>
    <r>
      <t xml:space="preserve">Атлант -------------------------------Устройство лифтовой шахты под круглый лифт </t>
    </r>
    <r>
      <rPr>
        <b/>
        <sz val="11"/>
        <color rgb="FFFF0000"/>
        <rFont val="Times New Roman"/>
        <family val="1"/>
        <charset val="204"/>
      </rPr>
      <t>подписать</t>
    </r>
  </si>
  <si>
    <r>
      <t xml:space="preserve">ООО «Строительный Альянс»                                                            </t>
    </r>
    <r>
      <rPr>
        <sz val="11"/>
        <rFont val="Times New Roman"/>
        <family val="1"/>
        <charset val="204"/>
      </rPr>
      <t xml:space="preserve">МО, г. Подольск, ул. Парковая, дом 2 </t>
    </r>
  </si>
  <si>
    <r>
      <t>ООО «Новое решение»</t>
    </r>
    <r>
      <rPr>
        <sz val="11"/>
        <rFont val="Times New Roman"/>
        <family val="1"/>
        <charset val="204"/>
      </rPr>
      <t>, г.Москва, ул.Щипок, д.10</t>
    </r>
    <r>
      <rPr>
        <b/>
        <sz val="11"/>
        <color rgb="FFFF0000"/>
        <rFont val="Times New Roman"/>
        <family val="1"/>
        <charset val="204"/>
      </rPr>
      <t xml:space="preserve"> нет договора</t>
    </r>
  </si>
  <si>
    <r>
      <t xml:space="preserve">Проект,  </t>
    </r>
    <r>
      <rPr>
        <b/>
        <sz val="11"/>
        <color rgb="FFFF0000"/>
        <rFont val="Times New Roman"/>
        <family val="1"/>
        <charset val="204"/>
      </rPr>
      <t xml:space="preserve">рек.шахты </t>
    </r>
    <r>
      <rPr>
        <b/>
        <sz val="11"/>
        <rFont val="Times New Roman"/>
        <family val="1"/>
        <charset val="204"/>
      </rPr>
      <t xml:space="preserve">монтаж  лифта   производства SODIMAS </t>
    </r>
  </si>
  <si>
    <r>
      <t xml:space="preserve">ЗАО «ИНТЕРСЕРВИС-ГАРАНТ»                                                           </t>
    </r>
    <r>
      <rPr>
        <sz val="11"/>
        <rFont val="Times New Roman"/>
        <family val="1"/>
        <charset val="204"/>
      </rPr>
      <t xml:space="preserve"> г.Москва Нахимовский пр-т, вл.49А      </t>
    </r>
    <r>
      <rPr>
        <b/>
        <sz val="11"/>
        <rFont val="Times New Roman"/>
        <family val="1"/>
        <charset val="204"/>
      </rPr>
      <t xml:space="preserve">                          </t>
    </r>
  </si>
  <si>
    <r>
      <t xml:space="preserve">ЗАО «777 и Компания»,                      </t>
    </r>
    <r>
      <rPr>
        <sz val="11"/>
        <rFont val="Times New Roman"/>
        <family val="1"/>
        <charset val="204"/>
      </rPr>
      <t xml:space="preserve"> г. Москва, ул. Шипиловская, д.44А </t>
    </r>
  </si>
  <si>
    <r>
      <t>УСЛУГИ</t>
    </r>
    <r>
      <rPr>
        <b/>
        <sz val="11"/>
        <rFont val="Times New Roman"/>
        <family val="1"/>
        <charset val="204"/>
      </rPr>
      <t xml:space="preserve">                                                   Подготовка лифта грузового г/п 1000 кг  к вводу в эксплуатацию и оформлением необходимых для эксплуатации документов </t>
    </r>
  </si>
  <si>
    <r>
      <t xml:space="preserve">130200                   </t>
    </r>
    <r>
      <rPr>
        <sz val="11"/>
        <color rgb="FFFF0000"/>
        <rFont val="Times New Roman"/>
        <family val="1"/>
        <charset val="204"/>
      </rPr>
      <t>28200</t>
    </r>
  </si>
  <si>
    <r>
      <t xml:space="preserve">ООО «Дымовское колбасное производство»                                                            </t>
    </r>
    <r>
      <rPr>
        <sz val="11"/>
        <rFont val="Times New Roman"/>
        <family val="1"/>
        <charset val="204"/>
      </rPr>
      <t xml:space="preserve">  г. Москва, ул. Крылатская д.37   </t>
    </r>
  </si>
  <si>
    <r>
      <t xml:space="preserve">Муниципальное унитарное предприятие   -МУП "Развитие"                            </t>
    </r>
    <r>
      <rPr>
        <sz val="11"/>
        <rFont val="Times New Roman"/>
        <family val="1"/>
        <charset val="204"/>
      </rPr>
      <t xml:space="preserve">  г.Подольск </t>
    </r>
  </si>
  <si>
    <r>
      <t xml:space="preserve">ЗАО «МНЦЭС-Капстрой»                                 </t>
    </r>
    <r>
      <rPr>
        <sz val="11"/>
        <rFont val="Times New Roman"/>
        <family val="1"/>
        <charset val="204"/>
      </rPr>
      <t xml:space="preserve">  г.Москва ул.Веневская  вл.7.</t>
    </r>
  </si>
  <si>
    <r>
      <t xml:space="preserve">ООО ЭКС ПП «Экологические технологии»                                        </t>
    </r>
    <r>
      <rPr>
        <b/>
        <sz val="11"/>
        <rFont val="Times New Roman"/>
        <family val="1"/>
        <charset val="204"/>
      </rPr>
      <t xml:space="preserve">(от Стальинвест) </t>
    </r>
    <r>
      <rPr>
        <b/>
        <sz val="11"/>
        <rFont val="Times New Roman"/>
        <family val="1"/>
        <charset val="204"/>
      </rPr>
      <t xml:space="preserve">                                          </t>
    </r>
    <r>
      <rPr>
        <sz val="11"/>
        <rFont val="Times New Roman"/>
        <family val="1"/>
        <charset val="204"/>
      </rPr>
      <t xml:space="preserve">  Тульская обл., Щекинский р-н, пос. Первомайский, Административная, 16 </t>
    </r>
  </si>
  <si>
    <r>
      <t xml:space="preserve"> "Атлант"</t>
    </r>
    <r>
      <rPr>
        <b/>
        <sz val="11"/>
        <rFont val="Times New Roman"/>
        <family val="1"/>
        <charset val="204"/>
      </rPr>
      <t xml:space="preserve">                                           Ремонтно-строительные работы в шахте лифта</t>
    </r>
    <r>
      <rPr>
        <sz val="11"/>
        <rFont val="Times New Roman"/>
        <family val="1"/>
        <charset val="204"/>
      </rPr>
      <t xml:space="preserve"> </t>
    </r>
  </si>
  <si>
    <r>
      <t xml:space="preserve">ООО Атлант  </t>
    </r>
    <r>
      <rPr>
        <b/>
        <sz val="11"/>
        <rFont val="Times New Roman"/>
        <family val="1"/>
        <charset val="204"/>
      </rPr>
      <t xml:space="preserve">                                   Устройство шахты м/к</t>
    </r>
  </si>
  <si>
    <r>
      <t xml:space="preserve">ФГУ "Центральный НИИ организации и информации здрвоохранения Федерального агенства по здравоохранению и соц. Развитию"                                                  </t>
    </r>
    <r>
      <rPr>
        <sz val="11"/>
        <rFont val="Times New Roman"/>
        <family val="1"/>
        <charset val="204"/>
      </rPr>
      <t>Добролюбово 11</t>
    </r>
  </si>
  <si>
    <r>
      <t>№ 22/08-11/</t>
    </r>
    <r>
      <rPr>
        <b/>
        <sz val="11"/>
        <color rgb="FFFF0000"/>
        <rFont val="Times New Roman"/>
        <family val="1"/>
        <charset val="204"/>
      </rPr>
      <t>29-11</t>
    </r>
    <r>
      <rPr>
        <b/>
        <sz val="11"/>
        <rFont val="Times New Roman"/>
        <family val="1"/>
        <charset val="204"/>
      </rPr>
      <t xml:space="preserve"> от  22.08.11</t>
    </r>
  </si>
  <si>
    <r>
      <t xml:space="preserve">ООО "Технолифт                                             </t>
    </r>
    <r>
      <rPr>
        <sz val="11"/>
        <rFont val="Times New Roman"/>
        <family val="1"/>
        <charset val="204"/>
      </rPr>
      <t xml:space="preserve"> г. Москва, ул. Валовая, д.28                      </t>
    </r>
    <r>
      <rPr>
        <b/>
        <sz val="11"/>
        <rFont val="Times New Roman"/>
        <family val="1"/>
        <charset val="204"/>
      </rPr>
      <t xml:space="preserve">                                </t>
    </r>
  </si>
  <si>
    <r>
      <t xml:space="preserve">ООО «РИКС-СТРОЙ инж»,                        </t>
    </r>
    <r>
      <rPr>
        <sz val="11"/>
        <rFont val="Times New Roman"/>
        <family val="1"/>
        <charset val="204"/>
      </rPr>
      <t xml:space="preserve"> г. Москва, Ленинский пр., дом 87 (Гостиница Южная)  </t>
    </r>
  </si>
  <si>
    <r>
      <t>"СОДИМАС ГРУП"</t>
    </r>
    <r>
      <rPr>
        <sz val="11"/>
        <rFont val="Times New Roman"/>
        <family val="1"/>
        <charset val="204"/>
      </rPr>
      <t xml:space="preserve"> Поставка 5-ти лифтов</t>
    </r>
  </si>
  <si>
    <r>
      <t xml:space="preserve">30.03.2012  </t>
    </r>
    <r>
      <rPr>
        <b/>
        <sz val="11"/>
        <color rgb="FF00FF00"/>
        <rFont val="Times New Roman"/>
        <family val="1"/>
        <charset val="204"/>
      </rPr>
      <t xml:space="preserve"> 28.08.12</t>
    </r>
  </si>
  <si>
    <r>
      <t>354000           +450000             +354000            +</t>
    </r>
    <r>
      <rPr>
        <b/>
        <sz val="11"/>
        <color rgb="FFFF0000"/>
        <rFont val="Times New Roman"/>
        <family val="1"/>
        <charset val="204"/>
      </rPr>
      <t>182000</t>
    </r>
  </si>
  <si>
    <r>
      <t xml:space="preserve">ООО «ТехСтрой»                                          </t>
    </r>
    <r>
      <rPr>
        <sz val="11"/>
        <rFont val="Times New Roman"/>
        <family val="1"/>
        <charset val="204"/>
      </rPr>
      <t xml:space="preserve">МО, Звенигород, ул. Почтовая, д.41 </t>
    </r>
  </si>
  <si>
    <r>
      <t>119200+                    200000</t>
    </r>
    <r>
      <rPr>
        <sz val="11"/>
        <color rgb="FFFF0000"/>
        <rFont val="Times New Roman"/>
        <family val="1"/>
        <charset val="204"/>
      </rPr>
      <t xml:space="preserve">+                           </t>
    </r>
    <r>
      <rPr>
        <sz val="11"/>
        <rFont val="Times New Roman"/>
        <family val="1"/>
        <charset val="204"/>
      </rPr>
      <t xml:space="preserve">1044900+   </t>
    </r>
    <r>
      <rPr>
        <sz val="11"/>
        <color rgb="FFFF0000"/>
        <rFont val="Times New Roman"/>
        <family val="1"/>
        <charset val="204"/>
      </rPr>
      <t>400000+</t>
    </r>
    <r>
      <rPr>
        <sz val="11"/>
        <rFont val="Times New Roman"/>
        <family val="1"/>
        <charset val="204"/>
      </rPr>
      <t xml:space="preserve">        </t>
    </r>
    <r>
      <rPr>
        <sz val="11"/>
        <color rgb="FFFF0000"/>
        <rFont val="Times New Roman"/>
        <family val="1"/>
        <charset val="204"/>
      </rPr>
      <t>275900</t>
    </r>
  </si>
  <si>
    <r>
      <t xml:space="preserve">ООО Атлант   </t>
    </r>
    <r>
      <rPr>
        <b/>
        <sz val="11"/>
        <rFont val="Times New Roman"/>
        <family val="1"/>
        <charset val="204"/>
      </rPr>
      <t xml:space="preserve">                               монтаж наружной металлокаркасной шахты</t>
    </r>
  </si>
  <si>
    <r>
      <t>19/12/2011</t>
    </r>
    <r>
      <rPr>
        <b/>
        <sz val="11"/>
        <color rgb="FFFF0000"/>
        <rFont val="Times New Roman"/>
        <family val="1"/>
        <charset val="204"/>
      </rPr>
      <t xml:space="preserve">   </t>
    </r>
    <r>
      <rPr>
        <b/>
        <sz val="11"/>
        <color rgb="FF800000"/>
        <rFont val="Times New Roman"/>
        <family val="1"/>
        <charset val="204"/>
      </rPr>
      <t xml:space="preserve">28.09.2012      </t>
    </r>
  </si>
  <si>
    <r>
      <t xml:space="preserve">
Муниципальное унитарное предприятие г.Подольска «Развитие»,                                               </t>
    </r>
    <r>
      <rPr>
        <sz val="11"/>
        <rFont val="Times New Roman"/>
        <family val="1"/>
        <charset val="204"/>
      </rPr>
      <t xml:space="preserve">г. Подольск, ул._Кирова, д. 38 корп.1 </t>
    </r>
  </si>
  <si>
    <r>
      <t>162594,03+                        336785,89+                                1403097,14 + 267288,84 +1324279,50</t>
    </r>
    <r>
      <rPr>
        <sz val="11"/>
        <color rgb="FF333333"/>
        <rFont val="Times New Roman"/>
        <family val="1"/>
        <charset val="204"/>
      </rPr>
      <t>+</t>
    </r>
    <r>
      <rPr>
        <sz val="11"/>
        <color rgb="FF993366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419173,39</t>
    </r>
  </si>
  <si>
    <r>
      <t xml:space="preserve">ООО Атлант                         </t>
    </r>
    <r>
      <rPr>
        <sz val="11"/>
        <rFont val="Times New Roman"/>
        <family val="1"/>
        <charset val="204"/>
      </rPr>
      <t xml:space="preserve"> Ремонтно-строительно- работы  2-х лифтовых шахт</t>
    </r>
  </si>
  <si>
    <r>
      <t xml:space="preserve">ООО Центральное управление ОАО ЩЛЗ                        </t>
    </r>
    <r>
      <rPr>
        <sz val="11"/>
        <rFont val="Times New Roman"/>
        <family val="1"/>
        <charset val="204"/>
      </rPr>
      <t xml:space="preserve"> Поставка  2-х лифтов</t>
    </r>
  </si>
  <si>
    <r>
      <t xml:space="preserve">ООО «Технолифт» - закрыт </t>
    </r>
    <r>
      <rPr>
        <sz val="11"/>
        <rFont val="Times New Roman"/>
        <family val="1"/>
        <charset val="204"/>
      </rPr>
      <t xml:space="preserve">                                        г. Москва, ул. Валовая, д.28 </t>
    </r>
  </si>
  <si>
    <r>
      <t>1500000</t>
    </r>
    <r>
      <rPr>
        <sz val="11"/>
        <rFont val="Times New Roman"/>
        <family val="1"/>
        <charset val="204"/>
      </rPr>
      <t xml:space="preserve">                  - ДС на стоимость 150000</t>
    </r>
  </si>
  <si>
    <r>
      <t xml:space="preserve">ООО «СтройКапиталГрупп»                                             </t>
    </r>
    <r>
      <rPr>
        <sz val="11"/>
        <rFont val="Times New Roman"/>
        <family val="1"/>
        <charset val="204"/>
      </rPr>
      <t>МО, г. Краснознаменск, Молодежная, д. 2/1.</t>
    </r>
  </si>
  <si>
    <r>
      <t xml:space="preserve">ООО Атлант   </t>
    </r>
    <r>
      <rPr>
        <b/>
        <sz val="11"/>
        <rFont val="Times New Roman"/>
        <family val="1"/>
        <charset val="204"/>
      </rPr>
      <t xml:space="preserve">                               монтаж 2-х наружной металлокаркасной шахты</t>
    </r>
  </si>
  <si>
    <r>
      <t xml:space="preserve"> 580000+320000+180000+320000        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=1400000</t>
    </r>
  </si>
  <si>
    <r>
      <t xml:space="preserve">ООО "Сфера" </t>
    </r>
    <r>
      <rPr>
        <sz val="11"/>
        <rFont val="Times New Roman"/>
        <family val="1"/>
        <charset val="204"/>
      </rPr>
      <t xml:space="preserve">                                          г.Москва, ул. Лобачевского, д.52.  </t>
    </r>
  </si>
  <si>
    <r>
      <t xml:space="preserve">ООО Атлант  </t>
    </r>
    <r>
      <rPr>
        <sz val="11"/>
        <rFont val="Times New Roman"/>
        <family val="1"/>
        <charset val="204"/>
      </rPr>
      <t xml:space="preserve">                     Остекление лифтовой шахты</t>
    </r>
  </si>
  <si>
    <r>
      <t>580000+   350000   +454000  +360000  +290000</t>
    </r>
    <r>
      <rPr>
        <sz val="11"/>
        <color rgb="FFFF0000"/>
        <rFont val="Times New Roman"/>
        <family val="1"/>
        <charset val="204"/>
      </rPr>
      <t>=</t>
    </r>
    <r>
      <rPr>
        <b/>
        <sz val="11"/>
        <color rgb="FFFF0000"/>
        <rFont val="Times New Roman"/>
        <family val="1"/>
        <charset val="204"/>
      </rPr>
      <t>2034000 +320000</t>
    </r>
  </si>
  <si>
    <r>
      <t>_____от 8.11.12       №204 от 26.04.13</t>
    </r>
    <r>
      <rPr>
        <sz val="11"/>
        <color rgb="FFFF0000"/>
        <rFont val="Times New Roman"/>
        <family val="1"/>
        <charset val="204"/>
      </rPr>
      <t xml:space="preserve">(дата в дог.)   №___ от              </t>
    </r>
    <r>
      <rPr>
        <sz val="11"/>
        <rFont val="Times New Roman"/>
        <family val="1"/>
        <charset val="204"/>
      </rPr>
      <t xml:space="preserve"> №305 от11.07.13  №323 от 18.07.13  №___ от 16.09.13</t>
    </r>
  </si>
  <si>
    <r>
      <t xml:space="preserve">30.03.2012           </t>
    </r>
    <r>
      <rPr>
        <b/>
        <sz val="11"/>
        <rFont val="Times New Roman"/>
        <family val="1"/>
        <charset val="204"/>
      </rPr>
      <t>29/06/12</t>
    </r>
  </si>
  <si>
    <r>
      <t xml:space="preserve">Ошкордин Герман Викторович                     </t>
    </r>
    <r>
      <rPr>
        <sz val="11"/>
        <rFont val="Times New Roman"/>
        <family val="1"/>
        <charset val="204"/>
      </rPr>
      <t xml:space="preserve"> МО Жуковка-2  </t>
    </r>
  </si>
  <si>
    <r>
      <t xml:space="preserve">ООО «Строительный Альянс»                                                  </t>
    </r>
    <r>
      <rPr>
        <sz val="11"/>
        <rFont val="Times New Roman"/>
        <family val="1"/>
        <charset val="204"/>
      </rPr>
      <t xml:space="preserve"> МО, пос. Саларьево  ДДТ</t>
    </r>
  </si>
  <si>
    <r>
      <t xml:space="preserve">ЗАО «Интертэм» -                                                            </t>
    </r>
    <r>
      <rPr>
        <sz val="11"/>
        <rFont val="Times New Roman"/>
        <family val="1"/>
        <charset val="204"/>
      </rPr>
      <t xml:space="preserve"> г.Рыбинск ул.Герцена 62 ул.Кирова 9 ККК "Сенная пл."</t>
    </r>
  </si>
  <si>
    <r>
      <t xml:space="preserve">ООО Атлант   </t>
    </r>
    <r>
      <rPr>
        <b/>
        <sz val="11"/>
        <rFont val="Times New Roman"/>
        <family val="1"/>
        <charset val="204"/>
      </rPr>
      <t xml:space="preserve">                              Монтаж металлокаркасной шахты</t>
    </r>
  </si>
  <si>
    <r>
      <t xml:space="preserve">ЗАО "Фрязинстрой"   </t>
    </r>
    <r>
      <rPr>
        <sz val="11"/>
        <rFont val="Times New Roman"/>
        <family val="1"/>
        <charset val="204"/>
      </rPr>
      <t xml:space="preserve">                                     МО г.Щелково кварт.Гагаринский ж.д. 5</t>
    </r>
  </si>
  <si>
    <r>
      <t xml:space="preserve">ООО Атлант   </t>
    </r>
    <r>
      <rPr>
        <b/>
        <sz val="11"/>
        <rFont val="Times New Roman"/>
        <family val="1"/>
        <charset val="204"/>
      </rPr>
      <t xml:space="preserve">                              Монтажные работы в шахтах для установки 12-ти лифтов</t>
    </r>
  </si>
  <si>
    <r>
      <t xml:space="preserve">ООО Атлант   </t>
    </r>
    <r>
      <rPr>
        <b/>
        <sz val="11"/>
        <rFont val="Times New Roman"/>
        <family val="1"/>
        <charset val="204"/>
      </rPr>
      <t xml:space="preserve">                              Электромонтажые работы по шахтам 12-ти лифтов</t>
    </r>
  </si>
  <si>
    <r>
      <t xml:space="preserve">№ 58/4-13 от 01.08.13               </t>
    </r>
    <r>
      <rPr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Дог. и акты подписаны</t>
    </r>
  </si>
  <si>
    <r>
      <t>№ 58/3-13 от 05.09.13</t>
    </r>
    <r>
      <rPr>
        <sz val="11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>подписан</t>
    </r>
  </si>
  <si>
    <r>
      <t xml:space="preserve">№ 58/5-13 от 01.09.13  </t>
    </r>
    <r>
      <rPr>
        <b/>
        <sz val="11"/>
        <color rgb="FFFF0000"/>
        <rFont val="Times New Roman"/>
        <family val="1"/>
        <charset val="204"/>
      </rPr>
      <t xml:space="preserve">  направлено по эл.почте для печатей    21.05.14       </t>
    </r>
    <r>
      <rPr>
        <b/>
        <sz val="11"/>
        <rFont val="Times New Roman"/>
        <family val="1"/>
        <charset val="204"/>
      </rPr>
      <t xml:space="preserve">      </t>
    </r>
    <r>
      <rPr>
        <b/>
        <sz val="11"/>
        <color rgb="FFFF0000"/>
        <rFont val="Times New Roman"/>
        <family val="1"/>
        <charset val="204"/>
      </rPr>
      <t xml:space="preserve">   </t>
    </r>
  </si>
  <si>
    <r>
      <t xml:space="preserve">ИнтерСфераПлюс монтаж оборудования   </t>
    </r>
    <r>
      <rPr>
        <b/>
        <sz val="11"/>
        <color rgb="FFFF0000"/>
        <rFont val="Times New Roman"/>
        <family val="1"/>
        <charset val="204"/>
      </rPr>
      <t>ПЕРЕДЕЛАТЬ</t>
    </r>
  </si>
  <si>
    <r>
      <t xml:space="preserve">№ 57-13 от 08.07.13                </t>
    </r>
    <r>
      <rPr>
        <b/>
        <sz val="11"/>
        <color rgb="FFFF0000"/>
        <rFont val="Times New Roman"/>
        <family val="1"/>
        <charset val="204"/>
      </rPr>
      <t>Дог. и акты подписаны</t>
    </r>
  </si>
  <si>
    <r>
      <t xml:space="preserve">ЩЛЗ                                     </t>
    </r>
    <r>
      <rPr>
        <sz val="11"/>
        <rFont val="Times New Roman"/>
        <family val="1"/>
        <charset val="204"/>
      </rPr>
      <t xml:space="preserve"> поставка 3-х лифтов 400кг,  3-х 600кг</t>
    </r>
  </si>
  <si>
    <r>
      <t xml:space="preserve">ООО «ВЕКАСТРОЙ»)                                     </t>
    </r>
    <r>
      <rPr>
        <sz val="11"/>
        <rFont val="Times New Roman"/>
        <family val="1"/>
        <charset val="204"/>
      </rPr>
      <t xml:space="preserve">  МО г.Щелково кварт.Гагаринский ж.д. 5 </t>
    </r>
  </si>
  <si>
    <r>
      <t xml:space="preserve">ООО «СПЕКТР»                                           </t>
    </r>
    <r>
      <rPr>
        <sz val="11"/>
        <rFont val="Times New Roman"/>
        <family val="1"/>
        <charset val="204"/>
      </rPr>
      <t xml:space="preserve"> г. Москва, ул.Рочдельская д.14 стр.1 </t>
    </r>
  </si>
  <si>
    <r>
      <t xml:space="preserve">№ 61/2-12 от 02.09.12           </t>
    </r>
    <r>
      <rPr>
        <b/>
        <sz val="11"/>
        <color rgb="FFFF0000"/>
        <rFont val="Times New Roman"/>
        <family val="1"/>
        <charset val="204"/>
      </rPr>
      <t xml:space="preserve"> Дог. и акты подписаны</t>
    </r>
  </si>
  <si>
    <r>
      <t xml:space="preserve">ООО Атлант   </t>
    </r>
    <r>
      <rPr>
        <b/>
        <sz val="11"/>
        <rFont val="Times New Roman"/>
        <family val="1"/>
        <charset val="204"/>
      </rPr>
      <t xml:space="preserve">                              Проектные работы установки лифтов</t>
    </r>
  </si>
  <si>
    <r>
      <t xml:space="preserve">ООО «Техносервис»                                       </t>
    </r>
    <r>
      <rPr>
        <sz val="11"/>
        <rFont val="Times New Roman"/>
        <family val="1"/>
        <charset val="204"/>
      </rPr>
      <t xml:space="preserve">   МО, г.Подольск, ул. Федорова, дом 19 </t>
    </r>
  </si>
  <si>
    <r>
      <t xml:space="preserve">ЩЛЗ                                     </t>
    </r>
    <r>
      <rPr>
        <sz val="11"/>
        <rFont val="Times New Roman"/>
        <family val="1"/>
        <charset val="204"/>
      </rPr>
      <t xml:space="preserve"> поставка 3-х лифтов 100кг,   630кг, 1000 кг</t>
    </r>
  </si>
  <si>
    <r>
      <t xml:space="preserve">ООО «Теплопроект»                              </t>
    </r>
    <r>
      <rPr>
        <sz val="11"/>
        <rFont val="Times New Roman"/>
        <family val="1"/>
        <charset val="204"/>
      </rPr>
      <t xml:space="preserve">г. Москва, ул. Коминтерна д.7, корпус 2 </t>
    </r>
  </si>
  <si>
    <r>
      <t xml:space="preserve">ООО Атлант   </t>
    </r>
    <r>
      <rPr>
        <b/>
        <sz val="11"/>
        <rFont val="Times New Roman"/>
        <family val="1"/>
        <charset val="204"/>
      </rPr>
      <t xml:space="preserve">                              Реконструкция металлокаркасной шахты</t>
    </r>
  </si>
  <si>
    <r>
      <t xml:space="preserve">ООО Атлант   </t>
    </r>
    <r>
      <rPr>
        <b/>
        <sz val="11"/>
        <rFont val="Times New Roman"/>
        <family val="1"/>
        <charset val="204"/>
      </rPr>
      <t xml:space="preserve">                              Электромонтажные работы шахты лифта</t>
    </r>
  </si>
  <si>
    <r>
      <t>"Подъемные системы ТОР"</t>
    </r>
    <r>
      <rPr>
        <sz val="11"/>
        <rFont val="Times New Roman"/>
        <family val="1"/>
        <charset val="204"/>
      </rPr>
      <t xml:space="preserve"> Поставка  лифта SODIMAS</t>
    </r>
  </si>
  <si>
    <r>
      <t>ООО Атлант</t>
    </r>
    <r>
      <rPr>
        <b/>
        <sz val="11"/>
        <rFont val="Times New Roman"/>
        <family val="1"/>
        <charset val="204"/>
      </rPr>
      <t xml:space="preserve">  Проектно-сметная документация установки 2-х (двух)  лифтов</t>
    </r>
  </si>
  <si>
    <r>
      <t xml:space="preserve">ООО «ИстокСтрой»                          </t>
    </r>
    <r>
      <rPr>
        <sz val="11"/>
        <rFont val="Times New Roman"/>
        <family val="1"/>
        <charset val="204"/>
      </rPr>
      <t xml:space="preserve">г. Москва, Староконюшенный, д. 6-8   </t>
    </r>
  </si>
  <si>
    <r>
      <t xml:space="preserve">ДС №1 от 12.02.13 </t>
    </r>
    <r>
      <rPr>
        <b/>
        <sz val="11"/>
        <color rgb="FFFF0000"/>
        <rFont val="Times New Roman"/>
        <family val="1"/>
        <charset val="204"/>
      </rPr>
      <t>нет подписей</t>
    </r>
  </si>
  <si>
    <r>
      <t>Филиал МГУП «Мослифт» РСУ №1</t>
    </r>
    <r>
      <rPr>
        <sz val="11"/>
        <rFont val="Times New Roman"/>
        <family val="1"/>
        <charset val="204"/>
      </rPr>
      <t xml:space="preserve"> г.Москва, ул.Казакова, д.8. </t>
    </r>
  </si>
  <si>
    <r>
      <t>Проект установки лифта г/п 400 кг -</t>
    </r>
    <r>
      <rPr>
        <b/>
        <sz val="11"/>
        <color rgb="FFFF0000"/>
        <rFont val="Times New Roman"/>
        <family val="1"/>
        <charset val="204"/>
      </rPr>
      <t xml:space="preserve"> как образец</t>
    </r>
  </si>
  <si>
    <r>
      <t xml:space="preserve">Сутормин Владислав Андреевич                                                </t>
    </r>
    <r>
      <rPr>
        <sz val="11"/>
        <rFont val="Times New Roman"/>
        <family val="1"/>
        <charset val="204"/>
      </rPr>
      <t xml:space="preserve">МО Ленинский р-н Десеневское сельское поселение дер. Покровское </t>
    </r>
  </si>
  <si>
    <r>
      <t xml:space="preserve">№ 48/2-13 от 24.06.13                             </t>
    </r>
    <r>
      <rPr>
        <b/>
        <sz val="11"/>
        <color rgb="FFFF0000"/>
        <rFont val="Times New Roman"/>
        <family val="1"/>
        <charset val="204"/>
      </rPr>
      <t>Дог. и акты подписаны</t>
    </r>
  </si>
  <si>
    <r>
      <t xml:space="preserve">№ 72/3-13 от 21.10.13         </t>
    </r>
    <r>
      <rPr>
        <b/>
        <sz val="11"/>
        <color rgb="FFFF0000"/>
        <rFont val="Times New Roman"/>
        <family val="1"/>
        <charset val="204"/>
      </rPr>
      <t>Дог. и акты подписаны</t>
    </r>
  </si>
  <si>
    <r>
      <t xml:space="preserve">№ 72/2-13 от 14.10.13                  </t>
    </r>
    <r>
      <rPr>
        <b/>
        <sz val="11"/>
        <color rgb="FFFF0000"/>
        <rFont val="Times New Roman"/>
        <family val="1"/>
        <charset val="204"/>
      </rPr>
      <t>Дог. и акты подписаны</t>
    </r>
  </si>
  <si>
    <r>
      <t xml:space="preserve">МГТУ ГА                                                                      </t>
    </r>
    <r>
      <rPr>
        <sz val="11"/>
        <rFont val="Times New Roman"/>
        <family val="1"/>
        <charset val="204"/>
      </rPr>
      <t xml:space="preserve">г.Москва, Кронштадский бульвар  д.20, Фестивальная улица д. 4 корп. 2 , </t>
    </r>
  </si>
  <si>
    <r>
      <t xml:space="preserve">ООО «СтройТех»                                                   </t>
    </r>
    <r>
      <rPr>
        <sz val="11"/>
        <rFont val="Times New Roman"/>
        <family val="1"/>
        <charset val="204"/>
      </rPr>
      <t xml:space="preserve">г.Москва, Россошанский проезд, дом 3, </t>
    </r>
  </si>
  <si>
    <r>
      <t xml:space="preserve">ООО «ИстокСтрой»   </t>
    </r>
    <r>
      <rPr>
        <sz val="11"/>
        <rFont val="Times New Roman"/>
        <family val="1"/>
        <charset val="204"/>
      </rPr>
      <t xml:space="preserve">                                         г. Москва,  ул.Казакова, д.8. </t>
    </r>
  </si>
  <si>
    <r>
      <t>"СОДИМАС ГРУП"</t>
    </r>
    <r>
      <rPr>
        <sz val="11"/>
        <rFont val="Times New Roman"/>
        <family val="1"/>
        <charset val="204"/>
      </rPr>
      <t xml:space="preserve"> Поставка  лифта г/п 400 кг</t>
    </r>
  </si>
  <si>
    <r>
      <t xml:space="preserve">№ 78/2-13 от 13.08.13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</si>
  <si>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ООО «Заречье»                                                            </t>
    </r>
    <r>
      <rPr>
        <sz val="11"/>
        <rFont val="Times New Roman"/>
        <family val="1"/>
        <charset val="204"/>
      </rPr>
      <t xml:space="preserve">     г. Москва, ул. Новокузнецкая, дом 7/11 стр. 1 </t>
    </r>
  </si>
  <si>
    <r>
      <t>№ 79/1-13 от 10.07.13.г.</t>
    </r>
    <r>
      <rPr>
        <sz val="11"/>
        <color rgb="FFFF0000"/>
        <rFont val="Times New Roman"/>
        <family val="1"/>
        <charset val="204"/>
      </rPr>
      <t xml:space="preserve">                             Подписан</t>
    </r>
  </si>
  <si>
    <r>
      <t>Поставка</t>
    </r>
    <r>
      <rPr>
        <sz val="11"/>
        <rFont val="Times New Roman"/>
        <family val="1"/>
        <charset val="204"/>
      </rPr>
      <t xml:space="preserve"> 3-х  лифтов (два г/п 630 кг и один г/п 1000 кг) производсва КОNE Франция</t>
    </r>
  </si>
  <si>
    <r>
      <t>ДС №1 от 01.04.14.</t>
    </r>
    <r>
      <rPr>
        <b/>
        <sz val="11"/>
        <color rgb="FFFF0000"/>
        <rFont val="Times New Roman"/>
        <family val="1"/>
        <charset val="204"/>
      </rPr>
      <t>НЕТ в нал</t>
    </r>
    <r>
      <rPr>
        <b/>
        <sz val="11"/>
        <rFont val="Times New Roman"/>
        <family val="1"/>
        <charset val="204"/>
      </rPr>
      <t xml:space="preserve">                             ДС №2 от 01.07.14</t>
    </r>
  </si>
  <si>
    <r>
      <t>120000+60000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+54000+60000</t>
    </r>
  </si>
  <si>
    <r>
      <t xml:space="preserve">Винер-Усманова Ирина Александровна                                                   </t>
    </r>
    <r>
      <rPr>
        <sz val="11"/>
        <rFont val="Times New Roman"/>
        <family val="1"/>
        <charset val="204"/>
      </rPr>
      <t xml:space="preserve">МО, г. Химки, Новогорский микрорайон, поселок Нагорье 12 ул. Заречная вл.16, </t>
    </r>
    <r>
      <rPr>
        <b/>
        <sz val="11"/>
        <color rgb="FFFF0000"/>
        <rFont val="Times New Roman"/>
        <family val="1"/>
        <charset val="204"/>
      </rPr>
      <t>нет Договора</t>
    </r>
  </si>
  <si>
    <r>
      <t xml:space="preserve">ООО «Барнаульская сетевая компания»                                 </t>
    </r>
    <r>
      <rPr>
        <sz val="11"/>
        <color rgb="FFFF0000"/>
        <rFont val="Times New Roman"/>
        <family val="1"/>
        <charset val="204"/>
      </rPr>
      <t xml:space="preserve">      </t>
    </r>
    <r>
      <rPr>
        <b/>
        <sz val="11"/>
        <rFont val="Times New Roman"/>
        <family val="1"/>
        <charset val="204"/>
      </rPr>
      <t xml:space="preserve">     </t>
    </r>
    <r>
      <rPr>
        <sz val="11"/>
        <rFont val="Times New Roman"/>
        <family val="1"/>
        <charset val="204"/>
      </rPr>
      <t xml:space="preserve">                                               г. Москва, Староконюшенный, д. 6-8  </t>
    </r>
  </si>
  <si>
    <r>
      <t xml:space="preserve">№611 от 16.03.16 </t>
    </r>
    <r>
      <rPr>
        <sz val="11"/>
        <color rgb="FFFF0000"/>
        <rFont val="Times New Roman"/>
        <family val="1"/>
        <charset val="204"/>
      </rPr>
      <t>№533 от 10.03.16</t>
    </r>
  </si>
  <si>
    <r>
      <t xml:space="preserve">№ 82/1-13 от 01.06.14               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</si>
  <si>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>ДС №1 от 23.06.15.</t>
    </r>
    <r>
      <rPr>
        <b/>
        <sz val="11"/>
        <color rgb="FFFF0000"/>
        <rFont val="Times New Roman"/>
        <family val="1"/>
        <charset val="204"/>
      </rPr>
      <t>НЕТ в нал</t>
    </r>
    <r>
      <rPr>
        <b/>
        <sz val="11"/>
        <rFont val="Times New Roman"/>
        <family val="1"/>
        <charset val="204"/>
      </rPr>
      <t xml:space="preserve">     </t>
    </r>
  </si>
  <si>
    <r>
      <t xml:space="preserve">ООО «Юнайтед Билдерз»                           </t>
    </r>
    <r>
      <rPr>
        <sz val="11"/>
        <rFont val="Times New Roman"/>
        <family val="1"/>
        <charset val="204"/>
      </rPr>
      <t xml:space="preserve"> г. Москва, ул.Правды, д.8, кор.7.                </t>
    </r>
  </si>
  <si>
    <r>
      <t xml:space="preserve">№ 84/1-13 от 26.08.13 г.     </t>
    </r>
    <r>
      <rPr>
        <sz val="11"/>
        <color rgb="FFFF0000"/>
        <rFont val="Times New Roman"/>
        <family val="1"/>
        <charset val="204"/>
      </rPr>
      <t>Подписан</t>
    </r>
  </si>
  <si>
    <r>
      <t>Агат - С</t>
    </r>
    <r>
      <rPr>
        <b/>
        <sz val="11"/>
        <rFont val="Times New Roman"/>
        <family val="1"/>
        <charset val="204"/>
      </rPr>
      <t xml:space="preserve">                                    Ремонтно-отделочные работы  шахт подъемного оборудования</t>
    </r>
  </si>
  <si>
    <r>
      <t>№ 84/2-13 от 26.08.13 г.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</si>
  <si>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>ООО "ВИКОНТ"</t>
    </r>
    <r>
      <rPr>
        <b/>
        <sz val="11"/>
        <rFont val="Times New Roman"/>
        <family val="1"/>
        <charset val="204"/>
      </rPr>
      <t xml:space="preserve">                                 Переделка шахты лифтов под новое лифтовое оборудование: </t>
    </r>
  </si>
  <si>
    <r>
      <t>ООО "Подъемные системы ТОР"</t>
    </r>
    <r>
      <rPr>
        <b/>
        <sz val="11"/>
        <rFont val="Times New Roman"/>
        <family val="1"/>
        <charset val="204"/>
      </rPr>
      <t xml:space="preserve"> механомонтаж</t>
    </r>
  </si>
  <si>
    <r>
      <t xml:space="preserve">Макушина Янита Геннадьевна     </t>
    </r>
    <r>
      <rPr>
        <sz val="11"/>
        <rFont val="Times New Roman"/>
        <family val="1"/>
        <charset val="204"/>
      </rPr>
      <t xml:space="preserve">     Московская область, Одинцовский район, Барвихинское с.п., д. Жуковка, ДП «Жуковка-2» </t>
    </r>
  </si>
  <si>
    <r>
      <t>№ 34-14                            от 01.09.14</t>
    </r>
    <r>
      <rPr>
        <b/>
        <sz val="11"/>
        <color rgb="FFFF0000"/>
        <rFont val="Times New Roman"/>
        <family val="1"/>
        <charset val="204"/>
      </rPr>
      <t xml:space="preserve">   </t>
    </r>
  </si>
  <si>
    <r>
      <t>122660,69                    +</t>
    </r>
    <r>
      <rPr>
        <sz val="11"/>
        <color rgb="FFFF0000"/>
        <rFont val="Times New Roman"/>
        <family val="1"/>
        <charset val="204"/>
      </rPr>
      <t>6526626,30</t>
    </r>
  </si>
  <si>
    <r>
      <t>"СОДИМАС ГРУП"</t>
    </r>
    <r>
      <rPr>
        <sz val="11"/>
        <rFont val="Times New Roman"/>
        <family val="1"/>
        <charset val="204"/>
      </rPr>
      <t xml:space="preserve"> Поставка  лифта г/п 375 кг</t>
    </r>
  </si>
  <si>
    <r>
      <t xml:space="preserve">ООО «Лифткомплекс»                           </t>
    </r>
    <r>
      <rPr>
        <sz val="11"/>
        <rFont val="Times New Roman"/>
        <family val="1"/>
        <charset val="204"/>
      </rPr>
      <t xml:space="preserve"> Саратовская обл., Саратовский муниципльный р-н, Расковское муниципальное образование, на расстоянии 1 км севернее пересечения Вольсокго и Сокурского трактов, кадастровый номер зем.уч-ка 64:32:03 15 10:88</t>
    </r>
  </si>
  <si>
    <r>
      <t>№ 86/09/13ПМ/2 от 04.10.13 г.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</si>
  <si>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№ 86/09/13ПМ/1 от 04.10.13 г.  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</si>
  <si>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ООО «Строительный Альянс»                                            </t>
    </r>
    <r>
      <rPr>
        <sz val="11"/>
        <rFont val="Times New Roman"/>
        <family val="1"/>
        <charset val="204"/>
      </rPr>
      <t xml:space="preserve"> Московская область, г. Подольск, ул. Парковая, д.2.</t>
    </r>
  </si>
  <si>
    <r>
      <t xml:space="preserve">№ 86/1-13 от 03.09.13                   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</si>
  <si>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>ГАБРИС</t>
    </r>
    <r>
      <rPr>
        <sz val="11"/>
        <rFont val="Times New Roman"/>
        <family val="1"/>
        <charset val="204"/>
      </rPr>
      <t xml:space="preserve">                                     Устройство металлокаркаса для четвертого уровня подъема грузового  подъемника ПГКС-К3-2000 </t>
    </r>
  </si>
  <si>
    <r>
      <t xml:space="preserve">ООО «Красная Заря-СТ»                               </t>
    </r>
    <r>
      <rPr>
        <sz val="11"/>
        <rFont val="Times New Roman"/>
        <family val="1"/>
        <charset val="204"/>
      </rPr>
      <t xml:space="preserve"> г.Москва, Малая Семеновская ул., дом 30</t>
    </r>
  </si>
  <si>
    <r>
      <t>Частное лицо</t>
    </r>
    <r>
      <rPr>
        <sz val="11"/>
        <rFont val="Times New Roman"/>
        <family val="1"/>
        <charset val="204"/>
      </rPr>
      <t xml:space="preserve"> - </t>
    </r>
    <r>
      <rPr>
        <sz val="11"/>
        <color rgb="FFFF0000"/>
        <rFont val="Times New Roman"/>
        <family val="1"/>
        <charset val="204"/>
      </rPr>
      <t>на согласовании г</t>
    </r>
    <r>
      <rPr>
        <sz val="11"/>
        <rFont val="Times New Roman"/>
        <family val="1"/>
        <charset val="204"/>
      </rPr>
      <t>. Москва, Ащеулов переулок дом 4</t>
    </r>
  </si>
  <si>
    <r>
      <t xml:space="preserve">ООО «Строй-пласт»                                  </t>
    </r>
    <r>
      <rPr>
        <sz val="11"/>
        <rFont val="Times New Roman"/>
        <family val="1"/>
        <charset val="204"/>
      </rPr>
      <t xml:space="preserve">Московская область, г. Ступино, торговый центр    </t>
    </r>
  </si>
  <si>
    <r>
      <t>"СОДИМАС ГРУП"</t>
    </r>
    <r>
      <rPr>
        <sz val="11"/>
        <rFont val="Times New Roman"/>
        <family val="1"/>
        <charset val="204"/>
      </rPr>
      <t xml:space="preserve"> Поставка 3-х лифтов, Эскалатора и Траволтора</t>
    </r>
  </si>
  <si>
    <r>
      <t>ООО "Рокада сервисная Компания"</t>
    </r>
    <r>
      <rPr>
        <sz val="11"/>
        <rFont val="Times New Roman"/>
        <family val="1"/>
        <charset val="204"/>
      </rPr>
      <t xml:space="preserve">                               - поставка 4-х малых грузовых лифтов"</t>
    </r>
  </si>
  <si>
    <r>
      <t xml:space="preserve">№ 93/1-13            от 14.11.13   </t>
    </r>
    <r>
      <rPr>
        <b/>
        <sz val="11"/>
        <color rgb="FFFF0000"/>
        <rFont val="Times New Roman"/>
        <family val="1"/>
        <charset val="204"/>
      </rPr>
      <t>печати подписи</t>
    </r>
  </si>
  <si>
    <r>
      <t xml:space="preserve">ЗАО  «1С» </t>
    </r>
    <r>
      <rPr>
        <sz val="11"/>
        <rFont val="Times New Roman"/>
        <family val="1"/>
        <charset val="204"/>
      </rPr>
      <t xml:space="preserve">                          г.Москва, Дмитровское шоссе, дом 9 </t>
    </r>
  </si>
  <si>
    <r>
      <t xml:space="preserve">№95/3 -13 от 03/02/14                 </t>
    </r>
    <r>
      <rPr>
        <b/>
        <sz val="11"/>
        <color rgb="FFFF0000"/>
        <rFont val="Times New Roman"/>
        <family val="1"/>
        <charset val="204"/>
      </rPr>
      <t xml:space="preserve">   Дог. и акты подписаны</t>
    </r>
  </si>
  <si>
    <r>
      <t xml:space="preserve">№95/1 -13 от 10/12/13                 </t>
    </r>
    <r>
      <rPr>
        <sz val="11"/>
        <color rgb="FFFF0000"/>
        <rFont val="Times New Roman"/>
        <family val="1"/>
        <charset val="204"/>
      </rPr>
      <t>Дог. и акты подписаны</t>
    </r>
  </si>
  <si>
    <r>
      <t>ТОРГПРОМСЕРВИС</t>
    </r>
    <r>
      <rPr>
        <sz val="11"/>
        <rFont val="Times New Roman"/>
        <family val="1"/>
        <charset val="204"/>
      </rPr>
      <t xml:space="preserve">  CМР по ремонтно-доделочным работам двух металлокаркасных шахт для лифтов</t>
    </r>
  </si>
  <si>
    <r>
      <t xml:space="preserve">№95/2 -13 от 10/12/13                  </t>
    </r>
    <r>
      <rPr>
        <b/>
        <sz val="11"/>
        <color rgb="FFFF0000"/>
        <rFont val="Times New Roman"/>
        <family val="1"/>
        <charset val="204"/>
      </rPr>
      <t>Дог. и акты подписаны</t>
    </r>
  </si>
  <si>
    <r>
      <t>ГАБРИС</t>
    </r>
    <r>
      <rPr>
        <sz val="11"/>
        <rFont val="Times New Roman"/>
        <family val="1"/>
        <charset val="204"/>
      </rPr>
      <t xml:space="preserve">   металлокаркас шахт для лифтов</t>
    </r>
  </si>
  <si>
    <r>
      <t xml:space="preserve">ООО «Технолифт» </t>
    </r>
    <r>
      <rPr>
        <sz val="11"/>
        <rFont val="Times New Roman"/>
        <family val="1"/>
        <charset val="204"/>
      </rPr>
      <t xml:space="preserve">                                      г. Москва, Инновационный центр «Сколково»</t>
    </r>
  </si>
  <si>
    <r>
      <t xml:space="preserve">№М 07/1-13 от 19.11.13 </t>
    </r>
    <r>
      <rPr>
        <b/>
        <sz val="11"/>
        <color rgb="FFFF0000"/>
        <rFont val="Times New Roman"/>
        <family val="1"/>
        <charset val="204"/>
      </rPr>
      <t>копии</t>
    </r>
  </si>
  <si>
    <r>
      <t xml:space="preserve">ООО «Технолифт» </t>
    </r>
    <r>
      <rPr>
        <sz val="11"/>
        <rFont val="Times New Roman"/>
        <family val="1"/>
        <charset val="204"/>
      </rPr>
      <t xml:space="preserve">                                      г. Москва, Инновационный центр «Сколково»                           </t>
    </r>
  </si>
  <si>
    <r>
      <t xml:space="preserve">№М/1- 04/14 от 12.03.14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</si>
  <si>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ООО «Техносервис»                                               </t>
    </r>
    <r>
      <rPr>
        <sz val="11"/>
        <rFont val="Times New Roman"/>
        <family val="1"/>
        <charset val="204"/>
      </rPr>
      <t xml:space="preserve">  Московская область, 
г. Подольск,  ул. Федорова д.19                                  </t>
    </r>
    <r>
      <rPr>
        <sz val="11"/>
        <color rgb="FF008000"/>
        <rFont val="Times New Roman"/>
        <family val="1"/>
        <charset val="204"/>
      </rPr>
      <t>Договора у Николая Николаевича</t>
    </r>
  </si>
  <si>
    <r>
      <t xml:space="preserve">Установка пассажирского лифта грузоподъемностью 630 кг электрического                      </t>
    </r>
    <r>
      <rPr>
        <b/>
        <sz val="11"/>
        <color rgb="FFFF0000"/>
        <rFont val="Times New Roman"/>
        <family val="1"/>
        <charset val="204"/>
      </rPr>
      <t>не подписан</t>
    </r>
  </si>
  <si>
    <r>
      <t xml:space="preserve">Реализация старого лифта г                     </t>
    </r>
    <r>
      <rPr>
        <b/>
        <sz val="11"/>
        <color rgb="FFFF0000"/>
        <rFont val="Times New Roman"/>
        <family val="1"/>
        <charset val="204"/>
      </rPr>
      <t>не подписан</t>
    </r>
  </si>
  <si>
    <r>
      <t xml:space="preserve">ФГБУ ЦР Минздрава России,                          </t>
    </r>
    <r>
      <rPr>
        <sz val="11"/>
        <rFont val="Times New Roman"/>
        <family val="1"/>
        <charset val="204"/>
      </rPr>
      <t xml:space="preserve"> г.Москва, г.Троицк, ФГБУ ЦР Минздрав России,</t>
    </r>
    <r>
      <rPr>
        <b/>
        <sz val="11"/>
        <rFont val="Times New Roman"/>
        <family val="1"/>
        <charset val="204"/>
      </rPr>
      <t xml:space="preserve">                            </t>
    </r>
    <r>
      <rPr>
        <b/>
        <sz val="11"/>
        <color rgb="FFFF0000"/>
        <rFont val="Times New Roman"/>
        <family val="1"/>
        <charset val="204"/>
      </rPr>
      <t>найти Договор</t>
    </r>
  </si>
  <si>
    <r>
      <t xml:space="preserve">ООО «КРТпроект»                </t>
    </r>
    <r>
      <rPr>
        <b/>
        <sz val="11"/>
        <color rgb="FFFF0000"/>
        <rFont val="Times New Roman"/>
        <family val="1"/>
        <charset val="204"/>
      </rPr>
      <t xml:space="preserve"> нет договора </t>
    </r>
    <r>
      <rPr>
        <b/>
        <sz val="11"/>
        <rFont val="Times New Roman"/>
        <family val="1"/>
        <charset val="204"/>
      </rPr>
      <t xml:space="preserve">                         </t>
    </r>
    <r>
      <rPr>
        <sz val="11"/>
        <rFont val="Times New Roman"/>
        <family val="1"/>
        <charset val="204"/>
      </rPr>
      <t xml:space="preserve">  г. Москва, ул. Б. Якиманка, вл. 2-4 </t>
    </r>
  </si>
  <si>
    <r>
      <t xml:space="preserve">ПД по установке лифта г/п 1600 кг производства «ThyssenKrupp»                                    </t>
    </r>
    <r>
      <rPr>
        <b/>
        <sz val="11"/>
        <color rgb="FFFF0000"/>
        <rFont val="Times New Roman"/>
        <family val="1"/>
        <charset val="204"/>
      </rPr>
      <t xml:space="preserve">  в разработке</t>
    </r>
  </si>
  <si>
    <r>
      <t xml:space="preserve">ООО «СтройТек»        </t>
    </r>
    <r>
      <rPr>
        <b/>
        <sz val="11"/>
        <color rgb="FFFF0000"/>
        <rFont val="Times New Roman"/>
        <family val="1"/>
        <charset val="204"/>
      </rPr>
      <t xml:space="preserve">   </t>
    </r>
    <r>
      <rPr>
        <sz val="11"/>
        <color rgb="FFFF0000"/>
        <rFont val="Times New Roman"/>
        <family val="1"/>
        <charset val="204"/>
      </rPr>
      <t xml:space="preserve">    </t>
    </r>
    <r>
      <rPr>
        <b/>
        <sz val="11"/>
        <rFont val="Times New Roman"/>
        <family val="1"/>
        <charset val="204"/>
      </rPr>
      <t xml:space="preserve">                              </t>
    </r>
    <r>
      <rPr>
        <sz val="11"/>
        <rFont val="Times New Roman"/>
        <family val="1"/>
        <charset val="204"/>
      </rPr>
      <t xml:space="preserve">    г.Москва, Россошанский проезд, дом 3, </t>
    </r>
  </si>
  <si>
    <r>
      <t xml:space="preserve">ООО «Люкстон»                                               </t>
    </r>
    <r>
      <rPr>
        <sz val="11"/>
        <rFont val="Times New Roman"/>
        <family val="1"/>
        <charset val="204"/>
      </rPr>
      <t xml:space="preserve">    г.Москва, Новый Арбат, д.7, строение 1  </t>
    </r>
  </si>
  <si>
    <r>
      <t xml:space="preserve">2276000 </t>
    </r>
    <r>
      <rPr>
        <sz val="11"/>
        <color rgb="FFFF0000"/>
        <rFont val="Times New Roman"/>
        <family val="1"/>
        <charset val="204"/>
      </rPr>
      <t>наловый</t>
    </r>
  </si>
  <si>
    <r>
      <t xml:space="preserve">ООО «СтройТек»      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                             </t>
    </r>
    <r>
      <rPr>
        <sz val="11"/>
        <rFont val="Times New Roman"/>
        <family val="1"/>
        <charset val="204"/>
      </rPr>
      <t xml:space="preserve">    г.Москва, Россошанский проезд, дом 3, </t>
    </r>
  </si>
  <si>
    <r>
      <t>№ 108-14                    /</t>
    </r>
    <r>
      <rPr>
        <b/>
        <sz val="11"/>
        <rFont val="Times New Roman"/>
        <family val="1"/>
        <charset val="204"/>
      </rPr>
      <t>№СТ-ТЛ/06-2014                     от 17.06.14</t>
    </r>
  </si>
  <si>
    <r>
      <t xml:space="preserve">№72/2-14 от 14.08.2014 г.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</si>
  <si>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ООО "СТРОИТЕЛЬСТВО БЕЗОПАСНОСТЬ" </t>
    </r>
    <r>
      <rPr>
        <b/>
        <sz val="11"/>
        <rFont val="Times New Roman"/>
        <family val="1"/>
        <charset val="204"/>
      </rPr>
      <t>Ремонтные работы по шахте лифта</t>
    </r>
  </si>
  <si>
    <r>
      <t xml:space="preserve">Подъемные системы ТОР - </t>
    </r>
    <r>
      <rPr>
        <sz val="11"/>
        <rFont val="Times New Roman"/>
        <family val="1"/>
        <charset val="204"/>
      </rPr>
      <t>изготовлениt и монтаж металлоконструкций  во внутренней шахте лифта грузоподъемностью 1000 кг</t>
    </r>
  </si>
  <si>
    <r>
      <t xml:space="preserve">№79/1-14 от 14.07.2014 г.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</si>
  <si>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ООО "ТОРГСИНТЕЗ" </t>
    </r>
    <r>
      <rPr>
        <b/>
        <sz val="11"/>
        <rFont val="Times New Roman"/>
        <family val="1"/>
        <charset val="204"/>
      </rPr>
      <t>Ремонтные работы по шахте лифта</t>
    </r>
  </si>
  <si>
    <r>
      <t xml:space="preserve">КЕВЕЛ  ИНВЕСТМЕНТС ЛИМИТЕД </t>
    </r>
    <r>
      <rPr>
        <sz val="11"/>
        <rFont val="Times New Roman"/>
        <family val="1"/>
        <charset val="204"/>
      </rPr>
      <t xml:space="preserve"> г.Москва ул. Вятская д.27 стр.12</t>
    </r>
  </si>
  <si>
    <r>
      <t xml:space="preserve">№ 346-К/1 от 27.06.14                  </t>
    </r>
    <r>
      <rPr>
        <b/>
        <sz val="11"/>
        <color rgb="FFFF0000"/>
        <rFont val="Times New Roman"/>
        <family val="1"/>
        <charset val="204"/>
      </rPr>
      <t xml:space="preserve">   подписан</t>
    </r>
  </si>
  <si>
    <r>
      <t xml:space="preserve">ООО "СТРОИТЕЛЬСТВО БЕЗОПАСНОСТЬ </t>
    </r>
    <r>
      <rPr>
        <b/>
        <sz val="11"/>
        <rFont val="Times New Roman"/>
        <family val="1"/>
        <charset val="204"/>
      </rPr>
      <t>Ремонтные работы по шахте лифта</t>
    </r>
  </si>
  <si>
    <r>
      <t xml:space="preserve">ФГБУ ЦР Минздрава России,                          </t>
    </r>
    <r>
      <rPr>
        <sz val="11"/>
        <rFont val="Times New Roman"/>
        <family val="1"/>
        <charset val="204"/>
      </rPr>
      <t xml:space="preserve"> г.Москва, г.Троицк, ФГБУ ЦР Минздрав России, </t>
    </r>
  </si>
  <si>
    <r>
      <t xml:space="preserve">ООО "СПОРТПРОЕКТ                              </t>
    </r>
    <r>
      <rPr>
        <sz val="11"/>
        <rFont val="Times New Roman"/>
        <family val="1"/>
        <charset val="204"/>
      </rPr>
      <t xml:space="preserve"> г. Москва, Шмитовский проезд,  дом 3, корп.1            Договор у Лебедева                                  </t>
    </r>
    <r>
      <rPr>
        <b/>
        <sz val="11"/>
        <color rgb="FFFF0000"/>
        <rFont val="Times New Roman"/>
        <family val="1"/>
        <charset val="204"/>
      </rPr>
      <t xml:space="preserve"> </t>
    </r>
  </si>
  <si>
    <r>
      <t xml:space="preserve">ОАО «Ростелеком»,                  </t>
    </r>
    <r>
      <rPr>
        <sz val="11"/>
        <rFont val="Times New Roman"/>
        <family val="1"/>
        <charset val="204"/>
      </rPr>
      <t>г. Москва, ул. Арбат д.46</t>
    </r>
  </si>
  <si>
    <r>
      <t xml:space="preserve">№ 01/25/533.1-14 от 11.08.2014 г.                        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</si>
  <si>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от 08.10.14 </t>
    </r>
    <r>
      <rPr>
        <b/>
        <sz val="11"/>
        <color rgb="FFFF0000"/>
        <rFont val="Times New Roman"/>
        <family val="1"/>
        <charset val="204"/>
      </rPr>
      <t xml:space="preserve">       </t>
    </r>
  </si>
  <si>
    <r>
      <t xml:space="preserve">ООО «Технолифт» </t>
    </r>
    <r>
      <rPr>
        <sz val="11"/>
        <rFont val="Times New Roman"/>
        <family val="1"/>
        <charset val="204"/>
      </rPr>
      <t xml:space="preserve">                                      г. Москва, Инновационный центр «Сколково»                      </t>
    </r>
  </si>
  <si>
    <r>
      <t xml:space="preserve">№М/25- 08/14 от 29.07.14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</si>
  <si>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ООО «Дымовское колбасное производство                         </t>
    </r>
    <r>
      <rPr>
        <sz val="11"/>
        <rFont val="Times New Roman"/>
        <family val="1"/>
        <charset val="204"/>
      </rPr>
      <t>г. Москва, ул. Крылатская, д.37.</t>
    </r>
  </si>
  <si>
    <r>
      <t xml:space="preserve">ООО «Кутузовский-2»               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  </t>
    </r>
    <r>
      <rPr>
        <sz val="11"/>
        <rFont val="Times New Roman"/>
        <family val="1"/>
        <charset val="204"/>
      </rPr>
      <t xml:space="preserve"> г. Москва, Кутузовский проспект, дом 2 </t>
    </r>
  </si>
  <si>
    <r>
      <t xml:space="preserve">ООО «НОРДСТРОЙ» </t>
    </r>
    <r>
      <rPr>
        <sz val="11"/>
        <rFont val="Times New Roman"/>
        <family val="1"/>
        <charset val="204"/>
      </rPr>
      <t xml:space="preserve">                                 г. Москва, ул.Б.Якиманка, д.2 </t>
    </r>
  </si>
  <si>
    <r>
      <t>Акт не подписан, надо делать исп. Док. Демкину -</t>
    </r>
    <r>
      <rPr>
        <sz val="11"/>
        <color rgb="FFFF0000"/>
        <rFont val="Times New Roman"/>
        <family val="1"/>
        <charset val="204"/>
      </rPr>
      <t xml:space="preserve"> Решить вопрос Пастушкову.</t>
    </r>
  </si>
  <si>
    <r>
      <t xml:space="preserve">№ 118/2-14 от 12.11.14                      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</si>
  <si>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№ 118/1-14 от 10.11.14                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</si>
  <si>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ООО "Продвижение" </t>
    </r>
    <r>
      <rPr>
        <sz val="11"/>
        <rFont val="Times New Roman"/>
        <family val="1"/>
        <charset val="204"/>
      </rPr>
      <t xml:space="preserve">МО Красногорский р-н птицефабрика 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</si>
  <si>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МО, Одинцовский район, р.п. Новоивановское, 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</si>
  <si>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Москва, ул. Лескова  дом 16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</si>
  <si>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МО, ПСПК «Звенигородский», индивидуальные жилые дома, уч. № 139 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</si>
  <si>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  г.Москва ул.Элеваторная, дом 12/1 стр.1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</si>
  <si>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                        г.Москва, Малая Семеновская д.30.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</si>
  <si>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Москва,Конный пер-к дом 12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</si>
  <si>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МО, Горки 10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</si>
  <si>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Москва, Россошанский пр-д  дом 3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</si>
  <si>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г.Москва ул.Ферганская, дом 21                       </t>
    </r>
    <r>
      <rPr>
        <b/>
        <sz val="11"/>
        <rFont val="Times New Roman"/>
        <family val="1"/>
        <charset val="204"/>
      </rPr>
      <t xml:space="preserve"> (дог.36-14)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</si>
  <si>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Москва, 3-й Павелецкий пр-д д.4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</si>
  <si>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 г. Москва, Шмитовский проезд, дом 3 корп. 1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</si>
  <si>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 г. Москва, ул. Мытная, д. 46, стр. 5                         </t>
    </r>
    <r>
      <rPr>
        <b/>
        <sz val="11"/>
        <rFont val="Times New Roman"/>
        <family val="1"/>
        <charset val="204"/>
      </rPr>
      <t xml:space="preserve">  (дог.45-15)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</si>
  <si>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                                                     г. Москва, Сколково                         </t>
    </r>
  </si>
  <si>
    <r>
      <t>ВШЭ Б.Трехсвятительский пер. д.3</t>
    </r>
    <r>
      <rPr>
        <sz val="11"/>
        <color rgb="FFFF0000"/>
        <rFont val="Times New Roman"/>
        <family val="1"/>
        <charset val="204"/>
      </rPr>
      <t xml:space="preserve"> </t>
    </r>
  </si>
  <si>
    <r>
      <t xml:space="preserve">«ГлавСтройГрупп»                         </t>
    </r>
    <r>
      <rPr>
        <sz val="11"/>
        <rFont val="Times New Roman"/>
        <family val="1"/>
        <charset val="204"/>
      </rPr>
      <t xml:space="preserve"> г. Москва, район Бутырский, мкр. 78, корп.  68”</t>
    </r>
  </si>
  <si>
    <r>
      <t xml:space="preserve">№ 444/14-БУТ/1 от 26.12.14 </t>
    </r>
    <r>
      <rPr>
        <sz val="11"/>
        <color rgb="FFFF0000"/>
        <rFont val="Times New Roman"/>
        <family val="1"/>
        <charset val="204"/>
      </rPr>
      <t xml:space="preserve"> подписан</t>
    </r>
  </si>
  <si>
    <r>
      <t xml:space="preserve">Подъемные системы  ТОР  </t>
    </r>
    <r>
      <rPr>
        <sz val="11"/>
        <rFont val="Times New Roman"/>
        <family val="1"/>
        <charset val="204"/>
      </rPr>
      <t xml:space="preserve">                              монтажные работы 3-х лифтов г/п 630 кг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</si>
  <si>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г. Москва Дмитровское шоссе дом 73 стр.3</t>
    </r>
  </si>
  <si>
    <r>
      <t>1000000</t>
    </r>
    <r>
      <rPr>
        <b/>
        <sz val="11"/>
        <color rgb="FFFF0000"/>
        <rFont val="Times New Roman"/>
        <family val="1"/>
        <charset val="204"/>
      </rPr>
      <t xml:space="preserve">   подписан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</si>
  <si>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 г. Москва, Малая Дмитровка, д. 3 </t>
    </r>
  </si>
  <si>
    <r>
      <t>Подъемные системы ТОР                                                    -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008000"/>
        <rFont val="Times New Roman"/>
        <family val="1"/>
        <charset val="204"/>
      </rPr>
      <t>субподряд</t>
    </r>
    <r>
      <rPr>
        <b/>
        <sz val="11"/>
        <color rgb="FF008000"/>
        <rFont val="Times New Roman"/>
        <family val="1"/>
        <charset val="204"/>
      </rPr>
      <t xml:space="preserve">     г.Москва, Настасьинский пер. д.2  </t>
    </r>
  </si>
  <si>
    <r>
      <t xml:space="preserve">Бидило Игорь                                          </t>
    </r>
    <r>
      <rPr>
        <sz val="11"/>
        <rFont val="Times New Roman"/>
        <family val="1"/>
        <charset val="204"/>
      </rPr>
      <t xml:space="preserve"> г. Москва, Луков переулок, д. 4</t>
    </r>
  </si>
  <si>
    <r>
      <t xml:space="preserve">ООО «Технолифт Сервис»                                           </t>
    </r>
    <r>
      <rPr>
        <sz val="11"/>
        <rFont val="Times New Roman"/>
        <family val="1"/>
        <charset val="204"/>
      </rPr>
      <t xml:space="preserve"> г. Москва, Большой Трехсвятительский переулок,  д. 3 </t>
    </r>
  </si>
  <si>
    <r>
      <t>ООО  «Омега»</t>
    </r>
    <r>
      <rPr>
        <sz val="11"/>
        <rFont val="Times New Roman"/>
        <family val="1"/>
        <charset val="204"/>
      </rPr>
      <t xml:space="preserve"> монтаж металлокаркасной шахты оборудования</t>
    </r>
    <r>
      <rPr>
        <sz val="11"/>
        <color rgb="FFFF0000"/>
        <rFont val="Times New Roman"/>
        <family val="1"/>
        <charset val="204"/>
      </rPr>
      <t xml:space="preserve">                ЗАКАЗАТЬ П</t>
    </r>
  </si>
  <si>
    <r>
      <t xml:space="preserve">ООО  «Новые венчурные инвестиции»                    </t>
    </r>
    <r>
      <rPr>
        <sz val="11"/>
        <rFont val="Times New Roman"/>
        <family val="1"/>
        <charset val="204"/>
      </rPr>
      <t xml:space="preserve">г.Москва, 3-й Павелецкий проезд, дом 4 </t>
    </r>
  </si>
  <si>
    <r>
      <t xml:space="preserve">ООО  «Новые венчурные инвестиции»                    </t>
    </r>
    <r>
      <rPr>
        <sz val="11"/>
        <rFont val="Times New Roman"/>
        <family val="1"/>
        <charset val="204"/>
      </rPr>
      <t xml:space="preserve">г.Москва, 2-й Павелецкий проезд, дом 5 стр.1 </t>
    </r>
  </si>
  <si>
    <r>
      <t xml:space="preserve">ООО  «ТАУРИС»                    </t>
    </r>
    <r>
      <rPr>
        <sz val="11"/>
        <rFont val="Times New Roman"/>
        <family val="1"/>
        <charset val="204"/>
      </rPr>
      <t xml:space="preserve">г.Москва, 1-ая Брестская улица, д. 15 </t>
    </r>
  </si>
  <si>
    <r>
      <t xml:space="preserve">АО «АСТЕРОС»                    </t>
    </r>
    <r>
      <rPr>
        <sz val="11"/>
        <rFont val="Times New Roman"/>
        <family val="1"/>
        <charset val="204"/>
      </rPr>
      <t xml:space="preserve">Московская область, г. Балашиха, ул. Белякова, вл.1Б  </t>
    </r>
  </si>
  <si>
    <r>
      <t xml:space="preserve">                                               </t>
    </r>
    <r>
      <rPr>
        <b/>
        <sz val="11"/>
        <rFont val="Times New Roman"/>
        <family val="1"/>
        <charset val="204"/>
      </rPr>
      <t>№ 15/14/1</t>
    </r>
    <r>
      <rPr>
        <b/>
        <sz val="11"/>
        <rFont val="Times New Roman"/>
        <family val="1"/>
        <charset val="204"/>
      </rPr>
      <t xml:space="preserve">                            (131-15)                                         от 15.04.15</t>
    </r>
  </si>
  <si>
    <r>
      <t xml:space="preserve">от 08.06.15                                          </t>
    </r>
    <r>
      <rPr>
        <sz val="11"/>
        <color rgb="FFFF0000"/>
        <rFont val="Times New Roman"/>
        <family val="1"/>
        <charset val="204"/>
      </rPr>
      <t>от 15.07.15 - Лебедев</t>
    </r>
  </si>
  <si>
    <r>
      <t xml:space="preserve">ООО  «СтройЛюкс» </t>
    </r>
    <r>
      <rPr>
        <sz val="11"/>
        <rFont val="Times New Roman"/>
        <family val="1"/>
        <charset val="204"/>
      </rPr>
      <t xml:space="preserve">Демонтаж существующего подъемного оборудования            </t>
    </r>
    <r>
      <rPr>
        <sz val="11"/>
        <color rgb="FFFF0000"/>
        <rFont val="Times New Roman"/>
        <family val="1"/>
        <charset val="204"/>
      </rPr>
      <t xml:space="preserve"> ЗАКАЗАТЬ П</t>
    </r>
  </si>
  <si>
    <r>
      <t xml:space="preserve">ЗАО «Штрабаг»                                           </t>
    </r>
    <r>
      <rPr>
        <sz val="11"/>
        <rFont val="Times New Roman"/>
        <family val="1"/>
        <charset val="204"/>
      </rPr>
      <t>МО, г.Домодедово, Территория "Аэропорт "Домодедово"</t>
    </r>
  </si>
  <si>
    <r>
      <t>4746506,26+947785,07+2363820,8+591805,19+171133,6+106810,35+5622757,08+2502661,72+579943,58+4414154,44+1133883,43 +337084,78   =</t>
    </r>
    <r>
      <rPr>
        <sz val="11"/>
        <rFont val="Times New Roman"/>
        <family val="1"/>
        <charset val="204"/>
      </rPr>
      <t xml:space="preserve"> 23181261,52</t>
    </r>
  </si>
  <si>
    <r>
      <t xml:space="preserve">ООО  «СтройЛюкс» </t>
    </r>
    <r>
      <rPr>
        <sz val="11"/>
        <rFont val="Times New Roman"/>
        <family val="1"/>
        <charset val="204"/>
      </rPr>
      <t xml:space="preserve"> CМР монтаж конструкций шахты лифта </t>
    </r>
    <r>
      <rPr>
        <sz val="11"/>
        <color rgb="FFFF0000"/>
        <rFont val="Times New Roman"/>
        <family val="1"/>
        <charset val="204"/>
      </rPr>
      <t>ЗАКАЗАТЬ П</t>
    </r>
  </si>
  <si>
    <r>
      <t xml:space="preserve">№1 -4 746 506,26 от 17.02.16                           № 2 - 947 785,07  от 23.08.16                №3 -2 363 820,80  от 31.08.16                     № 4 - 591 805,19  от 28.09.16                          № 5 - 171 133,60  от 19.10.16                    </t>
    </r>
    <r>
      <rPr>
        <sz val="11"/>
        <color rgb="FFFF0000"/>
        <rFont val="Times New Roman"/>
        <family val="1"/>
        <charset val="204"/>
      </rPr>
      <t xml:space="preserve"> №6 - 106 810,35 от 12.12.16 </t>
    </r>
    <r>
      <rPr>
        <sz val="11"/>
        <rFont val="Times New Roman"/>
        <family val="1"/>
        <charset val="204"/>
      </rPr>
      <t xml:space="preserve">                      № 7 - 5622757,08   от 12.01.17            № 8 -2502661,72 от 05.04.17                             № 9 - 579 943,58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от 07.09.17             №10-4 414 154,44    от 30.11.17                     № 11 1133883,43      от 08.12.2017     </t>
    </r>
    <r>
      <rPr>
        <sz val="11"/>
        <color rgb="FFFF0000"/>
        <rFont val="Times New Roman"/>
        <family val="1"/>
        <charset val="204"/>
      </rPr>
      <t xml:space="preserve">                                                      </t>
    </r>
    <r>
      <rPr>
        <sz val="11"/>
        <rFont val="Times New Roman"/>
        <family val="1"/>
        <charset val="204"/>
      </rPr>
      <t xml:space="preserve">  №12 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237951,98 от 31.03.18                №13   + 85 096,76 от 16.04.18                        = </t>
    </r>
    <r>
      <rPr>
        <b/>
        <sz val="11"/>
        <color rgb="FFFF0000"/>
        <rFont val="Times New Roman"/>
        <family val="1"/>
        <charset val="204"/>
      </rPr>
      <t xml:space="preserve">23 504 310,26  </t>
    </r>
    <r>
      <rPr>
        <b/>
        <sz val="11"/>
        <rFont val="Times New Roman"/>
        <family val="1"/>
        <charset val="204"/>
      </rPr>
      <t xml:space="preserve"> №14 +1180336,08  от 29.12.18 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№15+2706599,18 от 19.03.19                          №16 от 11.01.2021+531512,78                            №17 от 31.08.21  1533941,03   </t>
    </r>
  </si>
  <si>
    <r>
      <t>ООО  «Мегатре</t>
    </r>
    <r>
      <rPr>
        <sz val="11"/>
        <rFont val="Times New Roman"/>
        <family val="1"/>
        <charset val="204"/>
      </rPr>
      <t>йд»   Монтаж конструкций шахты лифта</t>
    </r>
  </si>
  <si>
    <r>
      <t>ООО  «ТОРГВЕСТ</t>
    </r>
    <r>
      <rPr>
        <sz val="11"/>
        <rFont val="Times New Roman"/>
        <family val="1"/>
        <charset val="204"/>
      </rPr>
      <t>»   Изготовление металлоконструкций  шахты лифта</t>
    </r>
  </si>
  <si>
    <r>
      <t>ООО  «СтройМонтажПоставка</t>
    </r>
    <r>
      <rPr>
        <sz val="11"/>
        <rFont val="Times New Roman"/>
        <family val="1"/>
        <charset val="204"/>
      </rPr>
      <t>»   Изготовление металлоконструкций  шахты лифта</t>
    </r>
  </si>
  <si>
    <r>
      <t>СИТИТОРГ</t>
    </r>
    <r>
      <rPr>
        <b/>
        <sz val="11"/>
        <rFont val="Times New Roman"/>
        <family val="1"/>
        <charset val="204"/>
      </rPr>
      <t xml:space="preserve">     изготовление металлоконструкций</t>
    </r>
  </si>
  <si>
    <r>
      <t>ООО  «ЭРИДА</t>
    </r>
    <r>
      <rPr>
        <sz val="11"/>
        <rFont val="Times New Roman"/>
        <family val="1"/>
        <charset val="204"/>
      </rPr>
      <t>»   Изготовление металлоконструкций  шахты лифта</t>
    </r>
  </si>
  <si>
    <r>
      <t xml:space="preserve">ООО Техноимпорт» </t>
    </r>
    <r>
      <rPr>
        <sz val="11"/>
        <color rgb="FFFF00FF"/>
        <rFont val="Times New Roman"/>
        <family val="1"/>
        <charset val="204"/>
      </rPr>
      <t xml:space="preserve"> Изготовление МК</t>
    </r>
  </si>
  <si>
    <r>
      <t>ООО "Стандарт"</t>
    </r>
    <r>
      <rPr>
        <b/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 Изготовление МК</t>
    </r>
  </si>
  <si>
    <r>
      <t xml:space="preserve">ООО "ТАБАТА" </t>
    </r>
    <r>
      <rPr>
        <sz val="11"/>
        <rFont val="Times New Roman"/>
        <family val="1"/>
        <charset val="204"/>
      </rPr>
      <t xml:space="preserve"> Изготовление МК</t>
    </r>
  </si>
  <si>
    <r>
      <t xml:space="preserve">ООО "ДЕРБИ" </t>
    </r>
    <r>
      <rPr>
        <sz val="11"/>
        <rFont val="Times New Roman"/>
        <family val="1"/>
        <charset val="204"/>
      </rPr>
      <t xml:space="preserve"> Изготовление и монтаж МК</t>
    </r>
  </si>
  <si>
    <r>
      <t>311800          +250000   +110750       +415200             +</t>
    </r>
    <r>
      <rPr>
        <b/>
        <sz val="11"/>
        <rFont val="Times New Roman"/>
        <family val="1"/>
        <charset val="204"/>
      </rPr>
      <t>582300</t>
    </r>
    <r>
      <rPr>
        <b/>
        <sz val="11"/>
        <rFont val="Times New Roman"/>
        <family val="1"/>
        <charset val="204"/>
      </rPr>
      <t xml:space="preserve">     </t>
    </r>
    <r>
      <rPr>
        <b/>
        <sz val="11"/>
        <rFont val="Times New Roman"/>
        <family val="1"/>
        <charset val="204"/>
      </rPr>
      <t>550430</t>
    </r>
    <r>
      <rPr>
        <b/>
        <sz val="11"/>
        <rFont val="Times New Roman"/>
        <family val="1"/>
        <charset val="204"/>
      </rPr>
      <t xml:space="preserve">    +</t>
    </r>
    <r>
      <rPr>
        <b/>
        <sz val="11"/>
        <rFont val="Times New Roman"/>
        <family val="1"/>
        <charset val="204"/>
      </rPr>
      <t xml:space="preserve">249780 </t>
    </r>
    <r>
      <rPr>
        <b/>
        <sz val="11"/>
        <rFont val="Times New Roman"/>
        <family val="1"/>
        <charset val="204"/>
      </rPr>
      <t xml:space="preserve">       +190750   </t>
    </r>
  </si>
  <si>
    <r>
      <t xml:space="preserve">ООО "СК" Элавест" </t>
    </r>
    <r>
      <rPr>
        <b/>
        <sz val="11"/>
        <color rgb="FF800080"/>
        <rFont val="Times New Roman"/>
        <family val="1"/>
        <charset val="204"/>
      </rPr>
      <t>Изготовление и монтаж металлоконструкций</t>
    </r>
  </si>
  <si>
    <r>
      <t xml:space="preserve">ООО "Стройподряд" </t>
    </r>
    <r>
      <rPr>
        <b/>
        <sz val="11"/>
        <color rgb="FF800080"/>
        <rFont val="Times New Roman"/>
        <family val="1"/>
        <charset val="204"/>
      </rPr>
      <t>Изготовление и монтаж металлоконструкций</t>
    </r>
  </si>
  <si>
    <r>
      <t xml:space="preserve">  </t>
    </r>
    <r>
      <rPr>
        <sz val="11"/>
        <color rgb="FF800080"/>
        <rFont val="Times New Roman"/>
        <family val="1"/>
        <charset val="204"/>
      </rPr>
      <t xml:space="preserve"> </t>
    </r>
    <r>
      <rPr>
        <sz val="11"/>
        <color rgb="FF800080"/>
        <rFont val="Times New Roman"/>
        <family val="1"/>
        <charset val="204"/>
      </rPr>
      <t xml:space="preserve">ООО "Принт"  </t>
    </r>
    <r>
      <rPr>
        <sz val="11"/>
        <color rgb="FF800080"/>
        <rFont val="Times New Roman"/>
        <family val="1"/>
        <charset val="204"/>
      </rPr>
      <t xml:space="preserve"> </t>
    </r>
    <r>
      <rPr>
        <b/>
        <sz val="11"/>
        <color rgb="FF800080"/>
        <rFont val="Times New Roman"/>
        <family val="1"/>
        <charset val="204"/>
      </rPr>
      <t xml:space="preserve">          Изготовление и монтаж металлоконструкций</t>
    </r>
  </si>
  <si>
    <r>
      <t xml:space="preserve">ООО "Сагре Плюс"  </t>
    </r>
    <r>
      <rPr>
        <b/>
        <sz val="11"/>
        <color rgb="FF800080"/>
        <rFont val="Times New Roman"/>
        <family val="1"/>
        <charset val="204"/>
      </rPr>
      <t xml:space="preserve">              Монтаж металлоконструкций</t>
    </r>
  </si>
  <si>
    <r>
      <t xml:space="preserve">  </t>
    </r>
    <r>
      <rPr>
        <sz val="11"/>
        <color rgb="FF800080"/>
        <rFont val="Times New Roman"/>
        <family val="1"/>
        <charset val="204"/>
      </rPr>
      <t xml:space="preserve"> </t>
    </r>
    <r>
      <rPr>
        <sz val="11"/>
        <color rgb="FF800080"/>
        <rFont val="Times New Roman"/>
        <family val="1"/>
        <charset val="204"/>
      </rPr>
      <t xml:space="preserve">ООО "Элит-Груп"  </t>
    </r>
    <r>
      <rPr>
        <sz val="11"/>
        <color rgb="FF800080"/>
        <rFont val="Times New Roman"/>
        <family val="1"/>
        <charset val="204"/>
      </rPr>
      <t xml:space="preserve"> </t>
    </r>
    <r>
      <rPr>
        <b/>
        <sz val="11"/>
        <color rgb="FF800080"/>
        <rFont val="Times New Roman"/>
        <family val="1"/>
        <charset val="204"/>
      </rPr>
      <t xml:space="preserve">          Монтаж металлоконструкций</t>
    </r>
  </si>
  <si>
    <r>
      <t>382760</t>
    </r>
    <r>
      <rPr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      +162850 </t>
    </r>
    <r>
      <rPr>
        <sz val="11"/>
        <rFont val="Times New Roman"/>
        <family val="1"/>
        <charset val="204"/>
      </rPr>
      <t xml:space="preserve">  </t>
    </r>
    <r>
      <rPr>
        <b/>
        <sz val="11"/>
        <rFont val="Times New Roman"/>
        <family val="1"/>
        <charset val="204"/>
      </rPr>
      <t xml:space="preserve">          +598760             +280630</t>
    </r>
  </si>
  <si>
    <t>ИП Минасян А.М.                      СМР х к Акту №16</t>
  </si>
  <si>
    <t>ИП Минасян А.М.                      СМР в к Акту №17</t>
  </si>
  <si>
    <r>
      <t xml:space="preserve">  </t>
    </r>
    <r>
      <rPr>
        <b/>
        <sz val="11"/>
        <rFont val="Times New Roman"/>
        <family val="1"/>
        <charset val="204"/>
      </rPr>
      <t xml:space="preserve">  ООО "Дельта" </t>
    </r>
    <r>
      <rPr>
        <b/>
        <sz val="11"/>
        <rFont val="Times New Roman"/>
        <family val="1"/>
        <charset val="204"/>
      </rPr>
      <t xml:space="preserve">                        Монтаж металлоконструкций</t>
    </r>
  </si>
  <si>
    <r>
      <t xml:space="preserve"> № ВТ25 С-2/10-18  от 25.12.18  </t>
    </r>
    <r>
      <rPr>
        <b/>
        <sz val="11"/>
        <color rgb="FF0066CC"/>
        <rFont val="Times New Roman"/>
        <family val="1"/>
        <charset val="204"/>
      </rPr>
      <t>осн. Сп ( промсвязь , альфа)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</si>
  <si>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ООО  «Новые венчурные инвестиции»                    </t>
    </r>
    <r>
      <rPr>
        <sz val="11"/>
        <rFont val="Times New Roman"/>
        <family val="1"/>
        <charset val="204"/>
      </rPr>
      <t>г.Москва, 2-й Павелецкий проезд, дом 5</t>
    </r>
  </si>
  <si>
    <r>
      <t xml:space="preserve">ООО «Адвантаже Констракшн Инжиниринг   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      </t>
    </r>
    <r>
      <rPr>
        <sz val="11"/>
        <rFont val="Times New Roman"/>
        <family val="1"/>
        <charset val="204"/>
      </rPr>
      <t xml:space="preserve"> Ленинградское шоссе д.16 А, cтр.3</t>
    </r>
  </si>
  <si>
    <r>
      <t xml:space="preserve">Публичное акционерное общество  «Моспромстрой"   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      </t>
    </r>
    <r>
      <rPr>
        <sz val="11"/>
        <rFont val="Times New Roman"/>
        <family val="1"/>
        <charset val="204"/>
      </rPr>
      <t xml:space="preserve"> Софийская набережная, дом 34, стр.1 (2-й этап)</t>
    </r>
  </si>
  <si>
    <r>
      <t xml:space="preserve">№483   09/09/15   №3873 от 28.04.16 №3873 от 22.07.16      №6459 от 26.07.16  </t>
    </r>
    <r>
      <rPr>
        <sz val="11"/>
        <color rgb="FF0000FF"/>
        <rFont val="Times New Roman"/>
        <family val="1"/>
        <charset val="204"/>
      </rPr>
      <t xml:space="preserve">  №6600 от 10.08.16</t>
    </r>
  </si>
  <si>
    <r>
      <t xml:space="preserve">ООО  «CCК Ригель» </t>
    </r>
    <r>
      <rPr>
        <sz val="11"/>
        <rFont val="Times New Roman"/>
        <family val="1"/>
        <charset val="204"/>
      </rPr>
      <t xml:space="preserve">  Монтаж конструкций шахты лифта                        </t>
    </r>
    <r>
      <rPr>
        <b/>
        <sz val="11"/>
        <color rgb="FFFF0000"/>
        <rFont val="Times New Roman"/>
        <family val="1"/>
        <charset val="204"/>
      </rPr>
      <t>ЗАКАЗАТЬ П</t>
    </r>
  </si>
  <si>
    <r>
      <t xml:space="preserve">132.3-15 от </t>
    </r>
    <r>
      <rPr>
        <b/>
        <sz val="11"/>
        <rFont val="Times New Roman"/>
        <family val="1"/>
        <charset val="204"/>
      </rPr>
      <t xml:space="preserve"> 14.10.15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</si>
  <si>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>ООО  «ПАРТНЕРЫ</t>
    </r>
    <r>
      <rPr>
        <sz val="11"/>
        <rFont val="Times New Roman"/>
        <family val="1"/>
        <charset val="204"/>
      </rPr>
      <t>»   Изготовление металлоконструкций  шахты лифта</t>
    </r>
  </si>
  <si>
    <r>
      <t>Подъемные системы  "ТОР"</t>
    </r>
    <r>
      <rPr>
        <sz val="11"/>
        <rFont val="Times New Roman"/>
        <family val="1"/>
        <charset val="204"/>
      </rPr>
      <t xml:space="preserve">                                Устройство облицовки лифтовых шахт </t>
    </r>
  </si>
  <si>
    <r>
      <t xml:space="preserve">139С/1-2015 от 17.08.15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</si>
  <si>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ООО  «Мегатрейд» </t>
    </r>
    <r>
      <rPr>
        <sz val="11"/>
        <rFont val="Times New Roman"/>
        <family val="1"/>
        <charset val="204"/>
      </rPr>
      <t xml:space="preserve">  Монтаж конструкций шахты лифта</t>
    </r>
  </si>
  <si>
    <r>
      <t xml:space="preserve">ООО  «ГЛОБАЛСТРОЙ»                    </t>
    </r>
    <r>
      <rPr>
        <sz val="11"/>
        <rFont val="Times New Roman"/>
        <family val="1"/>
        <charset val="204"/>
      </rPr>
      <t>г. Москва, 1-ая Брестская улица, д. 15</t>
    </r>
    <r>
      <rPr>
        <b/>
        <sz val="11"/>
        <color rgb="FFFF0000"/>
        <rFont val="Times New Roman"/>
        <family val="1"/>
        <charset val="204"/>
      </rPr>
      <t xml:space="preserve"> </t>
    </r>
  </si>
  <si>
    <r>
      <t xml:space="preserve">№ 140/2-15                     от 03.08.15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</si>
  <si>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>Подъемные системы  "ТОР"</t>
    </r>
    <r>
      <rPr>
        <sz val="11"/>
        <rFont val="Times New Roman"/>
        <family val="1"/>
        <charset val="204"/>
      </rPr>
      <t xml:space="preserve">                                электромонтажные  работы  лифта </t>
    </r>
  </si>
  <si>
    <r>
      <t>120000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0000FF"/>
        <rFont val="Times New Roman"/>
        <family val="1"/>
        <charset val="204"/>
      </rPr>
      <t>+100000</t>
    </r>
  </si>
  <si>
    <r>
      <t>ООО  «Омега»</t>
    </r>
    <r>
      <rPr>
        <sz val="11"/>
        <rFont val="Times New Roman"/>
        <family val="1"/>
        <charset val="204"/>
      </rPr>
      <t xml:space="preserve"> монтаж  оборудования                             </t>
    </r>
    <r>
      <rPr>
        <b/>
        <sz val="11"/>
        <color rgb="FFFF0000"/>
        <rFont val="Times New Roman"/>
        <family val="1"/>
        <charset val="204"/>
      </rPr>
      <t>ЗАКАЗАТЬ П</t>
    </r>
  </si>
  <si>
    <r>
      <t xml:space="preserve">ООО  «ГЛОБАЛСТРОЙ»                    </t>
    </r>
    <r>
      <rPr>
        <sz val="11"/>
        <rFont val="Times New Roman"/>
        <family val="1"/>
        <charset val="204"/>
      </rPr>
      <t>г. Москва, 1-ая Брестская улица, д. 15</t>
    </r>
  </si>
  <si>
    <r>
      <t xml:space="preserve">ООО  «Омега» монтаж  оборудования                           </t>
    </r>
    <r>
      <rPr>
        <b/>
        <sz val="11"/>
        <color rgb="FFFF0000"/>
        <rFont val="Times New Roman"/>
        <family val="1"/>
        <charset val="204"/>
      </rPr>
      <t xml:space="preserve">  ЗАКАЗАТЬ П</t>
    </r>
  </si>
  <si>
    <r>
      <t xml:space="preserve">№ 125-15/1                     от 12.08.15   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</si>
  <si>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>Подъемные системы  "ТОР"</t>
    </r>
    <r>
      <rPr>
        <sz val="11"/>
        <rFont val="Times New Roman"/>
        <family val="1"/>
        <charset val="204"/>
      </rPr>
      <t xml:space="preserve">                                электромонтажные  работы  подъемного оборудования (2-а подъемника и лифт)</t>
    </r>
  </si>
  <si>
    <r>
      <t xml:space="preserve"> ПАО «Моспромстрой» филиал «Фирма Ордена Ленина трест Мосстрой-4»                                               </t>
    </r>
    <r>
      <rPr>
        <sz val="11"/>
        <rFont val="Times New Roman"/>
        <family val="1"/>
        <charset val="204"/>
      </rPr>
      <t xml:space="preserve"> г. Москва, ул.Авиационная, вл.77-79                                 </t>
    </r>
  </si>
  <si>
    <r>
      <t xml:space="preserve">№142/1-15                    от 02.11.15  </t>
    </r>
    <r>
      <rPr>
        <b/>
        <sz val="11"/>
        <color rgb="FFFF0000"/>
        <rFont val="Times New Roman"/>
        <family val="1"/>
        <charset val="204"/>
      </rPr>
      <t xml:space="preserve">  подписан</t>
    </r>
  </si>
  <si>
    <r>
      <t xml:space="preserve">1400000     </t>
    </r>
    <r>
      <rPr>
        <sz val="11"/>
        <color rgb="FFFF0000"/>
        <rFont val="Times New Roman"/>
        <family val="1"/>
        <charset val="204"/>
      </rPr>
      <t xml:space="preserve">     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 +611000</t>
    </r>
  </si>
  <si>
    <r>
      <t xml:space="preserve">30.09.2016   </t>
    </r>
    <r>
      <rPr>
        <b/>
        <sz val="11"/>
        <color rgb="FFFF0000"/>
        <rFont val="Times New Roman"/>
        <family val="1"/>
        <charset val="204"/>
      </rPr>
      <t xml:space="preserve">       </t>
    </r>
    <r>
      <rPr>
        <b/>
        <sz val="11"/>
        <rFont val="Times New Roman"/>
        <family val="1"/>
        <charset val="204"/>
      </rPr>
      <t>23/12/16</t>
    </r>
  </si>
  <si>
    <r>
      <t xml:space="preserve">Публичное акционерное общество  «Моспромстрой"   </t>
    </r>
    <r>
      <rPr>
        <sz val="11"/>
        <rFont val="Times New Roman"/>
        <family val="1"/>
        <charset val="204"/>
      </rPr>
      <t xml:space="preserve"> г.Москва, Малая Дмитровка</t>
    </r>
    <r>
      <rPr>
        <b/>
        <sz val="11"/>
        <rFont val="Times New Roman"/>
        <family val="1"/>
        <charset val="204"/>
      </rPr>
      <t xml:space="preserve"> 23/15 с1 </t>
    </r>
    <r>
      <rPr>
        <b/>
        <sz val="11"/>
        <color rgb="FFFF0000"/>
        <rFont val="Times New Roman"/>
        <family val="1"/>
        <charset val="204"/>
      </rPr>
      <t xml:space="preserve"> </t>
    </r>
  </si>
  <si>
    <r>
      <t xml:space="preserve">№144/1-15                   от 01.10.15 г.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</si>
  <si>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"ТОРГВЕСТ"                                      </t>
    </r>
    <r>
      <rPr>
        <sz val="11"/>
        <rFont val="Times New Roman"/>
        <family val="1"/>
        <charset val="204"/>
      </rPr>
      <t xml:space="preserve"> Изготовление, монтаж комплектов рамок</t>
    </r>
    <r>
      <rPr>
        <b/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с сеткой и</t>
    </r>
    <r>
      <rPr>
        <b/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отделка лифтовой шахты</t>
    </r>
  </si>
  <si>
    <r>
      <t>У Клейменова на подписи -</t>
    </r>
    <r>
      <rPr>
        <sz val="11"/>
        <color rgb="FFFF0000"/>
        <rFont val="Times New Roman"/>
        <family val="1"/>
        <charset val="204"/>
      </rPr>
      <t xml:space="preserve"> сч.ф. -?</t>
    </r>
  </si>
  <si>
    <r>
      <t xml:space="preserve"> ООО Проектное бюро«АрКо»                                               </t>
    </r>
    <r>
      <rPr>
        <sz val="11"/>
        <rFont val="Times New Roman"/>
        <family val="1"/>
        <charset val="204"/>
      </rPr>
      <t xml:space="preserve"> г. Москва, Софийская наб., д.34 стр.1                                </t>
    </r>
  </si>
  <si>
    <r>
      <t xml:space="preserve">РКК  «Энергия»                  </t>
    </r>
    <r>
      <rPr>
        <sz val="11"/>
        <rFont val="Times New Roman"/>
        <family val="1"/>
        <charset val="204"/>
      </rPr>
      <t xml:space="preserve">  г. Королев</t>
    </r>
  </si>
  <si>
    <r>
      <t xml:space="preserve">83560 - cкан             </t>
    </r>
    <r>
      <rPr>
        <sz val="11"/>
        <color rgb="FFFF0000"/>
        <rFont val="Times New Roman"/>
        <family val="1"/>
        <charset val="204"/>
      </rPr>
      <t xml:space="preserve"> 3323263,50</t>
    </r>
  </si>
  <si>
    <r>
      <t xml:space="preserve">от 04.10.16          </t>
    </r>
    <r>
      <rPr>
        <sz val="11"/>
        <color rgb="FFFF0000"/>
        <rFont val="Times New Roman"/>
        <family val="1"/>
        <charset val="204"/>
      </rPr>
      <t xml:space="preserve">  от 10.04.17</t>
    </r>
  </si>
  <si>
    <r>
      <t xml:space="preserve">152 М от 11.07.16                   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</si>
  <si>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Бидило Игорь                                          </t>
    </r>
    <r>
      <rPr>
        <sz val="11"/>
        <rFont val="Times New Roman"/>
        <family val="1"/>
        <charset val="204"/>
      </rPr>
      <t xml:space="preserve"> г. Москва, Луков переулок, д. 4    </t>
    </r>
  </si>
  <si>
    <r>
      <t>44000-</t>
    </r>
    <r>
      <rPr>
        <sz val="11"/>
        <rFont val="Times New Roman"/>
        <family val="1"/>
        <charset val="204"/>
      </rPr>
      <t xml:space="preserve"> евро</t>
    </r>
  </si>
  <si>
    <r>
      <t xml:space="preserve">НИУ ВШЭ                                                </t>
    </r>
    <r>
      <rPr>
        <sz val="11"/>
        <rFont val="Times New Roman"/>
        <family val="1"/>
        <charset val="204"/>
      </rPr>
      <t xml:space="preserve"> 1-й Саратовский проезд д.5 корп.2</t>
    </r>
  </si>
  <si>
    <r>
      <t xml:space="preserve">№148 ПД-16   </t>
    </r>
    <r>
      <rPr>
        <b/>
        <sz val="11"/>
        <color rgb="FFFF0000"/>
        <rFont val="Times New Roman"/>
        <family val="1"/>
        <charset val="204"/>
      </rPr>
      <t>(28/1.53-01-16)</t>
    </r>
    <r>
      <rPr>
        <b/>
        <sz val="11"/>
        <rFont val="Times New Roman"/>
        <family val="1"/>
        <charset val="204"/>
      </rPr>
      <t xml:space="preserve"> от 26.01.16</t>
    </r>
  </si>
  <si>
    <r>
      <t xml:space="preserve">ООО  «ПрофСервис»                  </t>
    </r>
    <r>
      <rPr>
        <sz val="11"/>
        <rFont val="Times New Roman"/>
        <family val="1"/>
        <charset val="204"/>
      </rPr>
      <t xml:space="preserve">  г. Москва, 1-ая Брестская улица, д. 15 </t>
    </r>
    <r>
      <rPr>
        <b/>
        <sz val="11"/>
        <color rgb="FFFF0000"/>
        <rFont val="Times New Roman"/>
        <family val="1"/>
        <charset val="204"/>
      </rPr>
      <t>нет договора</t>
    </r>
  </si>
  <si>
    <r>
      <t xml:space="preserve">Павлович Людмила Валентиновна                                    </t>
    </r>
    <r>
      <rPr>
        <sz val="11"/>
        <rFont val="Times New Roman"/>
        <family val="1"/>
        <charset val="204"/>
      </rPr>
      <t xml:space="preserve">МО, г. Лосино-Петровский, м-н Западный д. 3.  </t>
    </r>
    <r>
      <rPr>
        <b/>
        <sz val="11"/>
        <color rgb="FFFF0000"/>
        <rFont val="Times New Roman"/>
        <family val="1"/>
        <charset val="204"/>
      </rPr>
      <t xml:space="preserve">                          </t>
    </r>
  </si>
  <si>
    <r>
      <t>ООО "Адвантаже Констракшн Инжиниринг" - "АСЕ"</t>
    </r>
    <r>
      <rPr>
        <b/>
        <sz val="11"/>
        <color rgb="FFFF0000"/>
        <rFont val="Times New Roman"/>
        <family val="1"/>
        <charset val="204"/>
      </rPr>
      <t xml:space="preserve"> (Невзат) 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       </t>
    </r>
    <r>
      <rPr>
        <sz val="11"/>
        <color rgb="FFFF0000"/>
        <rFont val="Times New Roman"/>
        <family val="1"/>
        <charset val="204"/>
      </rPr>
      <t xml:space="preserve"> Ленинградское шоссе д.16 А, cтр.3</t>
    </r>
  </si>
  <si>
    <r>
      <t xml:space="preserve">Бидило Игорь                                          </t>
    </r>
    <r>
      <rPr>
        <sz val="11"/>
        <rFont val="Times New Roman"/>
        <family val="1"/>
        <charset val="204"/>
      </rPr>
      <t xml:space="preserve"> г. Москва, Луков переулок, д. 4     </t>
    </r>
  </si>
  <si>
    <r>
      <t xml:space="preserve">№27 от 14.06.16  </t>
    </r>
    <r>
      <rPr>
        <sz val="11"/>
        <color rgb="FF0000FF"/>
        <rFont val="Times New Roman"/>
        <family val="1"/>
        <charset val="204"/>
      </rPr>
      <t>№734 от 01.09.16  №659 от 04.10.16          от 23/11/2016</t>
    </r>
  </si>
  <si>
    <r>
      <t xml:space="preserve">152/1-2016 от 23.05.16           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</si>
  <si>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110М-16 от 03.08.16        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</si>
  <si>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>ООО  «ЭРИДА</t>
    </r>
    <r>
      <rPr>
        <sz val="11"/>
        <rFont val="Times New Roman"/>
        <family val="1"/>
        <charset val="204"/>
      </rPr>
      <t>»   Изготовление и  монтаж металлоконструкций  шахты лифта</t>
    </r>
  </si>
  <si>
    <r>
      <t>5807</t>
    </r>
    <r>
      <rPr>
        <b/>
        <sz val="11"/>
        <rFont val="Times New Roman"/>
        <family val="1"/>
        <charset val="204"/>
      </rPr>
      <t>46</t>
    </r>
    <r>
      <rPr>
        <b/>
        <sz val="11"/>
        <rFont val="Times New Roman"/>
        <family val="1"/>
        <charset val="204"/>
      </rPr>
      <t xml:space="preserve">                              +440000</t>
    </r>
  </si>
  <si>
    <r>
      <t xml:space="preserve">от 07.11.16 </t>
    </r>
    <r>
      <rPr>
        <b/>
        <sz val="11"/>
        <color rgb="FF008000"/>
        <rFont val="Times New Roman"/>
        <family val="1"/>
        <charset val="204"/>
      </rPr>
      <t>16.11.16</t>
    </r>
  </si>
  <si>
    <r>
      <t xml:space="preserve">152/2-2016 от 01.09.16                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</si>
  <si>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365000       +478200            </t>
    </r>
    <r>
      <rPr>
        <b/>
        <sz val="11"/>
        <color rgb="FFFF0000"/>
        <rFont val="Times New Roman"/>
        <family val="1"/>
        <charset val="204"/>
      </rPr>
      <t xml:space="preserve">+490000                  +480000  +350000  </t>
    </r>
    <r>
      <rPr>
        <b/>
        <sz val="11"/>
        <rFont val="Times New Roman"/>
        <family val="1"/>
        <charset val="204"/>
      </rPr>
      <t xml:space="preserve">  +369230</t>
    </r>
  </si>
  <si>
    <r>
      <t xml:space="preserve">   </t>
    </r>
    <r>
      <rPr>
        <b/>
        <sz val="11"/>
        <rFont val="Times New Roman"/>
        <family val="1"/>
        <charset val="204"/>
      </rPr>
      <t xml:space="preserve">от  15.09.16                 </t>
    </r>
    <r>
      <rPr>
        <b/>
        <sz val="11"/>
        <color rgb="FFFF0000"/>
        <rFont val="Times New Roman"/>
        <family val="1"/>
        <charset val="204"/>
      </rPr>
      <t xml:space="preserve"> от   11/10/16   </t>
    </r>
    <r>
      <rPr>
        <b/>
        <sz val="11"/>
        <rFont val="Times New Roman"/>
        <family val="1"/>
        <charset val="204"/>
      </rPr>
      <t xml:space="preserve"> от 21/10/16</t>
    </r>
  </si>
  <si>
    <r>
      <t xml:space="preserve">ООО "Свена"                                         </t>
    </r>
    <r>
      <rPr>
        <sz val="11"/>
        <rFont val="Times New Roman"/>
        <family val="1"/>
        <charset val="204"/>
      </rPr>
      <t xml:space="preserve"> МО г.Щелково-3 пос.Чкаловский ул.Радиоцентр №5    </t>
    </r>
  </si>
  <si>
    <r>
      <t xml:space="preserve">ООО "Свена"                                         </t>
    </r>
    <r>
      <rPr>
        <sz val="11"/>
        <rFont val="Times New Roman"/>
        <family val="1"/>
        <charset val="204"/>
      </rPr>
      <t xml:space="preserve"> МО г.Щелково-3 пос.Чкаловский ул.Радиоцентр №5                       </t>
    </r>
  </si>
  <si>
    <r>
      <t>"СОДИМАС ГРУП"</t>
    </r>
    <r>
      <rPr>
        <sz val="11"/>
        <rFont val="Times New Roman"/>
        <family val="1"/>
        <charset val="204"/>
      </rPr>
      <t xml:space="preserve"> Поставка подъемного оборудования</t>
    </r>
  </si>
  <si>
    <r>
      <t xml:space="preserve">№ 154/ПМ/1 от 28.11.16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</si>
  <si>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Подъемные системы  "ТОР"                                      </t>
    </r>
    <r>
      <rPr>
        <sz val="11"/>
        <rFont val="Times New Roman"/>
        <family val="1"/>
        <charset val="204"/>
      </rPr>
      <t xml:space="preserve"> монтаж  поставляемого Оборудования</t>
    </r>
  </si>
  <si>
    <r>
      <t xml:space="preserve">ООО "Адвантаже Констракшн Инжиниринг" - "АСЕ" (Невзат) </t>
    </r>
    <r>
      <rPr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      </t>
    </r>
    <r>
      <rPr>
        <sz val="11"/>
        <rFont val="Times New Roman"/>
        <family val="1"/>
        <charset val="204"/>
      </rPr>
      <t xml:space="preserve"> Ленинградское шоссе д.16 А, cтр.3</t>
    </r>
  </si>
  <si>
    <r>
      <t xml:space="preserve">№ 157 П/1-16                     от 07.07.16 </t>
    </r>
    <r>
      <rPr>
        <b/>
        <sz val="11"/>
        <color rgb="FFFF0000"/>
        <rFont val="Times New Roman"/>
        <family val="1"/>
        <charset val="204"/>
      </rPr>
      <t xml:space="preserve">подписан </t>
    </r>
  </si>
  <si>
    <r>
      <t xml:space="preserve">"СОДИМАС ГРУП"                   </t>
    </r>
    <r>
      <rPr>
        <sz val="11"/>
        <rFont val="Times New Roman"/>
        <family val="1"/>
        <charset val="204"/>
      </rPr>
      <t xml:space="preserve">   г. Москва, Проспект Вернадского,  дом 37 корп.2  </t>
    </r>
  </si>
  <si>
    <r>
      <t xml:space="preserve">ООО "Адвантаже Констракшн Инжиниринг" - "АСЕ" (Невзат) </t>
    </r>
    <r>
      <rPr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      </t>
    </r>
    <r>
      <rPr>
        <sz val="11"/>
        <rFont val="Times New Roman"/>
        <family val="1"/>
        <charset val="204"/>
      </rPr>
      <t xml:space="preserve"> Ленинградское шоссе д.16 А, cтр.4</t>
    </r>
  </si>
  <si>
    <r>
      <t xml:space="preserve">ООО   "ТОПЭКС"                                     </t>
    </r>
    <r>
      <rPr>
        <sz val="11"/>
        <rFont val="Times New Roman"/>
        <family val="1"/>
        <charset val="204"/>
      </rPr>
      <t xml:space="preserve">  Техническое обследование фрагмента перекрытия 3 этажа в здании "Метрополис"</t>
    </r>
  </si>
  <si>
    <r>
      <t xml:space="preserve">АО «Технопарк Слава»                   </t>
    </r>
    <r>
      <rPr>
        <sz val="11"/>
        <rFont val="Times New Roman"/>
        <family val="1"/>
        <charset val="204"/>
      </rPr>
      <t xml:space="preserve"> г.Москва, Научный проезд,д.20, строение 3 </t>
    </r>
  </si>
  <si>
    <r>
      <t xml:space="preserve">ООО «Центральное управление ОЛЗ»                   </t>
    </r>
    <r>
      <rPr>
        <sz val="11"/>
        <rFont val="Times New Roman"/>
        <family val="1"/>
        <charset val="204"/>
      </rPr>
      <t xml:space="preserve"> г.Москва, ул.Крылатская, вл.37 </t>
    </r>
  </si>
  <si>
    <r>
      <t xml:space="preserve">500000                           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color rgb="FF800080"/>
        <rFont val="Times New Roman"/>
        <family val="1"/>
        <charset val="204"/>
      </rPr>
      <t>+462762,03 скан</t>
    </r>
  </si>
  <si>
    <r>
      <t xml:space="preserve">НИУ ВШЭ                                                </t>
    </r>
    <r>
      <rPr>
        <sz val="11"/>
        <rFont val="Times New Roman"/>
        <family val="1"/>
        <charset val="204"/>
      </rPr>
      <t xml:space="preserve"> ул.Вавилова  д.7 </t>
    </r>
  </si>
  <si>
    <r>
      <t xml:space="preserve">№162/1-17 от 22.05.17 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</si>
  <si>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>№ 20/17-Н (</t>
    </r>
    <r>
      <rPr>
        <b/>
        <sz val="11"/>
        <color rgb="FF0000FF"/>
        <rFont val="Times New Roman"/>
        <family val="1"/>
        <charset val="204"/>
      </rPr>
      <t>165-17</t>
    </r>
    <r>
      <rPr>
        <b/>
        <sz val="11"/>
        <rFont val="Times New Roman"/>
        <family val="1"/>
        <charset val="204"/>
      </rPr>
      <t>) от 27.03.2017</t>
    </r>
  </si>
  <si>
    <r>
      <t xml:space="preserve">№ ДКМ/5/1-17 от 28.06.2017                        </t>
    </r>
    <r>
      <rPr>
        <sz val="11"/>
        <color rgb="FFFF0000"/>
        <rFont val="Times New Roman"/>
        <family val="1"/>
        <charset val="204"/>
      </rPr>
      <t xml:space="preserve">  на подписи</t>
    </r>
  </si>
  <si>
    <r>
      <t xml:space="preserve">ООО "Принт"                     </t>
    </r>
    <r>
      <rPr>
        <sz val="11"/>
        <color rgb="FF800080"/>
        <rFont val="Times New Roman"/>
        <family val="1"/>
        <charset val="204"/>
      </rPr>
      <t>Монтаж металлоконструкций</t>
    </r>
  </si>
  <si>
    <r>
      <t xml:space="preserve">№ ДКМ-16 от 10.05.2017    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</si>
  <si>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ООО "Природа Инвест" </t>
    </r>
    <r>
      <rPr>
        <b/>
        <sz val="11"/>
        <rFont val="Times New Roman"/>
        <family val="1"/>
        <charset val="204"/>
      </rPr>
      <t xml:space="preserve">                    г.Москва,Тушинская,д.16 стр. 2</t>
    </r>
  </si>
  <si>
    <r>
      <t xml:space="preserve">Федеральное государственное бюджетное образовательное учреждение высшего образования «Всероссийская академия внешней торговли Министерства экономического развития Российской Федерации»                                      </t>
    </r>
    <r>
      <rPr>
        <sz val="11"/>
        <rFont val="Times New Roman"/>
        <family val="1"/>
        <charset val="204"/>
      </rPr>
      <t xml:space="preserve"> ул.Вавилова  д.7 </t>
    </r>
  </si>
  <si>
    <r>
      <t>ООО «СтройИмпэкс»</t>
    </r>
    <r>
      <rPr>
        <b/>
        <sz val="11"/>
        <rFont val="Times New Roman"/>
        <family val="1"/>
        <charset val="204"/>
      </rPr>
      <t xml:space="preserve">                г.Москва, ул. Цимлянская д.5</t>
    </r>
  </si>
  <si>
    <r>
      <t xml:space="preserve">№124/2-17  от 02.10.2017  </t>
    </r>
    <r>
      <rPr>
        <sz val="11"/>
        <color rgb="FFFF0000"/>
        <rFont val="Times New Roman"/>
        <family val="1"/>
        <charset val="204"/>
      </rPr>
      <t xml:space="preserve">   подписан</t>
    </r>
  </si>
  <si>
    <r>
      <t>№124-17 от 19.09.2017</t>
    </r>
    <r>
      <rPr>
        <b/>
        <sz val="11"/>
        <rFont val="Times New Roman"/>
        <family val="1"/>
        <charset val="204"/>
      </rPr>
      <t xml:space="preserve">                  г.Москва, ул. Цимлянская д.5</t>
    </r>
  </si>
  <si>
    <r>
      <t>Т.А. Синюкова</t>
    </r>
    <r>
      <rPr>
        <sz val="11"/>
        <rFont val="Times New Roman"/>
        <family val="1"/>
        <charset val="204"/>
      </rPr>
      <t xml:space="preserve">                                   CМР и пусконаладка</t>
    </r>
  </si>
  <si>
    <r>
      <t xml:space="preserve">ВШЭ                                                       ул. Цимлянская д.5        </t>
    </r>
    <r>
      <rPr>
        <b/>
        <sz val="11"/>
        <color rgb="FFFF0000"/>
        <rFont val="Times New Roman"/>
        <family val="1"/>
        <charset val="204"/>
      </rPr>
      <t xml:space="preserve"> ( Договор в папке на ТО)</t>
    </r>
  </si>
  <si>
    <r>
      <t xml:space="preserve">ООО "СОДИМАС ГРУП"                         </t>
    </r>
    <r>
      <rPr>
        <sz val="11"/>
        <rFont val="Times New Roman"/>
        <family val="1"/>
        <charset val="204"/>
      </rPr>
      <t xml:space="preserve"> г.Москва Рождественский бульвар д.1   </t>
    </r>
    <r>
      <rPr>
        <b/>
        <sz val="11"/>
        <rFont val="Times New Roman"/>
        <family val="1"/>
        <charset val="204"/>
      </rPr>
      <t xml:space="preserve">                           </t>
    </r>
  </si>
  <si>
    <r>
      <t>№60-15                          от 15.06.15                  ДС №</t>
    </r>
    <r>
      <rPr>
        <b/>
        <sz val="11"/>
        <color rgb="FFFF0000"/>
        <rFont val="Times New Roman"/>
        <family val="1"/>
        <charset val="204"/>
      </rPr>
      <t>2</t>
    </r>
    <r>
      <rPr>
        <b/>
        <sz val="11"/>
        <rFont val="Times New Roman"/>
        <family val="1"/>
        <charset val="204"/>
      </rPr>
      <t xml:space="preserve"> от 15.12.16   </t>
    </r>
    <r>
      <rPr>
        <b/>
        <sz val="11"/>
        <color rgb="FFFF0000"/>
        <rFont val="Times New Roman"/>
        <family val="1"/>
        <charset val="204"/>
      </rPr>
      <t xml:space="preserve"> Соглашение о передаче прав и об от 01.07.17 </t>
    </r>
  </si>
  <si>
    <r>
      <t xml:space="preserve">ООО "СОДИМАС ГРУП"                         </t>
    </r>
    <r>
      <rPr>
        <sz val="11"/>
        <rFont val="Times New Roman"/>
        <family val="1"/>
        <charset val="204"/>
      </rPr>
      <t xml:space="preserve"> г. Москва, Проспект Вернадского,  дом 37 корп.2</t>
    </r>
    <r>
      <rPr>
        <b/>
        <sz val="11"/>
        <rFont val="Times New Roman"/>
        <family val="1"/>
        <charset val="204"/>
      </rPr>
      <t xml:space="preserve">                          </t>
    </r>
  </si>
  <si>
    <r>
      <t xml:space="preserve">№ 63-15 </t>
    </r>
    <r>
      <rPr>
        <b/>
        <sz val="11"/>
        <rFont val="Times New Roman"/>
        <family val="1"/>
        <charset val="204"/>
      </rPr>
      <t xml:space="preserve">                         от 22.07.15           </t>
    </r>
    <r>
      <rPr>
        <b/>
        <sz val="11"/>
        <rFont val="Times New Roman"/>
        <family val="1"/>
        <charset val="204"/>
      </rPr>
      <t xml:space="preserve"> ДС №1</t>
    </r>
    <r>
      <rPr>
        <b/>
        <sz val="11"/>
        <rFont val="Times New Roman"/>
        <family val="1"/>
        <charset val="204"/>
      </rPr>
      <t xml:space="preserve"> от 22.07.16                    </t>
    </r>
    <r>
      <rPr>
        <b/>
        <sz val="11"/>
        <rFont val="Times New Roman"/>
        <family val="1"/>
        <charset val="204"/>
      </rPr>
      <t xml:space="preserve">ДС №2  </t>
    </r>
    <r>
      <rPr>
        <b/>
        <sz val="11"/>
        <rFont val="Times New Roman"/>
        <family val="1"/>
        <charset val="204"/>
      </rPr>
      <t xml:space="preserve">от 12.10.16                                 </t>
    </r>
    <r>
      <rPr>
        <b/>
        <sz val="11"/>
        <rFont val="Times New Roman"/>
        <family val="1"/>
        <charset val="204"/>
      </rPr>
      <t>ДС №3</t>
    </r>
    <r>
      <rPr>
        <b/>
        <sz val="11"/>
        <rFont val="Times New Roman"/>
        <family val="1"/>
        <charset val="204"/>
      </rPr>
      <t xml:space="preserve">  от 14.03.17</t>
    </r>
    <r>
      <rPr>
        <b/>
        <sz val="11"/>
        <color rgb="FFFF0000"/>
        <rFont val="Times New Roman"/>
        <family val="1"/>
        <charset val="204"/>
      </rPr>
      <t xml:space="preserve"> Соглашение о передаче прав и об от 01.07.17 </t>
    </r>
  </si>
  <si>
    <t xml:space="preserve">№1236 от 08.07.16                   от 02.09.16                №1479 от 16.09.16                        от 10.10.16                     от 19.10.16                (ДС №1,2)                                                                           </t>
  </si>
  <si>
    <r>
      <t xml:space="preserve">ТОР ЛИФТ  Разработка ПД установку 21 ед. Оборудования, </t>
    </r>
    <r>
      <rPr>
        <b/>
        <sz val="11"/>
        <color rgb="FFFF0000"/>
        <rFont val="Times New Roman"/>
        <family val="1"/>
        <charset val="204"/>
      </rPr>
      <t>механомонтаж и т.д.</t>
    </r>
  </si>
  <si>
    <r>
      <t xml:space="preserve">ООО "ГИДРАЛЬ РУСЬ" - </t>
    </r>
    <r>
      <rPr>
        <b/>
        <sz val="11"/>
        <color rgb="FFFF0000"/>
        <rFont val="Times New Roman"/>
        <family val="1"/>
        <charset val="204"/>
      </rPr>
      <t xml:space="preserve">поставщик ,                                                    </t>
    </r>
    <r>
      <rPr>
        <b/>
        <sz val="11"/>
        <rFont val="Times New Roman"/>
        <family val="1"/>
        <charset val="204"/>
      </rPr>
      <t xml:space="preserve"> МО Деревня Пирогово</t>
    </r>
  </si>
  <si>
    <r>
      <t xml:space="preserve">ООО "ТОПЕКС"                           </t>
    </r>
    <r>
      <rPr>
        <sz val="11"/>
        <rFont val="Times New Roman"/>
        <family val="1"/>
        <charset val="204"/>
      </rPr>
      <t>Балаклавский пр-т д.2.корп.5</t>
    </r>
  </si>
  <si>
    <r>
      <t xml:space="preserve">ООО "КАМЕЛОТ-98"                           </t>
    </r>
    <r>
      <rPr>
        <sz val="11"/>
        <rFont val="Times New Roman"/>
        <family val="1"/>
        <charset val="204"/>
      </rPr>
      <t xml:space="preserve">Балаклавский пр-т д.2.корп.5             </t>
    </r>
    <r>
      <rPr>
        <sz val="11"/>
        <color rgb="FFFF0000"/>
        <rFont val="Times New Roman"/>
        <family val="1"/>
        <charset val="204"/>
      </rPr>
      <t xml:space="preserve"> у Н.Н.</t>
    </r>
  </si>
  <si>
    <r>
      <t xml:space="preserve">№ 182/1 - 17 от 24.12.17  </t>
    </r>
    <r>
      <rPr>
        <sz val="11"/>
        <color rgb="FFFF0000"/>
        <rFont val="Times New Roman"/>
        <family val="1"/>
        <charset val="204"/>
      </rPr>
      <t>печати есть</t>
    </r>
  </si>
  <si>
    <r>
      <t xml:space="preserve">ООО ТЕХМЕТ"  СМР по устройсту металлокаркасной шахты  лифта </t>
    </r>
    <r>
      <rPr>
        <b/>
        <sz val="11"/>
        <rFont val="Times New Roman"/>
        <family val="1"/>
        <charset val="204"/>
      </rPr>
      <t>уточнить наличие актов</t>
    </r>
  </si>
  <si>
    <r>
      <t xml:space="preserve">ООО "СОДИМАС ГРУП"                         </t>
    </r>
    <r>
      <rPr>
        <sz val="11"/>
        <rFont val="Times New Roman"/>
        <family val="1"/>
        <charset val="204"/>
      </rPr>
      <t xml:space="preserve"> г.Москва Можайское ш. д.39   </t>
    </r>
    <r>
      <rPr>
        <b/>
        <sz val="11"/>
        <rFont val="Times New Roman"/>
        <family val="1"/>
        <charset val="204"/>
      </rPr>
      <t xml:space="preserve">               </t>
    </r>
  </si>
  <si>
    <r>
      <t xml:space="preserve">№186-18                          от 11.01.18        ДС №1 от 03.04 18     </t>
    </r>
    <r>
      <rPr>
        <b/>
        <sz val="11"/>
        <color rgb="FFFF0000"/>
        <rFont val="Times New Roman"/>
        <family val="1"/>
        <charset val="204"/>
      </rPr>
      <t xml:space="preserve"> Согл.о расторжении от 29.12.18</t>
    </r>
  </si>
  <si>
    <r>
      <t xml:space="preserve">№186 С/1-18                          от 22.05.18       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</si>
  <si>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ООО «Комис»                                 </t>
    </r>
    <r>
      <rPr>
        <sz val="11"/>
        <rFont val="Times New Roman"/>
        <family val="1"/>
        <charset val="204"/>
      </rPr>
      <t xml:space="preserve">  г. Мытищи, ул. Щербакова, д.2 Торговый центр                           </t>
    </r>
    <r>
      <rPr>
        <sz val="11"/>
        <color rgb="FFFF0000"/>
        <rFont val="Times New Roman"/>
        <family val="1"/>
        <charset val="204"/>
      </rPr>
      <t xml:space="preserve">скан нет договора </t>
    </r>
    <r>
      <rPr>
        <sz val="11"/>
        <rFont val="Times New Roman"/>
        <family val="1"/>
        <charset val="204"/>
      </rPr>
      <t xml:space="preserve">     </t>
    </r>
  </si>
  <si>
    <r>
      <t xml:space="preserve">ООО "СОДИМАС ГРУП"                         </t>
    </r>
    <r>
      <rPr>
        <sz val="11"/>
        <rFont val="Times New Roman"/>
        <family val="1"/>
        <charset val="204"/>
      </rPr>
      <t xml:space="preserve"> г.Москва Рождественский бульвар. д.1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 скан  </t>
    </r>
    <r>
      <rPr>
        <b/>
        <sz val="11"/>
        <rFont val="Times New Roman"/>
        <family val="1"/>
        <charset val="204"/>
      </rPr>
      <t xml:space="preserve">                       </t>
    </r>
  </si>
  <si>
    <r>
      <t xml:space="preserve">ООО «Комис»                                 </t>
    </r>
    <r>
      <rPr>
        <sz val="11"/>
        <rFont val="Times New Roman"/>
        <family val="1"/>
        <charset val="204"/>
      </rPr>
      <t xml:space="preserve">  г. Мытищи, ул. Щербакова, д.2 Торговый центр    </t>
    </r>
    <r>
      <rPr>
        <sz val="11"/>
        <color rgb="FFFF0000"/>
        <rFont val="Times New Roman"/>
        <family val="1"/>
        <charset val="204"/>
      </rPr>
      <t xml:space="preserve">скан  </t>
    </r>
    <r>
      <rPr>
        <sz val="11"/>
        <rFont val="Times New Roman"/>
        <family val="1"/>
        <charset val="204"/>
      </rPr>
      <t xml:space="preserve">     и дог.</t>
    </r>
  </si>
  <si>
    <r>
      <t>ООО "СОДИМАС ГРУП"  поставка лифта</t>
    </r>
    <r>
      <rPr>
        <b/>
        <sz val="11"/>
        <color rgb="FFFF0000"/>
        <rFont val="Times New Roman"/>
        <family val="1"/>
        <charset val="204"/>
      </rPr>
      <t xml:space="preserve"> дог.</t>
    </r>
  </si>
  <si>
    <r>
      <t xml:space="preserve">№190 С/19                      от 18.06.10         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</si>
  <si>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ООО "СОДИМАС ГРУП"                         </t>
    </r>
    <r>
      <rPr>
        <sz val="11"/>
        <rFont val="Times New Roman"/>
        <family val="1"/>
        <charset val="204"/>
      </rPr>
      <t xml:space="preserve"> г.Москва проспект Вернандского. д.37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корп.2   </t>
    </r>
    <r>
      <rPr>
        <b/>
        <sz val="11"/>
        <rFont val="Times New Roman"/>
        <family val="1"/>
        <charset val="204"/>
      </rPr>
      <t xml:space="preserve">  </t>
    </r>
    <r>
      <rPr>
        <b/>
        <sz val="11"/>
        <color rgb="FFFF0000"/>
        <rFont val="Times New Roman"/>
        <family val="1"/>
        <charset val="204"/>
      </rPr>
      <t xml:space="preserve"> скан      </t>
    </r>
    <r>
      <rPr>
        <b/>
        <sz val="11"/>
        <rFont val="Times New Roman"/>
        <family val="1"/>
        <charset val="204"/>
      </rPr>
      <t xml:space="preserve"> и дог.             </t>
    </r>
  </si>
  <si>
    <r>
      <t xml:space="preserve">437900 -выв. </t>
    </r>
    <r>
      <rPr>
        <sz val="11"/>
        <color rgb="FFFF0000"/>
        <rFont val="Times New Roman"/>
        <family val="1"/>
        <charset val="204"/>
      </rPr>
      <t>Нет сдачи на траволаторы</t>
    </r>
  </si>
  <si>
    <r>
      <t xml:space="preserve">15/10/18              15/10/18            08.11.18 </t>
    </r>
    <r>
      <rPr>
        <b/>
        <sz val="11"/>
        <color rgb="FFFF0000"/>
        <rFont val="Times New Roman"/>
        <family val="1"/>
        <charset val="204"/>
      </rPr>
      <t xml:space="preserve">         </t>
    </r>
    <r>
      <rPr>
        <b/>
        <sz val="11"/>
        <rFont val="Times New Roman"/>
        <family val="1"/>
        <charset val="204"/>
      </rPr>
      <t xml:space="preserve">  08.11.18    </t>
    </r>
    <r>
      <rPr>
        <b/>
        <sz val="11"/>
        <color rgb="FFFF0000"/>
        <rFont val="Times New Roman"/>
        <family val="1"/>
        <charset val="204"/>
      </rPr>
      <t xml:space="preserve">            </t>
    </r>
  </si>
  <si>
    <r>
      <t xml:space="preserve">Благотворительный фонд «Канон»                         </t>
    </r>
    <r>
      <rPr>
        <sz val="11"/>
        <rFont val="Times New Roman"/>
        <family val="1"/>
        <charset val="204"/>
      </rPr>
      <t xml:space="preserve"> г.Москва проспект Вернандского. д.37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корп.2   </t>
    </r>
    <r>
      <rPr>
        <b/>
        <sz val="11"/>
        <rFont val="Times New Roman"/>
        <family val="1"/>
        <charset val="204"/>
      </rPr>
      <t xml:space="preserve">  </t>
    </r>
    <r>
      <rPr>
        <b/>
        <sz val="11"/>
        <color rgb="FFFF0000"/>
        <rFont val="Times New Roman"/>
        <family val="1"/>
        <charset val="204"/>
      </rPr>
      <t xml:space="preserve"> скан Дог.    </t>
    </r>
    <r>
      <rPr>
        <b/>
        <sz val="11"/>
        <rFont val="Times New Roman"/>
        <family val="1"/>
        <charset val="204"/>
      </rPr>
      <t xml:space="preserve"> -отв.Клейменов    </t>
    </r>
  </si>
  <si>
    <r>
      <t xml:space="preserve">№192-18                          от 26.03.18              ДС №1 от23.04.18 </t>
    </r>
    <r>
      <rPr>
        <b/>
        <sz val="11"/>
        <color rgb="FFFF0000"/>
        <rFont val="Times New Roman"/>
        <family val="1"/>
        <charset val="204"/>
      </rPr>
      <t xml:space="preserve">                   дог-?</t>
    </r>
  </si>
  <si>
    <r>
      <t>ООО "СОДИМАС ГРУП"  поставка лифта</t>
    </r>
    <r>
      <rPr>
        <b/>
        <sz val="11"/>
        <color rgb="FFFF0000"/>
        <rFont val="Times New Roman"/>
        <family val="1"/>
        <charset val="204"/>
      </rPr>
      <t xml:space="preserve"> </t>
    </r>
  </si>
  <si>
    <r>
      <t xml:space="preserve">№192С/1-18                          от 02.04.18          </t>
    </r>
    <r>
      <rPr>
        <b/>
        <sz val="11"/>
        <color rgb="FFFF0000"/>
        <rFont val="Times New Roman"/>
        <family val="1"/>
        <charset val="204"/>
      </rPr>
      <t xml:space="preserve">подписан </t>
    </r>
  </si>
  <si>
    <r>
      <t>№192С/2-18                          от 28.05.18</t>
    </r>
    <r>
      <rPr>
        <b/>
        <sz val="11"/>
        <color rgb="FFFF0000"/>
        <rFont val="Times New Roman"/>
        <family val="1"/>
        <charset val="204"/>
      </rPr>
      <t xml:space="preserve">       подписан     </t>
    </r>
  </si>
  <si>
    <r>
      <t xml:space="preserve">ООО "ТАНДЕМ" Изготовление металлоконструкций                </t>
    </r>
    <r>
      <rPr>
        <b/>
        <sz val="11"/>
        <rFont val="Times New Roman"/>
        <family val="1"/>
        <charset val="204"/>
      </rPr>
      <t xml:space="preserve"> банк филиал №3652</t>
    </r>
  </si>
  <si>
    <r>
      <t xml:space="preserve">ООО «Л-КОМ»                                 </t>
    </r>
    <r>
      <rPr>
        <sz val="11"/>
        <rFont val="Times New Roman"/>
        <family val="1"/>
        <charset val="204"/>
      </rPr>
      <t xml:space="preserve"> Московская обл., Дмитровское ш., д. 165.к.1 Центр оптово-розничной торговли   «Бухта»   </t>
    </r>
    <r>
      <rPr>
        <sz val="11"/>
        <color rgb="FFFF0000"/>
        <rFont val="Times New Roman"/>
        <family val="1"/>
        <charset val="204"/>
      </rPr>
      <t xml:space="preserve">скан , дог. </t>
    </r>
    <r>
      <rPr>
        <sz val="11"/>
        <rFont val="Times New Roman"/>
        <family val="1"/>
        <charset val="204"/>
      </rPr>
      <t xml:space="preserve">     </t>
    </r>
  </si>
  <si>
    <r>
      <t xml:space="preserve">ООО «РФС плюс Компани»,                       г.Москва г.Зеленоград ул.                   </t>
    </r>
    <r>
      <rPr>
        <b/>
        <sz val="11"/>
        <color rgb="FFFF0000"/>
        <rFont val="Times New Roman"/>
        <family val="1"/>
        <charset val="204"/>
      </rPr>
      <t>Скан - наша печать черная, договора нет</t>
    </r>
  </si>
  <si>
    <r>
      <t>от 26/06/19 -</t>
    </r>
    <r>
      <rPr>
        <b/>
        <sz val="11"/>
        <color rgb="FFFF0000"/>
        <rFont val="Times New Roman"/>
        <family val="1"/>
        <charset val="204"/>
      </rPr>
      <t>Клейменов</t>
    </r>
  </si>
  <si>
    <r>
      <t xml:space="preserve">ООО "СОДИМАС ГРУП" </t>
    </r>
    <r>
      <rPr>
        <b/>
        <sz val="11"/>
        <color rgb="FFFF0000"/>
        <rFont val="Times New Roman"/>
        <family val="1"/>
        <charset val="204"/>
      </rPr>
      <t>дог.</t>
    </r>
  </si>
  <si>
    <r>
      <t xml:space="preserve">ООО "Строит.компания ГАРАНТ"                         </t>
    </r>
    <r>
      <rPr>
        <sz val="11"/>
        <rFont val="Times New Roman"/>
        <family val="1"/>
        <charset val="204"/>
      </rPr>
      <t xml:space="preserve"> г.Москва Саратовский проезд. д.5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корп.2   </t>
    </r>
    <r>
      <rPr>
        <b/>
        <sz val="11"/>
        <rFont val="Times New Roman"/>
        <family val="1"/>
        <charset val="204"/>
      </rPr>
      <t xml:space="preserve">  </t>
    </r>
    <r>
      <rPr>
        <b/>
        <sz val="11"/>
        <color rgb="FFFF0000"/>
        <rFont val="Times New Roman"/>
        <family val="1"/>
        <charset val="204"/>
      </rPr>
      <t xml:space="preserve"> скан      </t>
    </r>
    <r>
      <rPr>
        <b/>
        <sz val="11"/>
        <rFont val="Times New Roman"/>
        <family val="1"/>
        <charset val="204"/>
      </rPr>
      <t xml:space="preserve"> и дог.             </t>
    </r>
  </si>
  <si>
    <r>
      <t xml:space="preserve">ООО "Строит.компания ГАРАНТ"                         </t>
    </r>
    <r>
      <rPr>
        <sz val="11"/>
        <rFont val="Times New Roman"/>
        <family val="1"/>
        <charset val="204"/>
      </rPr>
      <t xml:space="preserve"> г.Москва Саратовский проезд. д.5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корп.2   </t>
    </r>
    <r>
      <rPr>
        <b/>
        <sz val="11"/>
        <rFont val="Times New Roman"/>
        <family val="1"/>
        <charset val="204"/>
      </rPr>
      <t xml:space="preserve"> 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          </t>
    </r>
  </si>
  <si>
    <r>
      <t xml:space="preserve">№196 С /1-18                          от 22.05.18        </t>
    </r>
    <r>
      <rPr>
        <sz val="11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 xml:space="preserve"> подписан   </t>
    </r>
  </si>
  <si>
    <r>
      <t xml:space="preserve">100000 от13.06.18                              70 000 от 09.07.18                                    100000 от 20.07.18                             30000 от 09.08                           180000 от 13.08                                                         100000 от 20.09 .18         100000 от 25.09                             200000 от 08.10.                      100000 23.10.18  </t>
    </r>
    <r>
      <rPr>
        <b/>
        <sz val="11"/>
        <color rgb="FFFF0000"/>
        <rFont val="Times New Roman"/>
        <family val="1"/>
        <charset val="204"/>
      </rPr>
      <t xml:space="preserve">                      20000 -? От 05.03.19</t>
    </r>
  </si>
  <si>
    <r>
      <t xml:space="preserve">784886,5 </t>
    </r>
    <r>
      <rPr>
        <sz val="11"/>
        <rFont val="Times New Roman"/>
        <family val="1"/>
        <charset val="204"/>
      </rPr>
      <t xml:space="preserve">   +1213538,76          +2024565,54       +1663468,17</t>
    </r>
  </si>
  <si>
    <r>
      <t xml:space="preserve">№196/C1-18                      от 26.03.18      </t>
    </r>
    <r>
      <rPr>
        <b/>
        <sz val="11"/>
        <color rgb="FFFF0000"/>
        <rFont val="Times New Roman"/>
        <family val="1"/>
        <charset val="204"/>
      </rPr>
      <t xml:space="preserve">  подписан   </t>
    </r>
  </si>
  <si>
    <r>
      <t xml:space="preserve">ООО«ЭЛЛИОНС»                           г. Москва, улица Маросейка, д. 4/2, строение 1                                       </t>
    </r>
    <r>
      <rPr>
        <b/>
        <sz val="11"/>
        <color rgb="FFFF0000"/>
        <rFont val="Times New Roman"/>
        <family val="1"/>
        <charset val="204"/>
      </rPr>
      <t>дог. и скан - НН</t>
    </r>
  </si>
  <si>
    <r>
      <t>№199</t>
    </r>
    <r>
      <rPr>
        <b/>
        <sz val="11"/>
        <rFont val="Times New Roman"/>
        <family val="1"/>
        <charset val="204"/>
      </rPr>
      <t xml:space="preserve">                           №П/СМР 036-18 от 14.05.18    </t>
    </r>
    <r>
      <rPr>
        <b/>
        <sz val="11"/>
        <color rgb="FFFF0000"/>
        <rFont val="Times New Roman"/>
        <family val="1"/>
        <charset val="204"/>
      </rPr>
      <t>Доп.согл. №1 от 17.09.18 нет</t>
    </r>
  </si>
  <si>
    <r>
      <t xml:space="preserve">5000000 </t>
    </r>
    <r>
      <rPr>
        <sz val="11"/>
        <rFont val="Times New Roman"/>
        <family val="1"/>
        <charset val="204"/>
      </rPr>
      <t xml:space="preserve">   +240000                        в т.ч. СМР 778790</t>
    </r>
  </si>
  <si>
    <r>
      <t xml:space="preserve">№C/ 036-18 от 21.05.18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</si>
  <si>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№C2/ 036-18 от 23.05.18 </t>
    </r>
    <r>
      <rPr>
        <b/>
        <sz val="11"/>
        <color rgb="FFFF0000"/>
        <rFont val="Times New Roman"/>
        <family val="1"/>
        <charset val="204"/>
      </rPr>
      <t xml:space="preserve">   подписан</t>
    </r>
  </si>
  <si>
    <r>
      <t xml:space="preserve">№C4/ 036-18 от 24.09.18  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</si>
  <si>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№39/П-2018   от 18.05.2018                    </t>
    </r>
    <r>
      <rPr>
        <sz val="11"/>
        <color rgb="FFFF0000"/>
        <rFont val="Times New Roman"/>
        <family val="1"/>
        <charset val="204"/>
      </rPr>
      <t>скан НН</t>
    </r>
  </si>
  <si>
    <r>
      <t xml:space="preserve">ООО«ЭЛЛИОНС»                           г. Москва, улица Маросейка, д. 4/2, строение 1  </t>
    </r>
    <r>
      <rPr>
        <b/>
        <sz val="11"/>
        <color rgb="FFFF0000"/>
        <rFont val="Times New Roman"/>
        <family val="1"/>
        <charset val="204"/>
      </rPr>
      <t>Дог. НН</t>
    </r>
  </si>
  <si>
    <r>
      <t xml:space="preserve">№С2/038-18 от 23.06.18  </t>
    </r>
    <r>
      <rPr>
        <b/>
        <sz val="11"/>
        <color rgb="FFFF0000"/>
        <rFont val="Times New Roman"/>
        <family val="1"/>
        <charset val="204"/>
      </rPr>
      <t xml:space="preserve">  подписан</t>
    </r>
  </si>
  <si>
    <r>
      <t xml:space="preserve">C24/1/09/18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</si>
  <si>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№C3/ 036-18 от 03.07.18             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</si>
  <si>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№73/Н-2018   от 11.12.2018                    </t>
    </r>
    <r>
      <rPr>
        <sz val="11"/>
        <color rgb="FFFF0000"/>
        <rFont val="Times New Roman"/>
        <family val="1"/>
        <charset val="204"/>
      </rPr>
      <t>\</t>
    </r>
  </si>
  <si>
    <r>
      <t>ООО "СОДИМАС ГРУП"  наладка регулировка</t>
    </r>
    <r>
      <rPr>
        <b/>
        <sz val="11"/>
        <color rgb="FFFF0000"/>
        <rFont val="Times New Roman"/>
        <family val="1"/>
        <charset val="204"/>
      </rPr>
      <t xml:space="preserve"> </t>
    </r>
  </si>
  <si>
    <r>
      <t xml:space="preserve">№200 </t>
    </r>
    <r>
      <rPr>
        <b/>
        <sz val="11"/>
        <rFont val="Times New Roman"/>
        <family val="1"/>
        <charset val="204"/>
      </rPr>
      <t xml:space="preserve">                     №П/СМР 037-18 от 05.06.18  </t>
    </r>
  </si>
  <si>
    <r>
      <t xml:space="preserve">2605000  </t>
    </r>
    <r>
      <rPr>
        <sz val="11"/>
        <rFont val="Times New Roman"/>
        <family val="1"/>
        <charset val="204"/>
      </rPr>
      <t xml:space="preserve">            в т.ч. смр 350000</t>
    </r>
  </si>
  <si>
    <r>
      <t xml:space="preserve">№41/П-2018   от 07.06.2018                    </t>
    </r>
    <r>
      <rPr>
        <sz val="11"/>
        <color rgb="FFFF0000"/>
        <rFont val="Times New Roman"/>
        <family val="1"/>
        <charset val="204"/>
      </rPr>
      <t xml:space="preserve">скан </t>
    </r>
  </si>
  <si>
    <r>
      <t xml:space="preserve">ООО «СЕЛИН ФАРМАЦЕВТИК»                                 г. Москва, улица Тимура Фрунзе, д .11 кор. 15,   </t>
    </r>
    <r>
      <rPr>
        <sz val="11"/>
        <color rgb="FFFF0000"/>
        <rFont val="Times New Roman"/>
        <family val="1"/>
        <charset val="204"/>
      </rPr>
      <t xml:space="preserve">               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СУДЯТСЯ</t>
    </r>
  </si>
  <si>
    <r>
      <t xml:space="preserve">№197-18                          от 06.06.18      </t>
    </r>
    <r>
      <rPr>
        <b/>
        <sz val="11"/>
        <color rgb="FFFF0000"/>
        <rFont val="Times New Roman"/>
        <family val="1"/>
        <charset val="204"/>
      </rPr>
      <t xml:space="preserve">    </t>
    </r>
    <r>
      <rPr>
        <b/>
        <sz val="11"/>
        <rFont val="Times New Roman"/>
        <family val="1"/>
        <charset val="204"/>
      </rPr>
      <t>Доп.согл.№1 от 19.11.18</t>
    </r>
  </si>
  <si>
    <r>
      <t xml:space="preserve">375000                      +180000                      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+50000                        +2590000                              +</t>
    </r>
    <r>
      <rPr>
        <sz val="11"/>
        <color rgb="FFFF0000"/>
        <rFont val="Times New Roman"/>
        <family val="1"/>
        <charset val="204"/>
      </rPr>
      <t>4381393,87                               +252000</t>
    </r>
  </si>
  <si>
    <r>
      <t xml:space="preserve">№C2/ 197-18 от 11.06.18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</si>
  <si>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№ C1/ 197-18 от 07.06.18  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</si>
  <si>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ООО "Тандем"  Изготовление и монтаж м/к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 </t>
    </r>
  </si>
  <si>
    <r>
      <t>ООО "ТОПЭКС</t>
    </r>
    <r>
      <rPr>
        <b/>
        <sz val="11"/>
        <rFont val="Times New Roman"/>
        <family val="1"/>
        <charset val="204"/>
      </rPr>
      <t>"  обследование фундаментов и надземных конструкций</t>
    </r>
  </si>
  <si>
    <r>
      <t xml:space="preserve"> Бетан Лифт Ингжиниринг</t>
    </r>
    <r>
      <rPr>
        <b/>
        <sz val="11"/>
        <rFont val="Times New Roman"/>
        <family val="1"/>
        <charset val="204"/>
      </rPr>
      <t xml:space="preserve"> - поставка, монта,  1 (одного)  комплекта лифтового оборудования  производства фирмы LIFTMATERIAL </t>
    </r>
  </si>
  <si>
    <r>
      <t>ООО "Альянс Сервис" Т</t>
    </r>
    <r>
      <rPr>
        <sz val="11"/>
        <rFont val="Times New Roman"/>
        <family val="1"/>
        <charset val="204"/>
      </rPr>
      <t>ехн.освидетельствование  дыух платформ</t>
    </r>
  </si>
  <si>
    <r>
      <t xml:space="preserve">№13/18-ТО от 03.07.18  </t>
    </r>
    <r>
      <rPr>
        <sz val="11"/>
        <color rgb="FFFF0000"/>
        <rFont val="Times New Roman"/>
        <family val="1"/>
        <charset val="204"/>
      </rPr>
      <t>скан</t>
    </r>
  </si>
  <si>
    <r>
      <t xml:space="preserve">11128693,94 + 148613,45 </t>
    </r>
    <r>
      <rPr>
        <sz val="11"/>
        <color rgb="FFFF0000"/>
        <rFont val="Times New Roman"/>
        <family val="1"/>
        <charset val="204"/>
      </rPr>
      <t>СМР-1600000</t>
    </r>
  </si>
  <si>
    <r>
      <t xml:space="preserve">        </t>
    </r>
    <r>
      <rPr>
        <sz val="11"/>
        <rFont val="Times New Roman"/>
        <family val="1"/>
        <charset val="204"/>
      </rPr>
      <t xml:space="preserve">           148613,45                   +317505,48                                        +2199257,94         +1932455,85              +798180,32  </t>
    </r>
    <r>
      <rPr>
        <sz val="11"/>
        <color rgb="FFFF0000"/>
        <rFont val="Times New Roman"/>
        <family val="1"/>
        <charset val="204"/>
      </rPr>
      <t xml:space="preserve">                   </t>
    </r>
    <r>
      <rPr>
        <sz val="11"/>
        <rFont val="Times New Roman"/>
        <family val="1"/>
        <charset val="204"/>
      </rPr>
      <t xml:space="preserve">   +5881294,35</t>
    </r>
  </si>
  <si>
    <r>
      <t xml:space="preserve">    </t>
    </r>
    <r>
      <rPr>
        <sz val="11"/>
        <rFont val="Times New Roman"/>
        <family val="1"/>
        <charset val="204"/>
      </rPr>
      <t xml:space="preserve">от 14.08.18            от 24.08.2018     </t>
    </r>
    <r>
      <rPr>
        <sz val="11"/>
        <color rgb="FFFF0000"/>
        <rFont val="Times New Roman"/>
        <family val="1"/>
        <charset val="204"/>
      </rPr>
      <t xml:space="preserve">             </t>
    </r>
    <r>
      <rPr>
        <sz val="11"/>
        <rFont val="Times New Roman"/>
        <family val="1"/>
        <charset val="204"/>
      </rPr>
      <t xml:space="preserve"> 10.09.2018  </t>
    </r>
    <r>
      <rPr>
        <sz val="11"/>
        <color rgb="FFFF0000"/>
        <rFont val="Times New Roman"/>
        <family val="1"/>
        <charset val="204"/>
      </rPr>
      <t xml:space="preserve">   </t>
    </r>
    <r>
      <rPr>
        <sz val="11"/>
        <rFont val="Times New Roman"/>
        <family val="1"/>
        <charset val="204"/>
      </rPr>
      <t>15.10 2018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14.11.18</t>
    </r>
  </si>
  <si>
    <r>
      <t xml:space="preserve">№47 С1/1.53-18                          от 06.09.18       </t>
    </r>
    <r>
      <rPr>
        <b/>
        <sz val="11"/>
        <color rgb="FFFF0000"/>
        <rFont val="Times New Roman"/>
        <family val="1"/>
        <charset val="204"/>
      </rPr>
      <t xml:space="preserve">подписан </t>
    </r>
  </si>
  <si>
    <r>
      <t xml:space="preserve">НИУ ВШЭ </t>
    </r>
    <r>
      <rPr>
        <sz val="11"/>
        <rFont val="Times New Roman"/>
        <family val="1"/>
        <charset val="204"/>
      </rPr>
      <t xml:space="preserve">                                             ул. Басманная 21/4 стр. 5.                                                          </t>
    </r>
  </si>
  <si>
    <r>
      <t xml:space="preserve">C/4/197-2018 от 18.07.2018                     </t>
    </r>
    <r>
      <rPr>
        <sz val="11"/>
        <color rgb="FFFF0000"/>
        <rFont val="Times New Roman"/>
        <family val="1"/>
        <charset val="204"/>
      </rPr>
      <t>подписан- сканы</t>
    </r>
  </si>
  <si>
    <r>
      <t xml:space="preserve">C2/4197-18 от 20.07.18                        </t>
    </r>
    <r>
      <rPr>
        <sz val="11"/>
        <color rgb="FFFF0000"/>
        <rFont val="Times New Roman"/>
        <family val="1"/>
        <charset val="204"/>
      </rPr>
      <t xml:space="preserve">                    подписан</t>
    </r>
  </si>
  <si>
    <r>
      <t xml:space="preserve">№ C3/ 4197-18 от 14.08.18     </t>
    </r>
    <r>
      <rPr>
        <b/>
        <sz val="11"/>
        <color rgb="FFFF0000"/>
        <rFont val="Times New Roman"/>
        <family val="1"/>
        <charset val="204"/>
      </rPr>
      <t xml:space="preserve">подписан  </t>
    </r>
  </si>
  <si>
    <r>
      <t xml:space="preserve">ООО "Тандем"  Изготовление и монтаж м/к  </t>
    </r>
    <r>
      <rPr>
        <b/>
        <sz val="11"/>
        <rFont val="Times New Roman"/>
        <family val="1"/>
        <charset val="204"/>
      </rPr>
      <t xml:space="preserve">  Тиньков банк</t>
    </r>
  </si>
  <si>
    <r>
      <t>С202-18 от 20.08.2018</t>
    </r>
    <r>
      <rPr>
        <b/>
        <sz val="11"/>
        <color rgb="FFFF0000"/>
        <rFont val="Times New Roman"/>
        <family val="1"/>
        <charset val="204"/>
      </rPr>
      <t xml:space="preserve">              подписан</t>
    </r>
  </si>
  <si>
    <r>
      <t xml:space="preserve">ООО Бетан Лифт Инжиниринг                   </t>
    </r>
    <r>
      <rPr>
        <sz val="11"/>
        <rFont val="Times New Roman"/>
        <family val="1"/>
        <charset val="204"/>
      </rPr>
      <t xml:space="preserve"> д.Аносино дом отдыха "Лужки клуб корп.  23А и 23 Б</t>
    </r>
  </si>
  <si>
    <r>
      <t>№010-08-18</t>
    </r>
    <r>
      <rPr>
        <b/>
        <sz val="11"/>
        <rFont val="Times New Roman"/>
        <family val="1"/>
        <charset val="204"/>
      </rPr>
      <t xml:space="preserve">    </t>
    </r>
    <r>
      <rPr>
        <b/>
        <sz val="11"/>
        <color rgb="FFFF0000"/>
        <rFont val="Times New Roman"/>
        <family val="1"/>
        <charset val="204"/>
      </rPr>
      <t xml:space="preserve">201                         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от 10.08.18</t>
    </r>
  </si>
  <si>
    <r>
      <t xml:space="preserve">                                от 24.12.18               от 28.02.19                                     </t>
    </r>
    <r>
      <rPr>
        <b/>
        <sz val="11"/>
        <color rgb="FFFF0000"/>
        <rFont val="Times New Roman"/>
        <family val="1"/>
        <charset val="204"/>
      </rPr>
      <t xml:space="preserve">    </t>
    </r>
    <r>
      <rPr>
        <b/>
        <sz val="11"/>
        <rFont val="Times New Roman"/>
        <family val="1"/>
        <charset val="204"/>
      </rPr>
      <t>от 17.12.19                               от 31.03.20</t>
    </r>
  </si>
  <si>
    <r>
      <t xml:space="preserve">№ C201-18 от 20.08.18                   </t>
    </r>
    <r>
      <rPr>
        <b/>
        <sz val="11"/>
        <color rgb="FFFF0000"/>
        <rFont val="Times New Roman"/>
        <family val="1"/>
        <charset val="204"/>
      </rPr>
      <t xml:space="preserve">         подписан</t>
    </r>
  </si>
  <si>
    <r>
      <t xml:space="preserve">№ C201/2-18 от 03.09.18 </t>
    </r>
    <r>
      <rPr>
        <b/>
        <sz val="11"/>
        <color rgb="FFFF0000"/>
        <rFont val="Times New Roman"/>
        <family val="1"/>
        <charset val="204"/>
      </rPr>
      <t xml:space="preserve"> 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</si>
  <si>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C201/4-18 от 09.10.18               </t>
    </r>
    <r>
      <rPr>
        <sz val="11"/>
        <color rgb="FFFF0000"/>
        <rFont val="Times New Roman"/>
        <family val="1"/>
        <charset val="204"/>
      </rPr>
      <t xml:space="preserve">    подписан</t>
    </r>
  </si>
  <si>
    <r>
      <t xml:space="preserve">№ C201/3-18 от 15.10.18 </t>
    </r>
    <r>
      <rPr>
        <b/>
        <sz val="11"/>
        <color rgb="FF008000"/>
        <rFont val="Times New Roman"/>
        <family val="1"/>
        <charset val="204"/>
      </rPr>
      <t xml:space="preserve">   МОСКОМ   (промсвязьбанк и АЛЬФА)   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подписан</t>
    </r>
    <r>
      <rPr>
        <sz val="11"/>
        <color rgb="FFFF0000"/>
        <rFont val="Times New Roman"/>
        <family val="1"/>
        <charset val="204"/>
      </rPr>
      <t xml:space="preserve"> - добавит ВТБ</t>
    </r>
  </si>
  <si>
    <r>
      <t>"Комфорт"</t>
    </r>
    <r>
      <rPr>
        <sz val="11"/>
        <rFont val="Times New Roman"/>
        <family val="1"/>
        <charset val="204"/>
      </rPr>
      <t xml:space="preserve">   общестроительные работы по изготовлению и установке металлокаркасной шахты лифта корп.А </t>
    </r>
    <r>
      <rPr>
        <sz val="11"/>
        <color rgb="FFFF0000"/>
        <rFont val="Times New Roman"/>
        <family val="1"/>
        <charset val="204"/>
      </rPr>
      <t>на подписи</t>
    </r>
  </si>
  <si>
    <r>
      <t xml:space="preserve">"Тушинский учебный комбинат"       </t>
    </r>
    <r>
      <rPr>
        <sz val="11"/>
        <rFont val="Times New Roman"/>
        <family val="1"/>
        <charset val="204"/>
      </rPr>
      <t xml:space="preserve">                    г.Москва, Волоколамское шоссен, д.114,  к. 1</t>
    </r>
  </si>
  <si>
    <r>
      <t xml:space="preserve">№12/18 </t>
    </r>
    <r>
      <rPr>
        <b/>
        <sz val="11"/>
        <color rgb="FFFF0000"/>
        <rFont val="Times New Roman"/>
        <family val="1"/>
        <charset val="204"/>
      </rPr>
      <t>(203-18) от 12.09.18</t>
    </r>
  </si>
  <si>
    <r>
      <t xml:space="preserve">Дог.№С204/20 от 16.09.20 сб.    </t>
    </r>
    <r>
      <rPr>
        <b/>
        <sz val="11"/>
        <color rgb="FFFF0000"/>
        <rFont val="Times New Roman"/>
        <family val="1"/>
        <charset val="204"/>
      </rPr>
      <t xml:space="preserve">   На согласовании </t>
    </r>
  </si>
  <si>
    <r>
      <t xml:space="preserve"> N 24/09/18-ПИР14 (</t>
    </r>
    <r>
      <rPr>
        <b/>
        <sz val="11"/>
        <color rgb="FFFF0000"/>
        <rFont val="Times New Roman"/>
        <family val="1"/>
        <charset val="204"/>
      </rPr>
      <t>205-18)</t>
    </r>
    <r>
      <rPr>
        <b/>
        <sz val="11"/>
        <rFont val="Times New Roman"/>
        <family val="1"/>
        <charset val="204"/>
      </rPr>
      <t xml:space="preserve"> от 10.01.19 (скан)</t>
    </r>
  </si>
  <si>
    <r>
      <t xml:space="preserve"> N 24/09/18-СТ14 </t>
    </r>
    <r>
      <rPr>
        <b/>
        <sz val="11"/>
        <color rgb="FFFF0000"/>
        <rFont val="Times New Roman"/>
        <family val="1"/>
        <charset val="204"/>
      </rPr>
      <t>(205-18)</t>
    </r>
    <r>
      <rPr>
        <b/>
        <sz val="11"/>
        <rFont val="Times New Roman"/>
        <family val="1"/>
        <charset val="204"/>
      </rPr>
      <t xml:space="preserve"> от 10.01.19</t>
    </r>
  </si>
  <si>
    <r>
      <t xml:space="preserve">№212 С3/19 от  15.01.2019 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</si>
  <si>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 № ВТ25/10-СТ14</t>
    </r>
    <r>
      <rPr>
        <b/>
        <sz val="11"/>
        <color rgb="FFFF0000"/>
        <rFont val="Times New Roman"/>
        <family val="1"/>
        <charset val="204"/>
      </rPr>
      <t xml:space="preserve"> (209-18) </t>
    </r>
    <r>
      <rPr>
        <b/>
        <sz val="11"/>
        <rFont val="Times New Roman"/>
        <family val="1"/>
        <charset val="204"/>
      </rPr>
      <t xml:space="preserve">от 25.10.18        ДС №1 от 30.11.18   </t>
    </r>
    <r>
      <rPr>
        <b/>
        <sz val="11"/>
        <color rgb="FF800080"/>
        <rFont val="Times New Roman"/>
        <family val="1"/>
        <charset val="204"/>
      </rPr>
      <t xml:space="preserve"> ДС №2 от 05.03.18 9          ( скан)</t>
    </r>
  </si>
  <si>
    <r>
      <t xml:space="preserve"> № ВТ25 С-2/10-18  от 25.12.18  </t>
    </r>
    <r>
      <rPr>
        <b/>
        <sz val="11"/>
        <color rgb="FF0066CC"/>
        <rFont val="Times New Roman"/>
        <family val="1"/>
        <charset val="204"/>
      </rPr>
      <t xml:space="preserve">осн. Сп ( промсвязь , альфа) </t>
    </r>
    <r>
      <rPr>
        <b/>
        <sz val="11"/>
        <color rgb="FFFF0000"/>
        <rFont val="Times New Roman"/>
        <family val="1"/>
        <charset val="204"/>
      </rPr>
      <t>перенесен на Штраб - подписан</t>
    </r>
  </si>
  <si>
    <r>
      <t xml:space="preserve">ООО Промышленная Техническая Безопасность и Неразрушающий Контроль                                 </t>
    </r>
    <r>
      <rPr>
        <b/>
        <sz val="11"/>
        <rFont val="Times New Roman"/>
        <family val="1"/>
        <charset val="204"/>
      </rPr>
      <t>контроль качества</t>
    </r>
  </si>
  <si>
    <r>
      <t xml:space="preserve"> № ВТ25С/10-18  от 17.12.18 сбербанк    </t>
    </r>
    <r>
      <rPr>
        <sz val="11"/>
        <color rgb="FFFF0000"/>
        <rFont val="Times New Roman"/>
        <family val="1"/>
        <charset val="204"/>
      </rPr>
      <t xml:space="preserve"> П</t>
    </r>
    <r>
      <rPr>
        <b/>
        <sz val="11"/>
        <color rgb="FFFF0000"/>
        <rFont val="Times New Roman"/>
        <family val="1"/>
        <charset val="204"/>
      </rPr>
      <t>одписан</t>
    </r>
  </si>
  <si>
    <r>
      <t>632051</t>
    </r>
    <r>
      <rPr>
        <sz val="11"/>
        <color rgb="FF800080"/>
        <rFont val="Times New Roman"/>
        <family val="1"/>
        <charset val="204"/>
      </rPr>
      <t xml:space="preserve">                                            </t>
    </r>
    <r>
      <rPr>
        <sz val="11"/>
        <rFont val="Times New Roman"/>
        <family val="1"/>
        <charset val="204"/>
      </rPr>
      <t xml:space="preserve"> +904487                           </t>
    </r>
    <r>
      <rPr>
        <sz val="11"/>
        <color rgb="FF008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 +4989470,69</t>
    </r>
    <r>
      <rPr>
        <sz val="11"/>
        <color rgb="FF008000"/>
        <rFont val="Times New Roman"/>
        <family val="1"/>
        <charset val="204"/>
      </rPr>
      <t xml:space="preserve">                    </t>
    </r>
    <r>
      <rPr>
        <sz val="11"/>
        <rFont val="Times New Roman"/>
        <family val="1"/>
        <charset val="204"/>
      </rPr>
      <t xml:space="preserve"> +180000</t>
    </r>
    <r>
      <rPr>
        <sz val="11"/>
        <color rgb="FF008000"/>
        <rFont val="Times New Roman"/>
        <family val="1"/>
        <charset val="204"/>
      </rPr>
      <t xml:space="preserve">                         </t>
    </r>
    <r>
      <rPr>
        <sz val="11"/>
        <rFont val="Times New Roman"/>
        <family val="1"/>
        <charset val="204"/>
      </rPr>
      <t xml:space="preserve">   +320000</t>
    </r>
    <r>
      <rPr>
        <sz val="11"/>
        <color rgb="FFFF0000"/>
        <rFont val="Times New Roman"/>
        <family val="1"/>
        <charset val="204"/>
      </rPr>
      <t xml:space="preserve">  </t>
    </r>
    <r>
      <rPr>
        <sz val="11"/>
        <color rgb="FF008000"/>
        <rFont val="Times New Roman"/>
        <family val="1"/>
        <charset val="204"/>
      </rPr>
      <t xml:space="preserve">                                  </t>
    </r>
    <r>
      <rPr>
        <sz val="11"/>
        <rFont val="Times New Roman"/>
        <family val="1"/>
        <charset val="204"/>
      </rPr>
      <t xml:space="preserve"> +152949 </t>
    </r>
    <r>
      <rPr>
        <sz val="11"/>
        <color rgb="FFFF0000"/>
        <rFont val="Times New Roman"/>
        <family val="1"/>
        <charset val="204"/>
      </rPr>
      <t xml:space="preserve">                      </t>
    </r>
    <r>
      <rPr>
        <sz val="11"/>
        <rFont val="Times New Roman"/>
        <family val="1"/>
        <charset val="204"/>
      </rPr>
      <t xml:space="preserve"> +1855513       </t>
    </r>
    <r>
      <rPr>
        <sz val="11"/>
        <color rgb="FFFF0000"/>
        <rFont val="Times New Roman"/>
        <family val="1"/>
        <charset val="204"/>
      </rPr>
      <t xml:space="preserve">               </t>
    </r>
    <r>
      <rPr>
        <sz val="11"/>
        <rFont val="Times New Roman"/>
        <family val="1"/>
        <charset val="204"/>
      </rPr>
      <t xml:space="preserve">   +288000     </t>
    </r>
  </si>
  <si>
    <r>
      <t xml:space="preserve"> 15.05.19                                  20.06.19</t>
    </r>
    <r>
      <rPr>
        <sz val="11"/>
        <color rgb="FFFF0000"/>
        <rFont val="Times New Roman"/>
        <family val="1"/>
        <charset val="204"/>
      </rPr>
      <t xml:space="preserve">                            </t>
    </r>
    <r>
      <rPr>
        <sz val="11"/>
        <color rgb="FF008000"/>
        <rFont val="Times New Roman"/>
        <family val="1"/>
        <charset val="204"/>
      </rPr>
      <t xml:space="preserve">24/10/19 - Юрченко                     24/10/19                                   </t>
    </r>
    <r>
      <rPr>
        <sz val="11"/>
        <color rgb="FF800080"/>
        <rFont val="Times New Roman"/>
        <family val="1"/>
        <charset val="204"/>
      </rPr>
      <t>24/10/19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color rgb="FF008000"/>
        <rFont val="Times New Roman"/>
        <family val="1"/>
        <charset val="204"/>
      </rPr>
      <t xml:space="preserve">               </t>
    </r>
    <r>
      <rPr>
        <sz val="11"/>
        <rFont val="Times New Roman"/>
        <family val="1"/>
        <charset val="204"/>
      </rPr>
      <t>31.10.19                                                                        от 11.12.19                                      от 07.02.20</t>
    </r>
  </si>
  <si>
    <r>
      <t xml:space="preserve"> №206С1 /19                   от 04.02.19    </t>
    </r>
    <r>
      <rPr>
        <sz val="11"/>
        <color rgb="FFFF0000"/>
        <rFont val="Times New Roman"/>
        <family val="1"/>
        <charset val="204"/>
      </rPr>
      <t xml:space="preserve"> Сбербанк                        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</si>
  <si>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>№ C206/18 от 19.12.18   МОСКОМ  И ВТБ   (промсвязь , альфа)</t>
    </r>
    <r>
      <rPr>
        <b/>
        <sz val="11"/>
        <color rgb="FFFF0000"/>
        <rFont val="Times New Roman"/>
        <family val="1"/>
        <charset val="204"/>
      </rPr>
      <t xml:space="preserve">   </t>
    </r>
    <r>
      <rPr>
        <sz val="11"/>
        <color rgb="FFFF0000"/>
        <rFont val="Times New Roman"/>
        <family val="1"/>
        <charset val="204"/>
      </rPr>
      <t xml:space="preserve"> подписан</t>
    </r>
  </si>
  <si>
    <r>
      <t>ИП Минасян А.М</t>
    </r>
    <r>
      <rPr>
        <b/>
        <sz val="11"/>
        <rFont val="Times New Roman"/>
        <family val="1"/>
        <charset val="204"/>
      </rPr>
      <t>.   Альфа-банк И ПРОМ                   СМР шахты лифта г.п. 1000 (или далее остекление или  эл.монт работы)</t>
    </r>
  </si>
  <si>
    <r>
      <t xml:space="preserve">( перенесе с Дог.  N 24/09/18-СТ14 (205-18) от 10.01.19)                         </t>
    </r>
    <r>
      <rPr>
        <b/>
        <sz val="11"/>
        <rFont val="Times New Roman"/>
        <family val="1"/>
        <charset val="204"/>
      </rPr>
      <t>№C4/ 038-18 от 08.10.18</t>
    </r>
    <r>
      <rPr>
        <b/>
        <sz val="11"/>
        <color rgb="FFFF0000"/>
        <rFont val="Times New Roman"/>
        <family val="1"/>
        <charset val="204"/>
      </rPr>
      <t xml:space="preserve">   подписан</t>
    </r>
  </si>
  <si>
    <r>
      <t xml:space="preserve">ООО "ЮМПЕКС» «Д.У."                   </t>
    </r>
    <r>
      <rPr>
        <sz val="11"/>
        <rFont val="Times New Roman"/>
        <family val="1"/>
        <charset val="204"/>
      </rPr>
      <t xml:space="preserve">г. Москва, переулок Сивцев Вражек, дом 43 </t>
    </r>
  </si>
  <si>
    <r>
      <t xml:space="preserve">№ЮМ/ТОР/1                      </t>
    </r>
    <r>
      <rPr>
        <b/>
        <sz val="11"/>
        <color rgb="FFFF0000"/>
        <rFont val="Times New Roman"/>
        <family val="1"/>
        <charset val="204"/>
      </rPr>
      <t xml:space="preserve">   210/19   </t>
    </r>
    <r>
      <rPr>
        <b/>
        <sz val="11"/>
        <rFont val="Times New Roman"/>
        <family val="1"/>
        <charset val="204"/>
      </rPr>
      <t xml:space="preserve">                от 12.02.19                          ДС №1 от 25.09.19            </t>
    </r>
    <r>
      <rPr>
        <b/>
        <sz val="11"/>
        <color rgb="FFFF0000"/>
        <rFont val="Times New Roman"/>
        <family val="1"/>
        <charset val="204"/>
      </rPr>
      <t xml:space="preserve"> ДС №2 от 21.10.19 нет</t>
    </r>
  </si>
  <si>
    <r>
      <t xml:space="preserve">99700 уе     4940000 руб (СМР 2089000 (3820600)                      +69000                               </t>
    </r>
    <r>
      <rPr>
        <sz val="11"/>
        <color rgb="FFFF0000"/>
        <rFont val="Times New Roman"/>
        <family val="1"/>
        <charset val="204"/>
      </rPr>
      <t>+28000</t>
    </r>
  </si>
  <si>
    <r>
      <t>№ 210 C2/19 от 25.02.19</t>
    </r>
    <r>
      <rPr>
        <b/>
        <sz val="11"/>
        <color rgb="FFFF0000"/>
        <rFont val="Times New Roman"/>
        <family val="1"/>
        <charset val="204"/>
      </rPr>
      <t xml:space="preserve">        (Альфа)   суб. Оф.    От ВТБ, моском     Подписан</t>
    </r>
  </si>
  <si>
    <r>
      <t xml:space="preserve">от 03.04.19                      от 25.04.19                          от 25.04.19                                                    02.07.19                                                 05.07.19               </t>
    </r>
    <r>
      <rPr>
        <b/>
        <sz val="11"/>
        <color rgb="FFFF0000"/>
        <rFont val="Times New Roman"/>
        <family val="1"/>
        <charset val="204"/>
      </rPr>
      <t xml:space="preserve">                        </t>
    </r>
  </si>
  <si>
    <r>
      <t xml:space="preserve">от 08.04.19             0т 08.07.19                                </t>
    </r>
    <r>
      <rPr>
        <sz val="11"/>
        <color rgb="FF800080"/>
        <rFont val="Times New Roman"/>
        <family val="1"/>
        <charset val="204"/>
      </rPr>
      <t xml:space="preserve"> от 27.09.19                                   от 01.11.19 сканы</t>
    </r>
  </si>
  <si>
    <r>
      <t xml:space="preserve"> № 210 С1/19                   от 14.02.19        </t>
    </r>
    <r>
      <rPr>
        <sz val="11"/>
        <color rgb="FFFF0000"/>
        <rFont val="Times New Roman"/>
        <family val="1"/>
        <charset val="204"/>
      </rPr>
      <t xml:space="preserve">Промсвязьбанк   сбербанк          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</si>
  <si>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 xml:space="preserve">ЗАО «ШАНГАЛ»                                        </t>
    </r>
    <r>
      <rPr>
        <sz val="11"/>
        <rFont val="Times New Roman"/>
        <family val="1"/>
        <charset val="204"/>
      </rPr>
      <t xml:space="preserve">         г. Москва, ТЦ Новогиреево, Зеленый проспект 62.Д (с 1-ого этажа в  подвал)</t>
    </r>
    <r>
      <rPr>
        <b/>
        <sz val="11"/>
        <rFont val="Times New Roman"/>
        <family val="1"/>
        <charset val="204"/>
      </rPr>
      <t xml:space="preserve"> </t>
    </r>
  </si>
  <si>
    <r>
      <t>Обследование фундаментов и надземных строительных конструкций части здания на предмет установки двух эскалаторов, разработку ПД ,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800080"/>
        <rFont val="Times New Roman"/>
        <family val="1"/>
        <charset val="204"/>
      </rPr>
      <t xml:space="preserve">монтаж эскалаторов </t>
    </r>
  </si>
  <si>
    <r>
      <t xml:space="preserve">Дог.№4/19-О от 15.03.2019 г. </t>
    </r>
    <r>
      <rPr>
        <sz val="11"/>
        <color rgb="FFFF0000"/>
        <rFont val="Times New Roman"/>
        <family val="1"/>
        <charset val="204"/>
      </rPr>
      <t>нет договора  и актов</t>
    </r>
    <r>
      <rPr>
        <sz val="11"/>
        <rFont val="Times New Roman"/>
        <family val="1"/>
        <charset val="204"/>
      </rPr>
      <t xml:space="preserve">  (отв.Волков А.М.)</t>
    </r>
  </si>
  <si>
    <r>
      <t xml:space="preserve">332000      </t>
    </r>
    <r>
      <rPr>
        <sz val="11"/>
        <color rgb="FF800080"/>
        <rFont val="Times New Roman"/>
        <family val="1"/>
        <charset val="204"/>
      </rPr>
      <t xml:space="preserve">            </t>
    </r>
    <r>
      <rPr>
        <sz val="11"/>
        <rFont val="Times New Roman"/>
        <family val="1"/>
        <charset val="204"/>
      </rPr>
      <t xml:space="preserve">  +904960 </t>
    </r>
    <r>
      <rPr>
        <sz val="11"/>
        <color rgb="FF800080"/>
        <rFont val="Times New Roman"/>
        <family val="1"/>
        <charset val="204"/>
      </rPr>
      <t xml:space="preserve">                       </t>
    </r>
    <r>
      <rPr>
        <sz val="11"/>
        <rFont val="Times New Roman"/>
        <family val="1"/>
        <charset val="204"/>
      </rPr>
      <t xml:space="preserve">     +387840 </t>
    </r>
    <r>
      <rPr>
        <sz val="11"/>
        <color rgb="FF800080"/>
        <rFont val="Times New Roman"/>
        <family val="1"/>
        <charset val="204"/>
      </rPr>
      <t xml:space="preserve">                  </t>
    </r>
    <r>
      <rPr>
        <sz val="11"/>
        <rFont val="Times New Roman"/>
        <family val="1"/>
        <charset val="204"/>
      </rPr>
      <t xml:space="preserve">   +75200</t>
    </r>
  </si>
  <si>
    <r>
      <t>от 05.07.19</t>
    </r>
    <r>
      <rPr>
        <b/>
        <sz val="11"/>
        <color rgb="FF800080"/>
        <rFont val="Times New Roman"/>
        <family val="1"/>
        <charset val="204"/>
      </rPr>
      <t xml:space="preserve">          </t>
    </r>
    <r>
      <rPr>
        <b/>
        <sz val="11"/>
        <color rgb="FF000000"/>
        <rFont val="Times New Roman"/>
        <family val="1"/>
        <charset val="204"/>
      </rPr>
      <t>18.11.19           от29.11.19     сканы               от 19.08.20</t>
    </r>
  </si>
  <si>
    <r>
      <t>СМР</t>
    </r>
    <r>
      <rPr>
        <sz val="11"/>
        <rFont val="Times New Roman"/>
        <family val="1"/>
        <charset val="204"/>
      </rPr>
      <t xml:space="preserve"> по изготовлению и установке м/к для эскалаторов</t>
    </r>
  </si>
  <si>
    <r>
      <t xml:space="preserve">№216/19 от 23.05.19             ДС №1 от 29.07.19 </t>
    </r>
    <r>
      <rPr>
        <b/>
        <sz val="11"/>
        <color rgb="FFFF0000"/>
        <rFont val="Times New Roman"/>
        <family val="1"/>
        <charset val="204"/>
      </rPr>
      <t>проверить акты субподрядчиков</t>
    </r>
  </si>
  <si>
    <r>
      <t xml:space="preserve">№ С216/19 от 03.06.19      сбербанк с ВТБ  </t>
    </r>
    <r>
      <rPr>
        <sz val="11"/>
        <color rgb="FFFF0000"/>
        <rFont val="Times New Roman"/>
        <family val="1"/>
        <charset val="204"/>
      </rPr>
      <t xml:space="preserve">            подписан</t>
    </r>
  </si>
  <si>
    <r>
      <t xml:space="preserve">ИП Хуторецкая - СМР работы      </t>
    </r>
    <r>
      <rPr>
        <sz val="11"/>
        <rFont val="Times New Roman"/>
        <family val="1"/>
        <charset val="204"/>
      </rPr>
      <t xml:space="preserve"> </t>
    </r>
  </si>
  <si>
    <r>
      <t xml:space="preserve">ЗАКАЗЧИК,                 </t>
    </r>
    <r>
      <rPr>
        <sz val="11"/>
        <rFont val="Times New Roman"/>
        <family val="1"/>
        <charset val="204"/>
      </rPr>
      <t>мы</t>
    </r>
    <r>
      <rPr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на подряде              </t>
    </r>
    <r>
      <rPr>
        <sz val="11"/>
        <rFont val="Times New Roman"/>
        <family val="1"/>
        <charset val="204"/>
      </rPr>
      <t xml:space="preserve"> № 220 С/19 от 07.08.19                            </t>
    </r>
    <r>
      <rPr>
        <b/>
        <sz val="11"/>
        <color rgb="FFFF0000"/>
        <rFont val="Times New Roman"/>
        <family val="1"/>
        <charset val="204"/>
      </rPr>
      <t xml:space="preserve">  (отв. Юрченко)</t>
    </r>
  </si>
  <si>
    <r>
      <t>ИП Слоян Роман Мирзаевич</t>
    </r>
    <r>
      <rPr>
        <sz val="11"/>
        <rFont val="Times New Roman"/>
        <family val="1"/>
        <charset val="204"/>
      </rPr>
      <t xml:space="preserve"> - корректировка проекта на установку эскалатора </t>
    </r>
    <r>
      <rPr>
        <b/>
        <sz val="11"/>
        <color rgb="FFFF0000"/>
        <rFont val="Times New Roman"/>
        <family val="1"/>
        <charset val="204"/>
      </rPr>
      <t>и СМР (Изготовление и установка опор в приямке для двух эскалаторов в подвале (нижняя опора).</t>
    </r>
  </si>
  <si>
    <r>
      <t xml:space="preserve">№ АК-27-05-19  от 27.05.19                                  (п.3 осн.договора)                         </t>
    </r>
    <r>
      <rPr>
        <sz val="11"/>
        <color rgb="FFFF0000"/>
        <rFont val="Times New Roman"/>
        <family val="1"/>
        <charset val="204"/>
      </rPr>
      <t xml:space="preserve"> закрыт</t>
    </r>
  </si>
  <si>
    <r>
      <t xml:space="preserve">Частное лицо Овсянкин Алексей Анатольевич            </t>
    </r>
    <r>
      <rPr>
        <sz val="11"/>
        <rFont val="Times New Roman"/>
        <family val="1"/>
        <charset val="204"/>
      </rPr>
      <t xml:space="preserve">  МО Истринский р-н кп "Покровское Рубцово"                                    </t>
    </r>
  </si>
  <si>
    <r>
      <t xml:space="preserve">№С213/3/19 от 14.05.2019  </t>
    </r>
    <r>
      <rPr>
        <b/>
        <sz val="11"/>
        <color rgb="FFFF0000"/>
        <rFont val="Times New Roman"/>
        <family val="1"/>
        <charset val="204"/>
      </rPr>
      <t xml:space="preserve">              на подписи</t>
    </r>
  </si>
  <si>
    <r>
      <t xml:space="preserve">06РТ/19 </t>
    </r>
    <r>
      <rPr>
        <b/>
        <sz val="11"/>
        <color rgb="FFFF0000"/>
        <rFont val="Times New Roman"/>
        <family val="1"/>
        <charset val="204"/>
      </rPr>
      <t>(213/19</t>
    </r>
    <r>
      <rPr>
        <b/>
        <sz val="11"/>
        <rFont val="Times New Roman"/>
        <family val="1"/>
        <charset val="204"/>
      </rPr>
      <t xml:space="preserve">)   от 10.04.19                                 </t>
    </r>
    <r>
      <rPr>
        <b/>
        <sz val="11"/>
        <color rgb="FFFF0000"/>
        <rFont val="Times New Roman"/>
        <family val="1"/>
        <charset val="204"/>
      </rPr>
      <t xml:space="preserve">   ДС №1 от 03.07.2019 (нет подписей) </t>
    </r>
    <r>
      <rPr>
        <b/>
        <sz val="11"/>
        <rFont val="Times New Roman"/>
        <family val="1"/>
        <charset val="204"/>
      </rPr>
      <t xml:space="preserve">                    ДС №2 от 28.11.19 (нет печати)</t>
    </r>
  </si>
  <si>
    <r>
      <t xml:space="preserve">С213/2/19   от 01.10.19     альфабанк   промсвязьбанк </t>
    </r>
    <r>
      <rPr>
        <b/>
        <sz val="11"/>
        <color rgb="FFFF0000"/>
        <rFont val="Times New Roman"/>
        <family val="1"/>
        <charset val="204"/>
      </rPr>
      <t xml:space="preserve">   </t>
    </r>
    <r>
      <rPr>
        <b/>
        <sz val="11"/>
        <color rgb="FFFF0000"/>
        <rFont val="Times New Roman"/>
        <family val="1"/>
        <charset val="204"/>
      </rPr>
      <t xml:space="preserve">Подписан </t>
    </r>
  </si>
  <si>
    <r>
      <t xml:space="preserve">С213/1/19   от 14.05.19     промсвязьбанк                       </t>
    </r>
    <r>
      <rPr>
        <b/>
        <sz val="11"/>
        <color rgb="FFFF0000"/>
        <rFont val="Times New Roman"/>
        <family val="1"/>
        <charset val="204"/>
      </rPr>
      <t xml:space="preserve">на подписи </t>
    </r>
  </si>
  <si>
    <r>
      <t xml:space="preserve">239800                              +100000                         +219780                    +140000                        +64500                             +268000                            +180000                           +250560               +260500                +385000                           +160000                       +222000                       +372000                                                        +150000                +167000                 +510000                     +310000                          +220000                                   +556000                               </t>
    </r>
    <r>
      <rPr>
        <sz val="11"/>
        <color rgb="FF008000"/>
        <rFont val="Times New Roman"/>
        <family val="1"/>
        <charset val="204"/>
      </rPr>
      <t xml:space="preserve"> +333350</t>
    </r>
    <r>
      <rPr>
        <sz val="11"/>
        <color rgb="FFFF0000"/>
        <rFont val="Times New Roman"/>
        <family val="1"/>
        <charset val="204"/>
      </rPr>
      <t xml:space="preserve">                               +444445                                                                                                                          +182530</t>
    </r>
  </si>
  <si>
    <r>
      <t xml:space="preserve">05.07.2019                            от 12.07.19                                                  от 26.07.19                                              </t>
    </r>
    <r>
      <rPr>
        <b/>
        <sz val="11"/>
        <color rgb="FF993300"/>
        <rFont val="Times New Roman"/>
        <family val="1"/>
        <charset val="204"/>
      </rPr>
      <t xml:space="preserve">  </t>
    </r>
    <r>
      <rPr>
        <b/>
        <sz val="11"/>
        <color rgb="FFFF0000"/>
        <rFont val="Times New Roman"/>
        <family val="1"/>
        <charset val="204"/>
      </rPr>
      <t xml:space="preserve">от 31.07.19                                                  </t>
    </r>
    <r>
      <rPr>
        <b/>
        <sz val="11"/>
        <color rgb="FF993300"/>
        <rFont val="Times New Roman"/>
        <family val="1"/>
        <charset val="204"/>
      </rPr>
      <t xml:space="preserve">от 31.07.19    </t>
    </r>
    <r>
      <rPr>
        <b/>
        <sz val="11"/>
        <color rgb="FFFF0000"/>
        <rFont val="Times New Roman"/>
        <family val="1"/>
        <charset val="204"/>
      </rPr>
      <t xml:space="preserve">                                               от 13.08.19                                                   от 23.08.19                           от 03.09.19                                        от 18.09.19                                                   01.10.19                                                         14.10.19                                                        16.10.19                                                     05.11.19                                                                                        11/11/19                                          21.11.19                                                  04.12.19                                            11.12.19                                                16/12/19                                              24.12.19                                                      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>27.12.19</t>
    </r>
    <r>
      <rPr>
        <b/>
        <sz val="11"/>
        <color rgb="FF008000"/>
        <rFont val="Times New Roman"/>
        <family val="1"/>
        <charset val="204"/>
      </rPr>
      <t xml:space="preserve"> на 10.01.2020-д2006.1.19</t>
    </r>
    <r>
      <rPr>
        <b/>
        <sz val="11"/>
        <color rgb="FFFF0000"/>
        <rFont val="Times New Roman"/>
        <family val="1"/>
        <charset val="204"/>
      </rPr>
      <t xml:space="preserve">                                                   10.01.20                                  </t>
    </r>
    <r>
      <rPr>
        <b/>
        <sz val="11"/>
        <color rgb="FF008000"/>
        <rFont val="Times New Roman"/>
        <family val="1"/>
        <charset val="204"/>
      </rPr>
      <t xml:space="preserve">   </t>
    </r>
    <r>
      <rPr>
        <b/>
        <sz val="11"/>
        <color rgb="FFFF0000"/>
        <rFont val="Times New Roman"/>
        <family val="1"/>
        <charset val="204"/>
      </rPr>
      <t xml:space="preserve">                        </t>
    </r>
    <r>
      <rPr>
        <b/>
        <sz val="11"/>
        <color rgb="FF99CC00"/>
        <rFont val="Times New Roman"/>
        <family val="1"/>
        <charset val="204"/>
      </rPr>
      <t xml:space="preserve"> от 21/08/20</t>
    </r>
    <r>
      <rPr>
        <b/>
        <sz val="11"/>
        <color rgb="FFFF0000"/>
        <rFont val="Times New Roman"/>
        <family val="1"/>
        <charset val="204"/>
      </rPr>
      <t xml:space="preserve">                                             </t>
    </r>
  </si>
  <si>
    <r>
      <t xml:space="preserve">06РТ-С/19)   от 20.05.19 промсявязьбанк  моском  от ВТБ  альфа             </t>
    </r>
    <r>
      <rPr>
        <b/>
        <sz val="11"/>
        <rFont val="Times New Roman"/>
        <family val="1"/>
        <charset val="204"/>
      </rPr>
      <t xml:space="preserve">  </t>
    </r>
    <r>
      <rPr>
        <b/>
        <sz val="11"/>
        <color rgb="FFFF0000"/>
        <rFont val="Times New Roman"/>
        <family val="1"/>
        <charset val="204"/>
      </rPr>
      <t>п</t>
    </r>
    <r>
      <rPr>
        <sz val="11"/>
        <color rgb="FFFF0000"/>
        <rFont val="Times New Roman"/>
        <family val="1"/>
        <charset val="204"/>
      </rPr>
      <t>одписан</t>
    </r>
  </si>
  <si>
    <r>
      <t xml:space="preserve">05.07.2019        </t>
    </r>
    <r>
      <rPr>
        <b/>
        <sz val="11"/>
        <color rgb="FFFF0000"/>
        <rFont val="Times New Roman"/>
        <family val="1"/>
        <charset val="204"/>
      </rPr>
      <t xml:space="preserve">                              2.08.19                                                                21.08.19                                                                             18.09.19                                                        </t>
    </r>
    <r>
      <rPr>
        <b/>
        <sz val="11"/>
        <color rgb="FF0066CC"/>
        <rFont val="Times New Roman"/>
        <family val="1"/>
        <charset val="204"/>
      </rPr>
      <t xml:space="preserve">   03.10.19   </t>
    </r>
    <r>
      <rPr>
        <b/>
        <sz val="11"/>
        <color rgb="FFFF0000"/>
        <rFont val="Times New Roman"/>
        <family val="1"/>
        <charset val="204"/>
      </rPr>
      <t xml:space="preserve">                                                       09.10.19                                      </t>
    </r>
    <r>
      <rPr>
        <b/>
        <sz val="11"/>
        <color rgb="FF0066CC"/>
        <rFont val="Times New Roman"/>
        <family val="1"/>
        <charset val="204"/>
      </rPr>
      <t xml:space="preserve">    </t>
    </r>
    <r>
      <rPr>
        <b/>
        <sz val="11"/>
        <color rgb="FFFF0000"/>
        <rFont val="Times New Roman"/>
        <family val="1"/>
        <charset val="204"/>
      </rPr>
      <t xml:space="preserve">                                  07/11/19                                                        07/11/19                                            </t>
    </r>
    <r>
      <rPr>
        <b/>
        <sz val="11"/>
        <color rgb="FF008000"/>
        <rFont val="Times New Roman"/>
        <family val="1"/>
        <charset val="204"/>
      </rPr>
      <t xml:space="preserve"> 05.12.19        </t>
    </r>
    <r>
      <rPr>
        <b/>
        <sz val="11"/>
        <color rgb="FFFF0000"/>
        <rFont val="Times New Roman"/>
        <family val="1"/>
        <charset val="204"/>
      </rPr>
      <t xml:space="preserve">                                         16/12/19                                                    16.01.20                                                  17.01.20                                   </t>
    </r>
  </si>
  <si>
    <r>
      <t xml:space="preserve">ООО "СОДИМАС ГРУП"                         </t>
    </r>
    <r>
      <rPr>
        <sz val="11"/>
        <rFont val="Times New Roman"/>
        <family val="1"/>
        <charset val="204"/>
      </rPr>
      <t xml:space="preserve"> г.Москва Ленинградское ш. д.36</t>
    </r>
    <r>
      <rPr>
        <b/>
        <sz val="11"/>
        <rFont val="Times New Roman"/>
        <family val="1"/>
        <charset val="204"/>
      </rPr>
      <t xml:space="preserve">      </t>
    </r>
  </si>
  <si>
    <r>
      <t xml:space="preserve">от 15/10/19 </t>
    </r>
    <r>
      <rPr>
        <b/>
        <sz val="11"/>
        <color rgb="FFFF0000"/>
        <rFont val="Times New Roman"/>
        <family val="1"/>
        <charset val="204"/>
      </rPr>
      <t xml:space="preserve">                       </t>
    </r>
    <r>
      <rPr>
        <b/>
        <sz val="11"/>
        <color rgb="FF000000"/>
        <rFont val="Times New Roman"/>
        <family val="1"/>
        <charset val="204"/>
      </rPr>
      <t xml:space="preserve">  от 26.11.19             от 03.12.19                               </t>
    </r>
    <r>
      <rPr>
        <b/>
        <sz val="11"/>
        <rFont val="Times New Roman"/>
        <family val="1"/>
        <charset val="204"/>
      </rPr>
      <t>от 31.12.19 Григорьев</t>
    </r>
  </si>
  <si>
    <r>
      <t xml:space="preserve">ООО "СОДИМАС ГРУП"                         </t>
    </r>
    <r>
      <rPr>
        <sz val="11"/>
        <rFont val="Times New Roman"/>
        <family val="1"/>
        <charset val="204"/>
      </rPr>
      <t xml:space="preserve"> г.Москва МКАД 44</t>
    </r>
    <r>
      <rPr>
        <b/>
        <sz val="11"/>
        <rFont val="Times New Roman"/>
        <family val="1"/>
        <charset val="204"/>
      </rPr>
      <t xml:space="preserve">     </t>
    </r>
  </si>
  <si>
    <r>
      <t xml:space="preserve">Хуторецкая                                 </t>
    </r>
    <r>
      <rPr>
        <sz val="11"/>
        <rFont val="Times New Roman"/>
        <family val="1"/>
        <charset val="204"/>
      </rPr>
      <t>остекление</t>
    </r>
    <r>
      <rPr>
        <sz val="11"/>
        <rFont val="Times New Roman"/>
        <family val="1"/>
        <charset val="204"/>
      </rPr>
      <t xml:space="preserve"> металлоконструкций лифтовой шахты</t>
    </r>
  </si>
  <si>
    <r>
      <t>ООО СОДИМАС ГРУП  г. Москва, Столярный пер., д. 3, корп. 14,</t>
    </r>
    <r>
      <rPr>
        <b/>
        <sz val="11"/>
        <color rgb="FFFF0000"/>
        <rFont val="Times New Roman"/>
        <family val="1"/>
        <charset val="204"/>
      </rPr>
      <t xml:space="preserve"> НЕТ ДОГОВОРА</t>
    </r>
  </si>
  <si>
    <r>
      <t xml:space="preserve">ООО "СпецТехСтрой"       </t>
    </r>
    <r>
      <rPr>
        <b/>
        <sz val="11"/>
        <color rgb="FFFF0000"/>
        <rFont val="Times New Roman"/>
        <family val="1"/>
        <charset val="204"/>
      </rPr>
      <t xml:space="preserve"> (Чистый пер.)</t>
    </r>
    <r>
      <rPr>
        <b/>
        <sz val="11"/>
        <rFont val="Times New Roman"/>
        <family val="1"/>
        <charset val="204"/>
      </rPr>
      <t xml:space="preserve">  МО, Солнечногорский р-н, ул.Центральная, д.1  </t>
    </r>
    <r>
      <rPr>
        <b/>
        <sz val="11"/>
        <color rgb="FFFF0000"/>
        <rFont val="Times New Roman"/>
        <family val="1"/>
        <charset val="204"/>
      </rPr>
      <t>дог.  скан</t>
    </r>
  </si>
  <si>
    <r>
      <t xml:space="preserve">№2006/19   </t>
    </r>
    <r>
      <rPr>
        <b/>
        <sz val="11"/>
        <color rgb="FFFF0000"/>
        <rFont val="Times New Roman"/>
        <family val="1"/>
        <charset val="204"/>
      </rPr>
      <t xml:space="preserve">(222/19)       </t>
    </r>
    <r>
      <rPr>
        <b/>
        <sz val="11"/>
        <rFont val="Times New Roman"/>
        <family val="1"/>
        <charset val="204"/>
      </rPr>
      <t xml:space="preserve">                от 20.06.19      </t>
    </r>
  </si>
  <si>
    <r>
      <t xml:space="preserve">23.08.2019                                            от 03.09.19                                          от 04.09.19                                                от17.09.19                                         от 25.09.2019                             от 01.10 19                                   06.11.2019                                         </t>
    </r>
    <r>
      <rPr>
        <b/>
        <sz val="11"/>
        <color rgb="FF800080"/>
        <rFont val="Times New Roman"/>
        <family val="1"/>
        <charset val="204"/>
      </rPr>
      <t>27.12.19 от д.С213 .1.19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             </t>
    </r>
  </si>
  <si>
    <r>
      <t xml:space="preserve">Миносян                                                     СМР       </t>
    </r>
    <r>
      <rPr>
        <sz val="11"/>
        <color rgb="FFFF0000"/>
        <rFont val="Times New Roman"/>
        <family val="1"/>
        <charset val="204"/>
      </rPr>
      <t xml:space="preserve"> адрес</t>
    </r>
    <r>
      <rPr>
        <sz val="11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 xml:space="preserve">- Чистый пер-к  </t>
    </r>
    <r>
      <rPr>
        <sz val="11"/>
        <rFont val="Times New Roman"/>
        <family val="1"/>
        <charset val="204"/>
      </rPr>
      <t xml:space="preserve">                     </t>
    </r>
  </si>
  <si>
    <r>
      <t xml:space="preserve">ООО "Проектно-производственная компания МОСКОВИЯ"                         </t>
    </r>
    <r>
      <rPr>
        <sz val="11"/>
        <rFont val="Times New Roman"/>
        <family val="1"/>
        <charset val="204"/>
      </rPr>
      <t xml:space="preserve"> г. Москва, Печатников пер. д. 5 </t>
    </r>
  </si>
  <si>
    <r>
      <t xml:space="preserve">ПИУНОВ                    </t>
    </r>
    <r>
      <rPr>
        <sz val="11"/>
        <rFont val="Times New Roman"/>
        <family val="1"/>
        <charset val="204"/>
      </rPr>
      <t>№10ПС-МСК/19 от 17.08.19 подписан</t>
    </r>
  </si>
  <si>
    <r>
      <t xml:space="preserve">Разработка ПД        </t>
    </r>
    <r>
      <rPr>
        <b/>
        <sz val="11"/>
        <color rgb="FFFF0000"/>
        <rFont val="Times New Roman"/>
        <family val="1"/>
        <charset val="204"/>
      </rPr>
      <t xml:space="preserve"> </t>
    </r>
  </si>
  <si>
    <r>
      <t xml:space="preserve">№10СП-МСК/19 </t>
    </r>
    <r>
      <rPr>
        <b/>
        <sz val="11"/>
        <color rgb="FFFF0000"/>
        <rFont val="Times New Roman"/>
        <family val="1"/>
        <charset val="204"/>
      </rPr>
      <t xml:space="preserve">   (212/19)   </t>
    </r>
    <r>
      <rPr>
        <b/>
        <sz val="11"/>
        <rFont val="Times New Roman"/>
        <family val="1"/>
        <charset val="204"/>
      </rPr>
      <t xml:space="preserve">         от 17.06.19       ДС №1 от 05.11.19         </t>
    </r>
  </si>
  <si>
    <r>
      <t>122500                                             +</t>
    </r>
    <r>
      <rPr>
        <sz val="11"/>
        <rFont val="2 064 000 "/>
        <charset val="204"/>
      </rPr>
      <t>2704800</t>
    </r>
  </si>
  <si>
    <r>
      <t xml:space="preserve">№10СП-МСК/1/19           от 18.06.19                 Альфа  от ВТБ  и  моском. </t>
    </r>
    <r>
      <rPr>
        <b/>
        <sz val="11"/>
        <color rgb="FFFF0000"/>
        <rFont val="Times New Roman"/>
        <family val="1"/>
        <charset val="204"/>
      </rPr>
      <t xml:space="preserve"> подписан</t>
    </r>
  </si>
  <si>
    <r>
      <t xml:space="preserve">15.07.2019                                     от  02.08.19                                                от 21.08.19                         от 27.08.19      </t>
    </r>
    <r>
      <rPr>
        <b/>
        <sz val="11"/>
        <color rgb="FFFF0000"/>
        <rFont val="Times New Roman"/>
        <family val="1"/>
        <charset val="204"/>
      </rPr>
      <t xml:space="preserve">                     </t>
    </r>
    <r>
      <rPr>
        <b/>
        <sz val="11"/>
        <color rgb="FF008000"/>
        <rFont val="Times New Roman"/>
        <family val="1"/>
        <charset val="204"/>
      </rPr>
      <t xml:space="preserve">    </t>
    </r>
    <r>
      <rPr>
        <b/>
        <sz val="11"/>
        <color rgb="FFFF0000"/>
        <rFont val="Times New Roman"/>
        <family val="1"/>
        <charset val="204"/>
      </rPr>
      <t xml:space="preserve">               </t>
    </r>
    <r>
      <rPr>
        <b/>
        <sz val="11"/>
        <rFont val="Times New Roman"/>
        <family val="1"/>
        <charset val="204"/>
      </rPr>
      <t xml:space="preserve"> от 05.12.19                           </t>
    </r>
  </si>
  <si>
    <r>
      <t xml:space="preserve">№01-12 от 09.12.2019                 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подписан</t>
    </r>
  </si>
  <si>
    <r>
      <t>№10СП-МСК/2-19 от 24.06.19   сбербанк  с  ВТБ и моском</t>
    </r>
    <r>
      <rPr>
        <sz val="11"/>
        <color rgb="FFFF0000"/>
        <rFont val="Times New Roman"/>
        <family val="1"/>
        <charset val="204"/>
      </rPr>
      <t xml:space="preserve">      </t>
    </r>
    <r>
      <rPr>
        <b/>
        <sz val="11"/>
        <color rgb="FFFF0000"/>
        <rFont val="Times New Roman"/>
        <family val="1"/>
        <charset val="204"/>
      </rPr>
      <t xml:space="preserve">     подписан</t>
    </r>
  </si>
  <si>
    <r>
      <t>№ С133/2-19 от 05.11.19  Альфа банк</t>
    </r>
    <r>
      <rPr>
        <sz val="11"/>
        <color rgb="FFFF0000"/>
        <rFont val="Times New Roman"/>
        <family val="1"/>
        <charset val="204"/>
      </rPr>
      <t xml:space="preserve">        </t>
    </r>
    <r>
      <rPr>
        <b/>
        <sz val="11"/>
        <color rgb="FFFF0000"/>
        <rFont val="Times New Roman"/>
        <family val="1"/>
        <charset val="204"/>
      </rPr>
      <t xml:space="preserve">  П</t>
    </r>
    <r>
      <rPr>
        <b/>
        <sz val="11"/>
        <color rgb="FFFF0000"/>
        <rFont val="Times New Roman"/>
        <family val="1"/>
        <charset val="204"/>
      </rPr>
      <t xml:space="preserve">одписан </t>
    </r>
  </si>
  <si>
    <r>
      <t xml:space="preserve">Саядан </t>
    </r>
    <r>
      <rPr>
        <sz val="11"/>
        <rFont val="Times New Roman"/>
        <family val="1"/>
        <charset val="204"/>
      </rPr>
      <t xml:space="preserve">                                изготовление и монтаж металлоконструкций лифтовой шахты</t>
    </r>
  </si>
  <si>
    <r>
      <t>417179,73</t>
    </r>
    <r>
      <rPr>
        <sz val="11"/>
        <color rgb="FFFF0000"/>
        <rFont val="Times New Roman"/>
        <family val="1"/>
        <charset val="204"/>
      </rPr>
      <t xml:space="preserve">                               </t>
    </r>
    <r>
      <rPr>
        <sz val="11"/>
        <rFont val="Times New Roman"/>
        <family val="1"/>
        <charset val="204"/>
      </rPr>
      <t xml:space="preserve">+450228,04 </t>
    </r>
    <r>
      <rPr>
        <sz val="11"/>
        <color rgb="FFFF0000"/>
        <rFont val="Times New Roman"/>
        <family val="1"/>
        <charset val="204"/>
      </rPr>
      <t xml:space="preserve">       </t>
    </r>
    <r>
      <rPr>
        <sz val="11"/>
        <rFont val="Times New Roman"/>
        <family val="1"/>
        <charset val="204"/>
      </rPr>
      <t xml:space="preserve">  +2317662,38</t>
    </r>
    <r>
      <rPr>
        <sz val="11"/>
        <color rgb="FFFF0000"/>
        <rFont val="Times New Roman"/>
        <family val="1"/>
        <charset val="204"/>
      </rPr>
      <t xml:space="preserve">                       </t>
    </r>
    <r>
      <rPr>
        <sz val="11"/>
        <rFont val="Times New Roman"/>
        <family val="1"/>
        <charset val="204"/>
      </rPr>
      <t xml:space="preserve">+1061892,85  </t>
    </r>
    <r>
      <rPr>
        <sz val="11"/>
        <color rgb="FFFF0000"/>
        <rFont val="Times New Roman"/>
        <family val="1"/>
        <charset val="204"/>
      </rPr>
      <t xml:space="preserve">                           </t>
    </r>
    <r>
      <rPr>
        <sz val="11"/>
        <rFont val="Times New Roman"/>
        <family val="1"/>
        <charset val="204"/>
      </rPr>
      <t>+4464969,11</t>
    </r>
  </si>
  <si>
    <r>
      <t>№ С133/1-19 от 07.10.19</t>
    </r>
    <r>
      <rPr>
        <sz val="11"/>
        <color rgb="FFFF0000"/>
        <rFont val="Times New Roman"/>
        <family val="1"/>
        <charset val="204"/>
      </rPr>
      <t xml:space="preserve">  </t>
    </r>
    <r>
      <rPr>
        <sz val="11"/>
        <rFont val="Times New Roman"/>
        <family val="1"/>
        <charset val="204"/>
      </rPr>
      <t xml:space="preserve"> сбербанк с  ВТБ с Москомм</t>
    </r>
    <r>
      <rPr>
        <sz val="11"/>
        <color rgb="FFFF0000"/>
        <rFont val="Times New Roman"/>
        <family val="1"/>
        <charset val="204"/>
      </rPr>
      <t xml:space="preserve">              </t>
    </r>
    <r>
      <rPr>
        <b/>
        <sz val="11"/>
        <color rgb="FFFF0000"/>
        <rFont val="Times New Roman"/>
        <family val="1"/>
        <charset val="204"/>
      </rPr>
      <t>на подписи</t>
    </r>
  </si>
  <si>
    <r>
      <t xml:space="preserve">Хуторецкая  </t>
    </r>
    <r>
      <rPr>
        <sz val="11"/>
        <rFont val="Times New Roman"/>
        <family val="1"/>
        <charset val="204"/>
      </rPr>
      <t xml:space="preserve">                               изготовление и монтаж металлоконструкций лифтовой шахты</t>
    </r>
  </si>
  <si>
    <r>
      <t xml:space="preserve">04.12.19                                      05.12.19                                                11.12.19                                   </t>
    </r>
    <r>
      <rPr>
        <b/>
        <sz val="11"/>
        <color rgb="FFFF0000"/>
        <rFont val="Times New Roman"/>
        <family val="1"/>
        <charset val="204"/>
      </rPr>
      <t>04.02.20перенос на Дог.С225/19Cодимас)</t>
    </r>
  </si>
  <si>
    <r>
      <t xml:space="preserve">Дог. № </t>
    </r>
    <r>
      <rPr>
        <b/>
        <sz val="11"/>
        <rFont val="Times New Roman"/>
        <family val="1"/>
        <charset val="204"/>
      </rPr>
      <t>П77-ЭА -223    от 03.02.20</t>
    </r>
    <r>
      <rPr>
        <sz val="11"/>
        <rFont val="Times New Roman"/>
        <family val="1"/>
        <charset val="204"/>
      </rPr>
      <t xml:space="preserve">    </t>
    </r>
    <r>
      <rPr>
        <b/>
        <sz val="11"/>
        <rFont val="Times New Roman"/>
        <family val="1"/>
        <charset val="204"/>
      </rPr>
      <t xml:space="preserve">ИП   Пиунов   </t>
    </r>
    <r>
      <rPr>
        <b/>
        <sz val="11"/>
        <color rgb="FFFF0000"/>
        <rFont val="Times New Roman"/>
        <family val="1"/>
        <charset val="204"/>
      </rPr>
      <t>перенесен с основного Дог.</t>
    </r>
  </si>
  <si>
    <r>
      <t>Пиунов</t>
    </r>
    <r>
      <rPr>
        <sz val="11"/>
        <rFont val="Times New Roman"/>
        <family val="1"/>
        <charset val="204"/>
      </rPr>
      <t xml:space="preserve">                           разработка ПД на замену 3-х пассажирских лифтов  г/п 1000 кг по адр. Калужская д.1 стр..2</t>
    </r>
  </si>
  <si>
    <r>
      <t>50000</t>
    </r>
    <r>
      <rPr>
        <sz val="11"/>
        <rFont val="Times New Roman"/>
        <family val="1"/>
        <charset val="204"/>
      </rPr>
      <t xml:space="preserve">                                 +55000                        +30000</t>
    </r>
  </si>
  <si>
    <r>
      <t>10.04.2020перенесен от дог.01-П2019</t>
    </r>
    <r>
      <rPr>
        <b/>
        <sz val="11"/>
        <rFont val="Times New Roman"/>
        <family val="1"/>
        <charset val="204"/>
      </rPr>
      <t xml:space="preserve">                                               от 15.06.2020                                                                   10.09.20</t>
    </r>
  </si>
  <si>
    <r>
      <t xml:space="preserve">№ 645-ЕП-44-19 от 10.09.2019г.   </t>
    </r>
    <r>
      <rPr>
        <b/>
        <sz val="11"/>
        <color rgb="FF800080"/>
        <rFont val="Times New Roman"/>
        <family val="1"/>
        <charset val="204"/>
      </rPr>
      <t>Скан</t>
    </r>
  </si>
  <si>
    <r>
      <t xml:space="preserve">№02-П/2019 от 01.11.2019 </t>
    </r>
    <r>
      <rPr>
        <b/>
        <sz val="11"/>
        <color rgb="FFFF0000"/>
        <rFont val="Times New Roman"/>
        <family val="1"/>
        <charset val="204"/>
      </rPr>
      <t>закрыт</t>
    </r>
  </si>
  <si>
    <r>
      <t xml:space="preserve">Пиунов  </t>
    </r>
    <r>
      <rPr>
        <b/>
        <sz val="11"/>
        <rFont val="Times New Roman"/>
        <family val="1"/>
        <charset val="204"/>
      </rPr>
      <t xml:space="preserve">           Калужская д.1 Медынская д.8.к.3 два лифта       Донская д.39 два лифта</t>
    </r>
  </si>
  <si>
    <r>
      <t>№ 913-ЕП-223-19 от 15.11.2019г.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800080"/>
        <rFont val="Times New Roman"/>
        <family val="1"/>
        <charset val="204"/>
      </rPr>
      <t>скан</t>
    </r>
  </si>
  <si>
    <r>
      <t>№ 77-ЭА-223-19 от 31.01.2020 г.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800080"/>
        <rFont val="Times New Roman"/>
        <family val="1"/>
        <charset val="204"/>
      </rPr>
      <t>скан</t>
    </r>
  </si>
  <si>
    <r>
      <t xml:space="preserve">27.02.20  </t>
    </r>
    <r>
      <rPr>
        <b/>
        <sz val="11"/>
        <rFont val="Times New Roman"/>
        <family val="1"/>
        <charset val="204"/>
      </rPr>
      <t xml:space="preserve">        </t>
    </r>
    <r>
      <rPr>
        <sz val="11"/>
        <rFont val="Times New Roman"/>
        <family val="1"/>
        <charset val="204"/>
      </rPr>
      <t xml:space="preserve">                                           27.03.20                                                     02.06.20 -у Кузн-ва              17.06.2020           24.08.2020</t>
    </r>
  </si>
  <si>
    <r>
      <t xml:space="preserve">№С77-ЭА-223/1-20  от 05.02.20       </t>
    </r>
    <r>
      <rPr>
        <sz val="11"/>
        <color rgb="FFFF0000"/>
        <rFont val="Times New Roman"/>
        <family val="1"/>
        <charset val="204"/>
      </rPr>
      <t xml:space="preserve"> на подписи</t>
    </r>
  </si>
  <si>
    <r>
      <t xml:space="preserve">444500                                +176000                    +277800                            +167000                            +146000                    +576000                                +333500                                +233000                                     +174500                                +77000                              +111100                              +170000                           + 118000                                +155000                            +333300                               +33400                                         +1197000                                +333400                         +777700                        +329170                         +422200                                        +388900                                   +66700                               +404400                               +150800                                +100000                 +100000                                          +120000      </t>
    </r>
    <r>
      <rPr>
        <sz val="11"/>
        <color rgb="FFFF0000"/>
        <rFont val="Times New Roman"/>
        <family val="1"/>
        <charset val="204"/>
      </rPr>
      <t xml:space="preserve">                                                                                                                       </t>
    </r>
    <r>
      <rPr>
        <sz val="11"/>
        <rFont val="Times New Roman"/>
        <family val="1"/>
        <charset val="204"/>
      </rPr>
      <t xml:space="preserve"> +200000</t>
    </r>
  </si>
  <si>
    <r>
      <t xml:space="preserve">07.02.2020                           20/02/20                                                                         20/02/20                                      21.02.20                                        27.02.20                        </t>
    </r>
    <r>
      <rPr>
        <b/>
        <sz val="11"/>
        <rFont val="Times New Roman"/>
        <family val="1"/>
        <charset val="204"/>
      </rPr>
      <t xml:space="preserve">      03.03.20                                  от 04.03.20                                           </t>
    </r>
    <r>
      <rPr>
        <b/>
        <sz val="11"/>
        <color rgb="FF008000"/>
        <rFont val="Times New Roman"/>
        <family val="1"/>
        <charset val="204"/>
      </rPr>
      <t xml:space="preserve">12.03.20  </t>
    </r>
    <r>
      <rPr>
        <b/>
        <sz val="11"/>
        <rFont val="Times New Roman"/>
        <family val="1"/>
        <charset val="204"/>
      </rPr>
      <t xml:space="preserve">                                        17.03.20                                    18.03.20                                     23.03.20                                 24.03.20      </t>
    </r>
    <r>
      <rPr>
        <b/>
        <sz val="11"/>
        <color rgb="FFFF0000"/>
        <rFont val="Times New Roman"/>
        <family val="1"/>
        <charset val="204"/>
      </rPr>
      <t xml:space="preserve">                                                </t>
    </r>
    <r>
      <rPr>
        <b/>
        <sz val="11"/>
        <rFont val="Times New Roman"/>
        <family val="1"/>
        <charset val="204"/>
      </rPr>
      <t>09.04.20</t>
    </r>
    <r>
      <rPr>
        <b/>
        <sz val="11"/>
        <color rgb="FFFF0000"/>
        <rFont val="Times New Roman"/>
        <family val="1"/>
        <charset val="204"/>
      </rPr>
      <t xml:space="preserve">                            11.06.20                              11.06.20                                          23.06.20                                                                                             от 02.07.20                          от 06.07.20                                                                        06.07.20                                             09.07.20                                  09.07.20                                                  16.07.20                                                              22.07.20 СБЕР.                                       03.08.20                            пром.21.08.20                                         0т 10.09.20                                                        от 14.09.20 сб.                                                            17.09.20                                                                                             09.10.20</t>
    </r>
  </si>
  <si>
    <r>
      <t xml:space="preserve">№С77-ЭА-223/3  от 02.03.2020                </t>
    </r>
    <r>
      <rPr>
        <sz val="11"/>
        <color rgb="FFFF0000"/>
        <rFont val="Times New Roman"/>
        <family val="1"/>
        <charset val="204"/>
      </rPr>
      <t xml:space="preserve">подписан </t>
    </r>
  </si>
  <si>
    <r>
      <t>Миносян  - оба банка                                                 эл.</t>
    </r>
    <r>
      <rPr>
        <sz val="11"/>
        <rFont val="Times New Roman"/>
        <family val="1"/>
        <charset val="204"/>
      </rPr>
      <t>монтажные работы оборудования</t>
    </r>
    <r>
      <rPr>
        <sz val="11"/>
        <rFont val="Times New Roman"/>
        <family val="1"/>
        <charset val="204"/>
      </rPr>
      <t xml:space="preserve">  - ?                   </t>
    </r>
  </si>
  <si>
    <r>
      <t xml:space="preserve">09.04.2020                                       от  09.04.20                                от 10.04.20                                  от 26.05.20                                     от 05.06.20 </t>
    </r>
    <r>
      <rPr>
        <b/>
        <sz val="11"/>
        <color rgb="FFFF0000"/>
        <rFont val="Times New Roman"/>
        <family val="1"/>
        <charset val="204"/>
      </rPr>
      <t xml:space="preserve">                   от 02/07/20                                  03/07/20                                                        03/07/20                                                 от 30.07.20                                       31.07.20                                                   от 12.08.20                                                                                                     0т 09.09.20                                 </t>
    </r>
    <r>
      <rPr>
        <b/>
        <sz val="11"/>
        <color rgb="FF0066CC"/>
        <rFont val="Times New Roman"/>
        <family val="1"/>
        <charset val="204"/>
      </rPr>
      <t xml:space="preserve">от 06.10.20                                       от 06.10.20                                         от 07.10.20                                     от 07.10.20 </t>
    </r>
  </si>
  <si>
    <r>
      <t xml:space="preserve">ИП Киселев Владислав Альбертович (Корона Ольга Щербинина)    </t>
    </r>
    <r>
      <rPr>
        <sz val="11"/>
        <rFont val="Times New Roman"/>
        <family val="1"/>
        <charset val="204"/>
      </rPr>
      <t xml:space="preserve">       Монтаж и пусконаладка лифта </t>
    </r>
  </si>
  <si>
    <r>
      <t xml:space="preserve">№С77-ЭА-223/2-20  от 10.02.20  </t>
    </r>
    <r>
      <rPr>
        <sz val="11"/>
        <color rgb="FFFF0000"/>
        <rFont val="Times New Roman"/>
        <family val="1"/>
        <charset val="204"/>
      </rPr>
      <t xml:space="preserve">  переподписать</t>
    </r>
  </si>
  <si>
    <r>
      <t xml:space="preserve">224750                           +382000                         +225000                          +225000                   + 561800                                                       +498100                               +157300                                         +325800                               +56180                      +224700                                         +72500                        +385600                +400900                                +250300                              +252800                                   +45000                         +200600                            +305000                                           +44945                                                                                          +333870                                      +565000                                           +235000                                             +663800                                                                    </t>
    </r>
    <r>
      <rPr>
        <sz val="11"/>
        <color rgb="FF008000"/>
        <rFont val="Times New Roman"/>
        <family val="1"/>
        <charset val="204"/>
      </rPr>
      <t>+280900                          +337080</t>
    </r>
    <r>
      <rPr>
        <sz val="11"/>
        <rFont val="Times New Roman"/>
        <family val="1"/>
        <charset val="204"/>
      </rPr>
      <t xml:space="preserve">                        +786000</t>
    </r>
  </si>
  <si>
    <r>
      <t xml:space="preserve">12.02.2020                                        03.03.20                                               04.03.20                                   05.03.20                                     09.04.20                                               13.04.20                                                          17/04/20                                                   21.04.20                                       23.04.20                                от 28.04.20                                     от 12.05.20                                    от 15.05.20                                            15/05/20                                                     от 20.05.20                                            02.06.20                                                               от 09.06.20                                                        10.06.20                                              10.06.20                                                         17/06                                                                         02/07/20                                                         02.07                                                               06.07                                                  06.07   </t>
    </r>
    <r>
      <rPr>
        <b/>
        <sz val="11"/>
        <color rgb="FFFF0000"/>
        <rFont val="Times New Roman"/>
        <family val="1"/>
        <charset val="204"/>
      </rPr>
      <t xml:space="preserve">                                                             </t>
    </r>
    <r>
      <rPr>
        <b/>
        <sz val="11"/>
        <color rgb="FF008000"/>
        <rFont val="Times New Roman"/>
        <family val="1"/>
        <charset val="204"/>
      </rPr>
      <t xml:space="preserve">   08.09.20 </t>
    </r>
    <r>
      <rPr>
        <b/>
        <sz val="11"/>
        <rFont val="Times New Roman"/>
        <family val="1"/>
        <charset val="204"/>
      </rPr>
      <t xml:space="preserve">    </t>
    </r>
    <r>
      <rPr>
        <b/>
        <sz val="11"/>
        <color rgb="FF008000"/>
        <rFont val="Times New Roman"/>
        <family val="1"/>
        <charset val="204"/>
      </rPr>
      <t xml:space="preserve">                                                    от 10.09.20перен.РОСМОР                                                            </t>
    </r>
    <r>
      <rPr>
        <b/>
        <sz val="11"/>
        <rFont val="Times New Roman"/>
        <family val="1"/>
        <charset val="204"/>
      </rPr>
      <t xml:space="preserve"> 06.10.20 </t>
    </r>
    <r>
      <rPr>
        <b/>
        <sz val="11"/>
        <color rgb="FFFF0000"/>
        <rFont val="Times New Roman"/>
        <family val="1"/>
        <charset val="204"/>
      </rPr>
      <t xml:space="preserve">                    </t>
    </r>
    <r>
      <rPr>
        <b/>
        <sz val="11"/>
        <color rgb="FF008000"/>
        <rFont val="Times New Roman"/>
        <family val="1"/>
        <charset val="204"/>
      </rPr>
      <t xml:space="preserve">   </t>
    </r>
    <r>
      <rPr>
        <b/>
        <sz val="11"/>
        <color rgb="FFFF0000"/>
        <rFont val="Times New Roman"/>
        <family val="1"/>
        <charset val="204"/>
      </rPr>
      <t xml:space="preserve">      </t>
    </r>
  </si>
  <si>
    <r>
      <t xml:space="preserve">МТУСИ   </t>
    </r>
    <r>
      <rPr>
        <b/>
        <sz val="11"/>
        <color rgb="FFFF0000"/>
        <rFont val="Times New Roman"/>
        <family val="1"/>
        <charset val="204"/>
      </rPr>
      <t xml:space="preserve"> НЕТ ДОГОВОРА</t>
    </r>
  </si>
  <si>
    <r>
      <t xml:space="preserve">№С224/19 от 04.11.19 </t>
    </r>
    <r>
      <rPr>
        <sz val="11"/>
        <color rgb="FFFF0000"/>
        <rFont val="Times New Roman"/>
        <family val="1"/>
        <charset val="204"/>
      </rPr>
      <t xml:space="preserve">  на подписи</t>
    </r>
  </si>
  <si>
    <r>
      <t xml:space="preserve">ООО "СОДИМАС ГРУП"                         </t>
    </r>
    <r>
      <rPr>
        <sz val="11"/>
        <rFont val="Times New Roman"/>
        <family val="1"/>
        <charset val="204"/>
      </rPr>
      <t xml:space="preserve"> г.Москва Чистый переулок д.4. </t>
    </r>
  </si>
  <si>
    <r>
      <t xml:space="preserve">С225-19  </t>
    </r>
    <r>
      <rPr>
        <sz val="11"/>
        <rFont val="Times New Roman"/>
        <family val="1"/>
        <charset val="204"/>
      </rPr>
      <t>от 20.12.2019</t>
    </r>
    <r>
      <rPr>
        <sz val="11"/>
        <rFont val="Times New Roman"/>
        <family val="1"/>
        <charset val="204"/>
      </rPr>
      <t xml:space="preserve">    (от 20.07.20испр.)</t>
    </r>
    <r>
      <rPr>
        <sz val="11"/>
        <color rgb="FFFF0000"/>
        <rFont val="Times New Roman"/>
        <family val="1"/>
        <charset val="204"/>
      </rPr>
      <t xml:space="preserve">                  на подписи</t>
    </r>
  </si>
  <si>
    <r>
      <t xml:space="preserve">140000      </t>
    </r>
    <r>
      <rPr>
        <b/>
        <sz val="11"/>
        <color rgb="FFFF0000"/>
        <rFont val="Times New Roman"/>
        <family val="1"/>
        <charset val="204"/>
      </rPr>
      <t xml:space="preserve">                      +77700</t>
    </r>
  </si>
  <si>
    <r>
      <t xml:space="preserve">от 04.02.20перенос от Дог.С133/1-19    </t>
    </r>
    <r>
      <rPr>
        <b/>
        <sz val="11"/>
        <color rgb="FFFF0000"/>
        <rFont val="Times New Roman"/>
        <family val="1"/>
        <charset val="204"/>
      </rPr>
      <t xml:space="preserve">                            от23.09.20</t>
    </r>
  </si>
  <si>
    <r>
      <t xml:space="preserve">№01-П/2019 от 01.10.2019    </t>
    </r>
    <r>
      <rPr>
        <b/>
        <sz val="11"/>
        <color rgb="FFFF0000"/>
        <rFont val="Times New Roman"/>
        <family val="1"/>
        <charset val="204"/>
      </rPr>
      <t xml:space="preserve"> проведен</t>
    </r>
  </si>
  <si>
    <r>
      <t xml:space="preserve">110 кал.дн - </t>
    </r>
    <r>
      <rPr>
        <b/>
        <sz val="11"/>
        <color rgb="FFFF0000"/>
        <rFont val="Times New Roman"/>
        <family val="1"/>
        <charset val="204"/>
      </rPr>
      <t>25/02/2020</t>
    </r>
  </si>
  <si>
    <r>
      <t xml:space="preserve">№С23/1.53-19 от 23.12.19   </t>
    </r>
    <r>
      <rPr>
        <sz val="11"/>
        <color rgb="FFFF0000"/>
        <rFont val="Times New Roman"/>
        <family val="1"/>
        <charset val="204"/>
      </rPr>
      <t xml:space="preserve"> на подписи</t>
    </r>
  </si>
  <si>
    <r>
      <t xml:space="preserve">77/1.53-12-19 от 20.12.2019      - </t>
    </r>
    <r>
      <rPr>
        <b/>
        <sz val="11"/>
        <color rgb="FFFF0000"/>
        <rFont val="Times New Roman"/>
        <family val="1"/>
        <charset val="204"/>
      </rPr>
      <t xml:space="preserve"> 228/19      </t>
    </r>
  </si>
  <si>
    <r>
      <t xml:space="preserve">120 кал.дн      </t>
    </r>
    <r>
      <rPr>
        <b/>
        <sz val="11"/>
        <color rgb="FFFF0000"/>
        <rFont val="Times New Roman"/>
        <family val="1"/>
        <charset val="204"/>
      </rPr>
      <t>18/04/19</t>
    </r>
  </si>
  <si>
    <r>
      <t xml:space="preserve">734907,83         </t>
    </r>
    <r>
      <rPr>
        <sz val="11"/>
        <color rgb="FFFF0000"/>
        <rFont val="Times New Roman"/>
        <family val="1"/>
        <charset val="204"/>
      </rPr>
      <t xml:space="preserve">                      </t>
    </r>
    <r>
      <rPr>
        <sz val="11"/>
        <rFont val="Times New Roman"/>
        <family val="1"/>
        <charset val="204"/>
      </rPr>
      <t xml:space="preserve">  +2631816,20</t>
    </r>
  </si>
  <si>
    <r>
      <t>от 10/04.20</t>
    </r>
    <r>
      <rPr>
        <sz val="11"/>
        <color rgb="FFFF0000"/>
        <rFont val="Times New Roman"/>
        <family val="1"/>
        <charset val="204"/>
      </rPr>
      <t xml:space="preserve">            </t>
    </r>
    <r>
      <rPr>
        <sz val="11"/>
        <rFont val="Times New Roman"/>
        <family val="1"/>
        <charset val="204"/>
      </rPr>
      <t xml:space="preserve">  от 01.06.20</t>
    </r>
  </si>
  <si>
    <r>
      <t>№С228/1-19 от 26.12.19</t>
    </r>
    <r>
      <rPr>
        <sz val="11"/>
        <color rgb="FFFF0000"/>
        <rFont val="Times New Roman"/>
        <family val="1"/>
        <charset val="204"/>
      </rPr>
      <t xml:space="preserve">                      на подписи</t>
    </r>
  </si>
  <si>
    <r>
      <t xml:space="preserve">Хуторецкая - сбербанк, промсвязьбанк на ВТБ </t>
    </r>
    <r>
      <rPr>
        <sz val="11"/>
        <color rgb="FFFF0000"/>
        <rFont val="Times New Roman"/>
        <family val="1"/>
        <charset val="204"/>
      </rPr>
      <t xml:space="preserve">                 + эл.монтажные работы                             </t>
    </r>
  </si>
  <si>
    <r>
      <t xml:space="preserve">№03-П/2019 от 20.02.2020  </t>
    </r>
    <r>
      <rPr>
        <b/>
        <sz val="11"/>
        <color rgb="FFFF0000"/>
        <rFont val="Times New Roman"/>
        <family val="1"/>
        <charset val="204"/>
      </rPr>
      <t xml:space="preserve">                   на подписи</t>
    </r>
  </si>
  <si>
    <r>
      <t xml:space="preserve">30000                     </t>
    </r>
    <r>
      <rPr>
        <sz val="11"/>
        <color rgb="FF008000"/>
        <rFont val="Times New Roman"/>
        <family val="1"/>
        <charset val="204"/>
      </rPr>
      <t xml:space="preserve">  </t>
    </r>
    <r>
      <rPr>
        <sz val="11"/>
        <rFont val="Times New Roman"/>
        <family val="1"/>
        <charset val="204"/>
      </rPr>
      <t xml:space="preserve">                  +50000                         +30000</t>
    </r>
  </si>
  <si>
    <r>
      <t xml:space="preserve">от 06.03.2020                       </t>
    </r>
    <r>
      <rPr>
        <b/>
        <sz val="11"/>
        <color rgb="FF008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                       от 20.05.2020                                           15.10.20</t>
    </r>
  </si>
  <si>
    <r>
      <t xml:space="preserve">№ С230/2/20 от 03.03.20   </t>
    </r>
    <r>
      <rPr>
        <sz val="11"/>
        <color rgb="FFFF0000"/>
        <rFont val="Times New Roman"/>
        <family val="1"/>
        <charset val="204"/>
      </rPr>
      <t>подписан</t>
    </r>
  </si>
  <si>
    <r>
      <t>Саядян</t>
    </r>
    <r>
      <rPr>
        <sz val="11"/>
        <rFont val="Times New Roman"/>
        <family val="1"/>
        <charset val="204"/>
      </rPr>
      <t xml:space="preserve">   альфа</t>
    </r>
  </si>
  <si>
    <r>
      <t xml:space="preserve">132000                   </t>
    </r>
    <r>
      <rPr>
        <sz val="11"/>
        <rFont val="Times New Roman"/>
        <family val="1"/>
        <charset val="204"/>
      </rPr>
      <t xml:space="preserve"> +170000                                 +890000                       +3969957,52</t>
    </r>
    <r>
      <rPr>
        <sz val="11"/>
        <color rgb="FFFF0000"/>
        <rFont val="Times New Roman"/>
        <family val="1"/>
        <charset val="204"/>
      </rPr>
      <t xml:space="preserve">                                            +55000</t>
    </r>
  </si>
  <si>
    <r>
      <rPr>
        <sz val="11"/>
        <color rgb="FF7030A0"/>
        <rFont val="Times New Roman"/>
        <family val="1"/>
        <charset val="204"/>
      </rPr>
      <t>от 03.06.2020 - скан</t>
    </r>
    <r>
      <rPr>
        <sz val="11"/>
        <color rgb="FFFF0000"/>
        <rFont val="Times New Roman"/>
        <family val="1"/>
        <charset val="204"/>
      </rPr>
      <t xml:space="preserve">   </t>
    </r>
    <r>
      <rPr>
        <sz val="11"/>
        <rFont val="Times New Roman"/>
        <family val="1"/>
        <charset val="204"/>
      </rPr>
      <t xml:space="preserve">от 11.08.20                                      10/12/20                                       от 28.01.21                                        </t>
    </r>
    <r>
      <rPr>
        <sz val="11"/>
        <color rgb="FFFF0000"/>
        <rFont val="Times New Roman"/>
        <family val="1"/>
        <charset val="204"/>
      </rPr>
      <t xml:space="preserve"> от 22.03.21</t>
    </r>
  </si>
  <si>
    <r>
      <t>Строительные направления</t>
    </r>
    <r>
      <rPr>
        <sz val="11"/>
        <rFont val="Times New Roman"/>
        <family val="1"/>
        <charset val="204"/>
      </rPr>
      <t xml:space="preserve">          </t>
    </r>
    <r>
      <rPr>
        <sz val="11"/>
        <color rgb="FFFF0000"/>
        <rFont val="Times New Roman"/>
        <family val="1"/>
        <charset val="204"/>
      </rPr>
      <t xml:space="preserve">  </t>
    </r>
    <r>
      <rPr>
        <sz val="11"/>
        <rFont val="Times New Roman"/>
        <family val="1"/>
        <charset val="204"/>
      </rPr>
      <t xml:space="preserve">    г.Москва     Кремль, корпус 14  </t>
    </r>
  </si>
  <si>
    <r>
      <t xml:space="preserve">632866,59                   </t>
    </r>
    <r>
      <rPr>
        <sz val="11"/>
        <color rgb="FFFF0000"/>
        <rFont val="Times New Roman"/>
        <family val="1"/>
        <charset val="204"/>
      </rPr>
      <t>с НДС</t>
    </r>
  </si>
  <si>
    <r>
      <t xml:space="preserve">Хуторецкая </t>
    </r>
    <r>
      <rPr>
        <b/>
        <sz val="11"/>
        <color rgb="FFFF0000"/>
        <rFont val="Times New Roman"/>
        <family val="1"/>
        <charset val="204"/>
      </rPr>
      <t>электромонтаж</t>
    </r>
  </si>
  <si>
    <r>
      <t xml:space="preserve">ООО "ЛИФТАЛ"                        </t>
    </r>
    <r>
      <rPr>
        <sz val="11"/>
        <rFont val="Times New Roman"/>
        <family val="1"/>
        <charset val="204"/>
      </rPr>
      <t xml:space="preserve">  г.Москва Балаклавский пр-т д.2 корп.5</t>
    </r>
  </si>
  <si>
    <r>
      <t xml:space="preserve">Алексеева Лариса Викторовна                              </t>
    </r>
    <r>
      <rPr>
        <sz val="11"/>
        <rFont val="Times New Roman"/>
        <family val="1"/>
        <charset val="204"/>
      </rPr>
      <t xml:space="preserve">          МО Наро-Фоминский р-н деревня Тарасково к/п Тарасково д.47Б</t>
    </r>
  </si>
  <si>
    <r>
      <t xml:space="preserve">№232-20 от 07.07.2020     </t>
    </r>
    <r>
      <rPr>
        <sz val="11"/>
        <color rgb="FFFF0000"/>
        <rFont val="Times New Roman"/>
        <family val="1"/>
        <charset val="204"/>
      </rPr>
      <t>БАНК  ВТБ</t>
    </r>
  </si>
  <si>
    <r>
      <t xml:space="preserve">Волков </t>
    </r>
    <r>
      <rPr>
        <b/>
        <sz val="11"/>
        <color rgb="FFFF0000"/>
        <rFont val="Times New Roman"/>
        <family val="1"/>
        <charset val="204"/>
      </rPr>
      <t>- провели выполнение 12/10/21</t>
    </r>
  </si>
  <si>
    <r>
      <t xml:space="preserve">№С232/2 от 20.07.20  </t>
    </r>
    <r>
      <rPr>
        <b/>
        <sz val="11"/>
        <color rgb="FFFF0000"/>
        <rFont val="Times New Roman"/>
        <family val="1"/>
        <charset val="204"/>
      </rPr>
      <t xml:space="preserve">  подписан</t>
    </r>
  </si>
  <si>
    <r>
      <t xml:space="preserve">Миносян - электромонт-е работы с ВТБ </t>
    </r>
    <r>
      <rPr>
        <b/>
        <sz val="11"/>
        <color rgb="FFFF0000"/>
        <rFont val="Times New Roman"/>
        <family val="1"/>
        <charset val="204"/>
      </rPr>
      <t>Альфа Б.</t>
    </r>
  </si>
  <si>
    <r>
      <t>С232 от 08.07.20</t>
    </r>
    <r>
      <rPr>
        <b/>
        <sz val="11"/>
        <color rgb="FFFF0000"/>
        <rFont val="Times New Roman"/>
        <family val="1"/>
        <charset val="204"/>
      </rPr>
      <t xml:space="preserve">                        подписан </t>
    </r>
  </si>
  <si>
    <t>Противовес Т                            монтаж шахты</t>
  </si>
  <si>
    <r>
      <t xml:space="preserve">№С75-20 от 07.09.20                       </t>
    </r>
    <r>
      <rPr>
        <b/>
        <sz val="11"/>
        <color rgb="FFFF0000"/>
        <rFont val="Times New Roman"/>
        <family val="1"/>
        <charset val="204"/>
      </rPr>
      <t xml:space="preserve">  на подписи </t>
    </r>
  </si>
  <si>
    <r>
      <t xml:space="preserve">Хуторецкая </t>
    </r>
    <r>
      <rPr>
        <b/>
        <sz val="11"/>
        <rFont val="Times New Roman"/>
        <family val="1"/>
        <charset val="204"/>
      </rPr>
      <t xml:space="preserve">электромонтаж 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уточнить банк и распечатать</t>
    </r>
  </si>
  <si>
    <r>
      <t>Московский Политех</t>
    </r>
    <r>
      <rPr>
        <sz val="11"/>
        <rFont val="Times New Roman"/>
        <family val="1"/>
        <charset val="204"/>
      </rPr>
      <t xml:space="preserve">    </t>
    </r>
    <r>
      <rPr>
        <b/>
        <sz val="11"/>
        <rFont val="Times New Roman"/>
        <family val="1"/>
        <charset val="204"/>
      </rPr>
      <t xml:space="preserve">              </t>
    </r>
    <r>
      <rPr>
        <sz val="11"/>
        <rFont val="Times New Roman"/>
        <family val="1"/>
        <charset val="204"/>
      </rPr>
      <t xml:space="preserve">      г. Москва, ул. 800-летия Москвы, д.28, к.1</t>
    </r>
  </si>
  <si>
    <r>
      <t>№ 368_0251.44.ЭА/20 (234.20)</t>
    </r>
    <r>
      <rPr>
        <b/>
        <sz val="11"/>
        <rFont val="Times New Roman"/>
        <family val="1"/>
        <charset val="204"/>
      </rPr>
      <t xml:space="preserve"> эл.подпись</t>
    </r>
    <r>
      <rPr>
        <b/>
        <sz val="11"/>
        <rFont val="Times New Roman"/>
        <family val="1"/>
        <charset val="204"/>
      </rPr>
      <t xml:space="preserve">                       от 25.08.2020               ДС №1 от 24.12.2020</t>
    </r>
  </si>
  <si>
    <r>
      <t>№С0251.44/20   от    21.09.20    сбербанк</t>
    </r>
    <r>
      <rPr>
        <b/>
        <sz val="11"/>
        <color rgb="FFFF0000"/>
        <rFont val="Times New Roman"/>
        <family val="1"/>
        <charset val="204"/>
      </rPr>
      <t xml:space="preserve">                  на подписи</t>
    </r>
  </si>
  <si>
    <r>
      <t>Хуторецкая</t>
    </r>
    <r>
      <rPr>
        <b/>
        <sz val="11"/>
        <color rgb="FFFF0000"/>
        <rFont val="Times New Roman"/>
        <family val="1"/>
        <charset val="204"/>
      </rPr>
      <t xml:space="preserve">  электромонтажные работы</t>
    </r>
  </si>
  <si>
    <r>
      <t>Саядан</t>
    </r>
    <r>
      <rPr>
        <sz val="11"/>
        <rFont val="Times New Roman"/>
        <family val="1"/>
        <charset val="204"/>
      </rPr>
      <t xml:space="preserve">  №С368.ЭА/20 от 01.09.20      </t>
    </r>
    <r>
      <rPr>
        <sz val="11"/>
        <color rgb="FFFF0000"/>
        <rFont val="Times New Roman"/>
        <family val="1"/>
        <charset val="204"/>
      </rPr>
      <t xml:space="preserve">на согласовании   </t>
    </r>
    <r>
      <rPr>
        <sz val="11"/>
        <rFont val="Times New Roman"/>
        <family val="1"/>
        <charset val="204"/>
      </rPr>
      <t xml:space="preserve">                    </t>
    </r>
  </si>
  <si>
    <r>
      <t xml:space="preserve">Саядан   </t>
    </r>
    <r>
      <rPr>
        <sz val="11"/>
        <color rgb="FFFF0000"/>
        <rFont val="Times New Roman"/>
        <family val="1"/>
        <charset val="204"/>
      </rPr>
      <t xml:space="preserve">          предоплата на СМР</t>
    </r>
  </si>
  <si>
    <r>
      <t xml:space="preserve">ООО "Легенда"              </t>
    </r>
    <r>
      <rPr>
        <sz val="11"/>
        <rFont val="Times New Roman"/>
        <family val="1"/>
        <charset val="204"/>
      </rPr>
      <t xml:space="preserve">     г.Москва ЦАО ул.Солянка д.7 стр.1 (</t>
    </r>
    <r>
      <rPr>
        <sz val="11"/>
        <rFont val="Times New Roman"/>
        <family val="1"/>
        <charset val="204"/>
      </rPr>
      <t>1-й экз Дог. В папке у меня)</t>
    </r>
  </si>
  <si>
    <r>
      <t>№12/10-ТОР</t>
    </r>
    <r>
      <rPr>
        <b/>
        <sz val="11"/>
        <color rgb="FFFF0000"/>
        <rFont val="Times New Roman"/>
        <family val="1"/>
        <charset val="204"/>
      </rPr>
      <t xml:space="preserve"> (235/20)               </t>
    </r>
    <r>
      <rPr>
        <b/>
        <sz val="11"/>
        <rFont val="Times New Roman"/>
        <family val="1"/>
        <charset val="204"/>
      </rPr>
      <t xml:space="preserve"> от 12.10.2020                       ДС №1 от 10.02.2021                     ДС №2 от 18.08.2021</t>
    </r>
  </si>
  <si>
    <r>
      <t xml:space="preserve">2430000 </t>
    </r>
    <r>
      <rPr>
        <sz val="11"/>
        <rFont val="Times New Roman"/>
        <family val="1"/>
        <charset val="204"/>
      </rPr>
      <t xml:space="preserve">  (CМР 2015000)                +57320 евро</t>
    </r>
  </si>
  <si>
    <r>
      <t xml:space="preserve">Пиунов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 дог.№ПД 12/10-2020 от 14.10.2020            </t>
    </r>
    <r>
      <rPr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 на подписи</t>
    </r>
  </si>
  <si>
    <r>
      <t xml:space="preserve">Саядян  дог.                       № С 235/20 от 19.10.2020 Альфа   </t>
    </r>
    <r>
      <rPr>
        <b/>
        <sz val="11"/>
        <color rgb="FFFF0000"/>
        <rFont val="Times New Roman"/>
        <family val="1"/>
        <charset val="204"/>
      </rPr>
      <t xml:space="preserve">                       </t>
    </r>
    <r>
      <rPr>
        <b/>
        <sz val="11"/>
        <color rgb="FFFF0000"/>
        <rFont val="Times New Roman"/>
        <family val="1"/>
        <charset val="204"/>
      </rPr>
      <t>на согласовании</t>
    </r>
  </si>
  <si>
    <r>
      <t xml:space="preserve">Саядан                             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Дог. № С -231/21  от 18.03.2021 г.                  </t>
    </r>
    <r>
      <rPr>
        <sz val="11"/>
        <color rgb="FFFF0000"/>
        <rFont val="Times New Roman"/>
        <family val="1"/>
        <charset val="204"/>
      </rPr>
      <t>На согласовании</t>
    </r>
  </si>
  <si>
    <r>
      <t xml:space="preserve">Разработка ПД на замену пассажирского лифта в административном здании государственной корпорации «Агентства по страхованию вкладов» по адресу 109240, г. Москва, </t>
    </r>
    <r>
      <rPr>
        <sz val="11"/>
        <rFont val="Times New Roman"/>
        <family val="1"/>
        <charset val="204"/>
      </rPr>
      <t xml:space="preserve">ул. Высоцкого, </t>
    </r>
    <r>
      <rPr>
        <sz val="11"/>
        <rFont val="Times New Roman"/>
        <family val="1"/>
        <charset val="204"/>
      </rPr>
      <t xml:space="preserve">
д. 4, </t>
    </r>
  </si>
  <si>
    <r>
      <t>№2021-0106/15/238/21</t>
    </r>
    <r>
      <rPr>
        <sz val="11"/>
        <color rgb="FFFF0000"/>
        <rFont val="Times New Roman"/>
        <family val="1"/>
        <charset val="204"/>
      </rPr>
      <t xml:space="preserve"> (238/21)</t>
    </r>
    <r>
      <rPr>
        <sz val="11"/>
        <rFont val="Times New Roman"/>
        <family val="1"/>
        <charset val="204"/>
      </rPr>
      <t xml:space="preserve">                  от 23/03/2021</t>
    </r>
  </si>
  <si>
    <r>
      <rPr>
        <b/>
        <sz val="11"/>
        <rFont val="Times New Roman"/>
        <family val="1"/>
        <charset val="204"/>
      </rPr>
      <t>ООО "СП Групп"</t>
    </r>
    <r>
      <rPr>
        <sz val="11"/>
        <rFont val="Times New Roman"/>
        <family val="1"/>
        <charset val="204"/>
      </rPr>
      <t xml:space="preserve"> Дог. №15/21-0    0т 24.03.21</t>
    </r>
  </si>
  <si>
    <r>
      <rPr>
        <b/>
        <sz val="11"/>
        <rFont val="Times New Roman"/>
        <family val="1"/>
        <charset val="204"/>
      </rPr>
      <t>Пиунов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Дог.  № П39-03/21 от 08.03.2021</t>
    </r>
    <r>
      <rPr>
        <sz val="11"/>
        <color rgb="FFFF0000"/>
        <rFont val="Times New Roman"/>
        <family val="1"/>
        <charset val="204"/>
      </rPr>
      <t xml:space="preserve">    на согласовании</t>
    </r>
  </si>
  <si>
    <r>
      <t xml:space="preserve">комплекс работ по замене  двух пассажирских лифтов  в  здании, расположенном по адресу: </t>
    </r>
    <r>
      <rPr>
        <sz val="11"/>
        <rFont val="Times New Roman"/>
        <family val="1"/>
        <charset val="204"/>
      </rPr>
      <t xml:space="preserve">г. Москва, улица Уральская, дом 21 </t>
    </r>
  </si>
  <si>
    <r>
      <rPr>
        <b/>
        <sz val="11"/>
        <rFont val="Times New Roman"/>
        <family val="1"/>
        <charset val="204"/>
      </rPr>
      <t>Хуторецкая</t>
    </r>
    <r>
      <rPr>
        <sz val="11"/>
        <rFont val="Times New Roman"/>
        <family val="1"/>
        <charset val="204"/>
      </rPr>
      <t xml:space="preserve"> Дог. № С2-239/21 от 27.04.2021 пром. Сбер</t>
    </r>
    <r>
      <rPr>
        <sz val="11"/>
        <color rgb="FFFF0000"/>
        <rFont val="Times New Roman"/>
        <family val="1"/>
        <charset val="204"/>
      </rPr>
      <t>. Согласовано</t>
    </r>
  </si>
  <si>
    <r>
      <rPr>
        <sz val="11"/>
        <color rgb="FF0070C0"/>
        <rFont val="Times New Roman"/>
        <family val="1"/>
        <charset val="204"/>
      </rPr>
      <t xml:space="preserve">перенесено на С2-240/21  </t>
    </r>
    <r>
      <rPr>
        <sz val="11"/>
        <rFont val="Times New Roman"/>
        <family val="1"/>
        <charset val="204"/>
      </rPr>
      <t xml:space="preserve">                      </t>
    </r>
    <r>
      <rPr>
        <sz val="11"/>
        <color rgb="FF00B050"/>
        <rFont val="Times New Roman"/>
        <family val="1"/>
        <charset val="204"/>
      </rPr>
      <t xml:space="preserve">  перенесено на Дог.№СТР 05/1/21          </t>
    </r>
    <r>
      <rPr>
        <sz val="11"/>
        <rFont val="Times New Roman"/>
        <family val="1"/>
        <charset val="204"/>
      </rPr>
      <t>перенос на дог. №С2/65-ОК-44-21</t>
    </r>
  </si>
  <si>
    <r>
      <rPr>
        <b/>
        <sz val="11"/>
        <rFont val="Times New Roman"/>
        <family val="1"/>
        <charset val="204"/>
      </rPr>
      <t xml:space="preserve">Миносян </t>
    </r>
    <r>
      <rPr>
        <sz val="11"/>
        <rFont val="Times New Roman"/>
        <family val="1"/>
        <charset val="204"/>
      </rPr>
      <t xml:space="preserve">                               №С3-239/21 от 24.05.2021   </t>
    </r>
    <r>
      <rPr>
        <sz val="11"/>
        <color rgb="FFFF0000"/>
        <rFont val="Times New Roman"/>
        <family val="1"/>
        <charset val="204"/>
      </rPr>
      <t>на согласовании</t>
    </r>
  </si>
  <si>
    <r>
      <rPr>
        <sz val="11"/>
        <color rgb="FFFF0000"/>
        <rFont val="Times New Roman"/>
        <family val="1"/>
        <charset val="204"/>
      </rPr>
      <t xml:space="preserve">22.07.2021              </t>
    </r>
    <r>
      <rPr>
        <sz val="11"/>
        <color rgb="FF00B050"/>
        <rFont val="Times New Roman"/>
        <family val="1"/>
        <charset val="204"/>
      </rPr>
      <t xml:space="preserve">               </t>
    </r>
    <r>
      <rPr>
        <sz val="11"/>
        <color rgb="FFFF0000"/>
        <rFont val="Times New Roman"/>
        <family val="1"/>
        <charset val="204"/>
      </rPr>
      <t xml:space="preserve"> от 07.09.21</t>
    </r>
  </si>
  <si>
    <r>
      <rPr>
        <b/>
        <sz val="11"/>
        <rFont val="Times New Roman"/>
        <family val="1"/>
        <charset val="204"/>
      </rPr>
      <t xml:space="preserve">ИП Родина Дарья Алексеевна    </t>
    </r>
    <r>
      <rPr>
        <sz val="11"/>
        <rFont val="Times New Roman"/>
        <family val="1"/>
        <charset val="204"/>
      </rPr>
      <t xml:space="preserve">                  Дог.№ 29/12-2021 от 29.12.2021  ДС №1</t>
    </r>
  </si>
  <si>
    <r>
      <t xml:space="preserve">от 27.04.21                                            от 26.05.2021                                             от 08.07.2021                               </t>
    </r>
    <r>
      <rPr>
        <sz val="11"/>
        <rFont val="Times New Roman"/>
        <family val="1"/>
        <charset val="204"/>
      </rPr>
      <t>от 07.09.21</t>
    </r>
  </si>
  <si>
    <r>
      <rPr>
        <b/>
        <sz val="11"/>
        <rFont val="Times New Roman"/>
        <family val="1"/>
        <charset val="204"/>
      </rPr>
      <t xml:space="preserve">Пиунов </t>
    </r>
    <r>
      <rPr>
        <sz val="11"/>
        <rFont val="Times New Roman"/>
        <family val="1"/>
        <charset val="204"/>
      </rPr>
      <t xml:space="preserve">Дог.     ПД303-ЕП-44-21 от 14.05.2021  </t>
    </r>
    <r>
      <rPr>
        <sz val="11"/>
        <color rgb="FFFF0000"/>
        <rFont val="Times New Roman"/>
        <family val="1"/>
        <charset val="204"/>
      </rPr>
      <t>на согласовании</t>
    </r>
  </si>
  <si>
    <r>
      <t>107640 долл.США</t>
    </r>
    <r>
      <rPr>
        <sz val="11"/>
        <rFont val="Times New Roman"/>
        <family val="1"/>
        <charset val="204"/>
      </rPr>
      <t xml:space="preserve"> 6290350</t>
    </r>
    <r>
      <rPr>
        <sz val="11"/>
        <rFont val="Times New Roman"/>
        <family val="1"/>
        <charset val="204"/>
      </rPr>
      <t xml:space="preserve"> СМР            (в т.ч.615000 обсл.               165000  ПД                   195000 Тех. осв.))</t>
    </r>
  </si>
  <si>
    <r>
      <rPr>
        <b/>
        <sz val="11"/>
        <rFont val="Times New Roman"/>
        <family val="1"/>
        <charset val="204"/>
      </rPr>
      <t xml:space="preserve">акт  №1 от 19.11.2021                                на 554500                          Акт  №2 от 30.11.2021                          на 605000    Акт  №3 от 17.12.2021 на 2 300 000 </t>
    </r>
    <r>
      <rPr>
        <b/>
        <sz val="11"/>
        <color rgb="FFFF0000"/>
        <rFont val="Times New Roman"/>
        <family val="1"/>
        <charset val="204"/>
      </rPr>
      <t xml:space="preserve">      Всего вып. 2021г.                      на 3 459 500                     от 19.11.21</t>
    </r>
  </si>
  <si>
    <r>
      <rPr>
        <b/>
        <sz val="11"/>
        <rFont val="Times New Roman"/>
        <family val="1"/>
        <charset val="204"/>
      </rPr>
      <t>ООО «Рокада сервисная Компания»,</t>
    </r>
    <r>
      <rPr>
        <sz val="11"/>
        <rFont val="Times New Roman"/>
        <family val="1"/>
        <charset val="204"/>
      </rPr>
      <t xml:space="preserve"> - поставка оборудования</t>
    </r>
  </si>
  <si>
    <r>
      <rPr>
        <b/>
        <sz val="11"/>
        <rFont val="Times New Roman"/>
        <family val="1"/>
        <charset val="204"/>
      </rPr>
      <t>ООО "Штейн"</t>
    </r>
    <r>
      <rPr>
        <sz val="11"/>
        <rFont val="Times New Roman"/>
        <family val="1"/>
        <charset val="204"/>
      </rPr>
      <t xml:space="preserve"> - поставка оборудования</t>
    </r>
  </si>
  <si>
    <r>
      <t xml:space="preserve">28.04.2021                           30.04.21                               </t>
    </r>
    <r>
      <rPr>
        <sz val="11"/>
        <color rgb="FF7030A0"/>
        <rFont val="Times New Roman"/>
        <family val="1"/>
        <charset val="204"/>
      </rPr>
      <t xml:space="preserve">      05.07.21</t>
    </r>
    <r>
      <rPr>
        <sz val="11"/>
        <color rgb="FFFF0000"/>
        <rFont val="Times New Roman"/>
        <family val="1"/>
        <charset val="204"/>
      </rPr>
      <t xml:space="preserve"> </t>
    </r>
  </si>
  <si>
    <r>
      <t xml:space="preserve">Разработка ПД, монтаж металлокаркасной шахты для лифта г/п 1000 кг               </t>
    </r>
    <r>
      <rPr>
        <sz val="11"/>
        <rFont val="Times New Roman"/>
        <family val="1"/>
        <charset val="204"/>
      </rPr>
      <t xml:space="preserve"> "Здание  торгового назначения н улице Беклемишева вблизи д.№25 в г. Узловая Тульской области"       </t>
    </r>
  </si>
  <si>
    <r>
      <t xml:space="preserve">ТЦУ/8.1/№5  </t>
    </r>
    <r>
      <rPr>
        <b/>
        <sz val="11"/>
        <color rgb="FFFF0000"/>
        <rFont val="Times New Roman"/>
        <family val="1"/>
        <charset val="204"/>
      </rPr>
      <t xml:space="preserve">(241/21)  </t>
    </r>
    <r>
      <rPr>
        <b/>
        <sz val="11"/>
        <rFont val="Times New Roman"/>
        <family val="1"/>
        <charset val="204"/>
      </rPr>
      <t>от 22.04.2021</t>
    </r>
  </si>
  <si>
    <r>
      <t xml:space="preserve">Минасян                                   Дог.№С-241/2-21 от 27.05.2021                   </t>
    </r>
    <r>
      <rPr>
        <b/>
        <sz val="11"/>
        <color rgb="FFFF0000"/>
        <rFont val="Times New Roman"/>
        <family val="1"/>
        <charset val="204"/>
      </rPr>
      <t>на согласовании</t>
    </r>
  </si>
  <si>
    <r>
      <t xml:space="preserve">Хуторецкая                             Дог. №СТЦУ/8.1/21                     от 27.04. 21                          </t>
    </r>
    <r>
      <rPr>
        <b/>
        <sz val="11"/>
        <color rgb="FFFF0000"/>
        <rFont val="Times New Roman"/>
        <family val="1"/>
        <charset val="204"/>
      </rPr>
      <t>на согласовании</t>
    </r>
  </si>
  <si>
    <r>
      <t xml:space="preserve">222200                               +164000                               +333300                               +100000                       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color rgb="FF00B050"/>
        <rFont val="Times New Roman"/>
        <family val="1"/>
        <charset val="204"/>
      </rPr>
      <t xml:space="preserve">  </t>
    </r>
    <r>
      <rPr>
        <sz val="11"/>
        <color rgb="FF7030A0"/>
        <rFont val="Times New Roman"/>
        <family val="1"/>
        <charset val="204"/>
      </rPr>
      <t xml:space="preserve"> </t>
    </r>
    <r>
      <rPr>
        <sz val="11"/>
        <color rgb="FF7030A0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 xml:space="preserve">                              +177800                                 </t>
    </r>
  </si>
  <si>
    <r>
      <t xml:space="preserve">от01.06.21                             </t>
    </r>
    <r>
      <rPr>
        <sz val="11"/>
        <color rgb="FF7030A0"/>
        <rFont val="Times New Roman"/>
        <family val="1"/>
        <charset val="204"/>
      </rPr>
      <t xml:space="preserve"> от 08.06.2021                                     от 17.06.21                     от 01.07.21                     </t>
    </r>
    <r>
      <rPr>
        <sz val="11"/>
        <color rgb="FF7030A0"/>
        <rFont val="Times New Roman"/>
        <family val="1"/>
        <charset val="204"/>
      </rPr>
      <t xml:space="preserve">   </t>
    </r>
    <r>
      <rPr>
        <sz val="11"/>
        <color rgb="FF7030A0"/>
        <rFont val="Times New Roman"/>
        <family val="1"/>
        <charset val="204"/>
      </rPr>
      <t xml:space="preserve">            от 24.08.21</t>
    </r>
  </si>
  <si>
    <r>
      <t xml:space="preserve">Саядян                                </t>
    </r>
    <r>
      <rPr>
        <sz val="11"/>
        <rFont val="Times New Roman"/>
        <family val="1"/>
        <charset val="204"/>
      </rPr>
      <t xml:space="preserve"> Дог. № С -241/21                      от 27.04.2021 г.                             </t>
    </r>
    <r>
      <rPr>
        <b/>
        <sz val="11"/>
        <color rgb="FFFF0000"/>
        <rFont val="Times New Roman"/>
        <family val="1"/>
        <charset val="204"/>
      </rPr>
      <t>на согласовании</t>
    </r>
  </si>
  <si>
    <r>
      <rPr>
        <b/>
        <sz val="11"/>
        <rFont val="Times New Roman"/>
        <family val="1"/>
        <charset val="204"/>
      </rPr>
      <t>обследование</t>
    </r>
    <r>
      <rPr>
        <b/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cостояния лифтовой шахты объекта культурного наследия регионального значения «Городская усадьба П.И. Демидова – А.Б.Куракина», кон. XVIII- XIX вв., архитекторы Р.Р. Казаков, Е.Д. Тюрин, Б.В. Фрейденберг, в рамках капитального ремонта здания НИУ ВШЭ, расположенного по адресу: г. Москва, ул. Старая Басманная, д. 21/4, стр. 1» </t>
    </r>
  </si>
  <si>
    <r>
      <t xml:space="preserve">ПИУНОВ Дог. №П 6.12-21/01.53-070621 от 07.06.2021                    </t>
    </r>
    <r>
      <rPr>
        <b/>
        <sz val="11"/>
        <color rgb="FFFF0000"/>
        <rFont val="Times New Roman"/>
        <family val="1"/>
        <charset val="204"/>
      </rPr>
      <t>на согласовании</t>
    </r>
  </si>
  <si>
    <r>
      <t xml:space="preserve">Замена пассажирского лифта рег.№135007 грузоподъемностью 500 кг на пассажирский лифт грузоподъемностью 630 кг по адресу: </t>
    </r>
    <r>
      <rPr>
        <sz val="11"/>
        <rFont val="Times New Roman"/>
        <family val="1"/>
        <charset val="204"/>
      </rPr>
      <t xml:space="preserve"> г. Москва, ул. Старая Басманная, д. 21/4, стр. 1</t>
    </r>
  </si>
  <si>
    <r>
      <t xml:space="preserve">№ 6.12-21/01.53 – 150721-5 </t>
    </r>
    <r>
      <rPr>
        <b/>
        <sz val="11"/>
        <color rgb="FFFF0000"/>
        <rFont val="Times New Roman"/>
        <family val="1"/>
        <charset val="204"/>
      </rPr>
      <t xml:space="preserve">(244/21) </t>
    </r>
    <r>
      <rPr>
        <b/>
        <sz val="11"/>
        <rFont val="Times New Roman"/>
        <family val="1"/>
        <charset val="204"/>
      </rPr>
      <t xml:space="preserve"> от 15.07.2021 г. </t>
    </r>
  </si>
  <si>
    <r>
      <rPr>
        <sz val="11"/>
        <rFont val="Times New Roman"/>
        <family val="1"/>
        <charset val="204"/>
      </rPr>
      <t xml:space="preserve">14.10.2021  </t>
    </r>
    <r>
      <rPr>
        <sz val="11"/>
        <color rgb="FF7030A0"/>
        <rFont val="Times New Roman"/>
        <family val="1"/>
        <charset val="204"/>
      </rPr>
      <t xml:space="preserve">                                  </t>
    </r>
    <r>
      <rPr>
        <sz val="11"/>
        <color rgb="FFFF0000"/>
        <rFont val="Times New Roman"/>
        <family val="1"/>
        <charset val="204"/>
      </rPr>
      <t xml:space="preserve">   </t>
    </r>
    <r>
      <rPr>
        <sz val="11"/>
        <rFont val="Times New Roman"/>
        <family val="1"/>
        <charset val="204"/>
      </rPr>
      <t>16.12.21</t>
    </r>
  </si>
  <si>
    <r>
      <rPr>
        <b/>
        <sz val="11"/>
        <rFont val="Times New Roman"/>
        <family val="1"/>
        <charset val="204"/>
      </rPr>
      <t xml:space="preserve">Миносян    </t>
    </r>
    <r>
      <rPr>
        <sz val="11"/>
        <rFont val="Times New Roman"/>
        <family val="1"/>
        <charset val="204"/>
      </rPr>
      <t xml:space="preserve">                        №С6.12/1-21.01.53-150721  от 02.08.2021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на согласовании</t>
    </r>
  </si>
  <si>
    <r>
      <t xml:space="preserve">СР 246-21 от16.08.2021г. </t>
    </r>
    <r>
      <rPr>
        <sz val="11"/>
        <color rgb="FFFF0000"/>
        <rFont val="Times New Roman"/>
        <family val="1"/>
        <charset val="204"/>
      </rPr>
      <t>На согласовании</t>
    </r>
  </si>
  <si>
    <r>
      <t>№</t>
    </r>
    <r>
      <rPr>
        <sz val="11"/>
        <color rgb="FFFF0000"/>
        <rFont val="Times New Roman"/>
        <family val="1"/>
        <charset val="204"/>
      </rPr>
      <t xml:space="preserve"> С246/2/21</t>
    </r>
    <r>
      <rPr>
        <sz val="11"/>
        <rFont val="Times New Roman"/>
        <family val="1"/>
        <charset val="204"/>
      </rPr>
      <t xml:space="preserve"> от 17.08.2021 </t>
    </r>
    <r>
      <rPr>
        <sz val="11"/>
        <color rgb="FFFF0000"/>
        <rFont val="Times New Roman"/>
        <family val="1"/>
        <charset val="204"/>
      </rPr>
      <t xml:space="preserve">                                 На согласовании</t>
    </r>
  </si>
  <si>
    <r>
      <t xml:space="preserve">проведение капитального ремонта (выборочный тип) Общежитие федерального государственного автономного образовательного учреждения высшего образования «Московский политехнический университет» (Московский Политех) г. Москва, </t>
    </r>
    <r>
      <rPr>
        <sz val="11"/>
        <rFont val="Times New Roman"/>
        <family val="1"/>
        <charset val="204"/>
      </rPr>
      <t xml:space="preserve">ул. 800-летия Москвы, 28 к 1 </t>
    </r>
  </si>
  <si>
    <r>
      <rPr>
        <b/>
        <sz val="11"/>
        <color theme="1"/>
        <rFont val="Times New Roman"/>
        <family val="1"/>
        <charset val="204"/>
      </rPr>
      <t xml:space="preserve">Миносян  </t>
    </r>
    <r>
      <rPr>
        <sz val="11"/>
        <color theme="1"/>
        <rFont val="Times New Roman"/>
        <family val="1"/>
        <charset val="204"/>
      </rPr>
      <t xml:space="preserve">         №С1/433-0139.44  от 24.09.21</t>
    </r>
  </si>
  <si>
    <r>
      <t xml:space="preserve">29.10.21                      </t>
    </r>
    <r>
      <rPr>
        <b/>
        <sz val="11"/>
        <color rgb="FFFF0000"/>
        <rFont val="Times New Roman"/>
        <family val="1"/>
        <charset val="204"/>
      </rPr>
      <t xml:space="preserve">      27.12.2021-С</t>
    </r>
  </si>
  <si>
    <r>
      <t xml:space="preserve">Хуторецкая              №С1/433-0139.44.ОК от 22.09.21                   </t>
    </r>
    <r>
      <rPr>
        <sz val="11"/>
        <color rgb="FFFF0000"/>
        <rFont val="Times New Roman"/>
        <family val="1"/>
        <charset val="204"/>
      </rPr>
      <t>на согласовании</t>
    </r>
  </si>
  <si>
    <r>
      <rPr>
        <b/>
        <sz val="11"/>
        <rFont val="Times New Roman"/>
        <family val="1"/>
        <charset val="204"/>
      </rPr>
      <t xml:space="preserve">Саядян    </t>
    </r>
    <r>
      <rPr>
        <sz val="11"/>
        <rFont val="Times New Roman"/>
        <family val="1"/>
        <charset val="204"/>
      </rPr>
      <t xml:space="preserve">                        № С2 /434_0139.44.ОК      </t>
    </r>
    <r>
      <rPr>
        <sz val="11"/>
        <color rgb="FFFF0000"/>
        <rFont val="Times New Roman"/>
        <family val="1"/>
        <charset val="204"/>
      </rPr>
      <t xml:space="preserve">                   от 15.11.2021 на согласовании</t>
    </r>
  </si>
  <si>
    <r>
      <rPr>
        <b/>
        <sz val="11"/>
        <rFont val="Times New Roman"/>
        <family val="1"/>
        <charset val="204"/>
      </rPr>
      <t xml:space="preserve">Противовес Т  </t>
    </r>
    <r>
      <rPr>
        <sz val="11"/>
        <rFont val="Times New Roman"/>
        <family val="1"/>
        <charset val="204"/>
      </rPr>
      <t xml:space="preserve">    №С1/434-0139.44.ОК от 01.11.21</t>
    </r>
  </si>
  <si>
    <r>
      <t xml:space="preserve">ООО "Монтажцентр"                      </t>
    </r>
    <r>
      <rPr>
        <b/>
        <sz val="11"/>
        <color rgb="FFFF0000"/>
        <rFont val="Times New Roman"/>
        <family val="1"/>
        <charset val="204"/>
      </rPr>
      <t>не подписан</t>
    </r>
  </si>
  <si>
    <r>
      <t>№МО/8.1/№5 /</t>
    </r>
    <r>
      <rPr>
        <b/>
        <sz val="11"/>
        <color rgb="FFFF0000"/>
        <rFont val="Times New Roman"/>
        <family val="1"/>
        <charset val="204"/>
      </rPr>
      <t>247/21-</t>
    </r>
    <r>
      <rPr>
        <b/>
        <sz val="11"/>
        <rFont val="Times New Roman"/>
        <family val="1"/>
        <charset val="204"/>
      </rPr>
      <t xml:space="preserve">  от 02.09.2021 </t>
    </r>
    <r>
      <rPr>
        <sz val="11"/>
        <color rgb="FFFF0000"/>
        <rFont val="Times New Roman"/>
        <family val="1"/>
        <charset val="204"/>
      </rPr>
      <t>БАНК ВТБ</t>
    </r>
  </si>
  <si>
    <r>
      <rPr>
        <b/>
        <sz val="11"/>
        <rFont val="Times New Roman"/>
        <family val="1"/>
        <charset val="204"/>
      </rPr>
      <t xml:space="preserve">Хуторецка        </t>
    </r>
    <r>
      <rPr>
        <sz val="11"/>
        <rFont val="Times New Roman"/>
        <family val="1"/>
        <charset val="204"/>
      </rPr>
      <t xml:space="preserve">             № С-МО/8.1/№5 /247/21  от 01.12.2021</t>
    </r>
  </si>
  <si>
    <r>
      <t xml:space="preserve">Разработка эскизного проекта на замену лифтового оборудования на </t>
    </r>
    <r>
      <rPr>
        <sz val="11"/>
        <rFont val="Times New Roman"/>
        <family val="1"/>
        <charset val="204"/>
      </rPr>
      <t>ул.М Никитская д.24. стр.1 стр.2</t>
    </r>
  </si>
  <si>
    <r>
      <rPr>
        <b/>
        <sz val="11"/>
        <rFont val="Times New Roman"/>
        <family val="1"/>
        <charset val="204"/>
      </rPr>
      <t xml:space="preserve">Хуторецкая </t>
    </r>
    <r>
      <rPr>
        <sz val="11"/>
        <rFont val="Times New Roman"/>
        <family val="1"/>
        <charset val="204"/>
      </rPr>
      <t>Дог. №С241/2 от 14.02.2022</t>
    </r>
  </si>
  <si>
    <r>
      <rPr>
        <sz val="11"/>
        <color rgb="FF7030A0"/>
        <rFont val="Times New Roman"/>
        <family val="1"/>
        <charset val="204"/>
      </rPr>
      <t>перенос</t>
    </r>
    <r>
      <rPr>
        <sz val="11"/>
        <color rgb="FF7030A0"/>
        <rFont val="Times New Roman"/>
        <family val="1"/>
        <charset val="204"/>
      </rPr>
      <t xml:space="preserve"> на                                 </t>
    </r>
    <r>
      <rPr>
        <sz val="11"/>
        <color rgb="FF00B050"/>
        <rFont val="Times New Roman"/>
        <family val="1"/>
        <charset val="204"/>
      </rPr>
      <t xml:space="preserve"> </t>
    </r>
    <r>
      <rPr>
        <sz val="11"/>
        <color rgb="FF7030A0"/>
        <rFont val="Times New Roman"/>
        <family val="1"/>
        <charset val="204"/>
      </rPr>
      <t xml:space="preserve">  на дог. №С2-242/21</t>
    </r>
  </si>
  <si>
    <r>
      <t xml:space="preserve">ПД, Поставка оборудоания - 2 лифта, СМР шахт,мон таж и пусконадладка                                     по адресу: г. Москва, </t>
    </r>
    <r>
      <rPr>
        <sz val="11"/>
        <rFont val="Times New Roman"/>
        <family val="1"/>
        <charset val="204"/>
      </rPr>
      <t xml:space="preserve">Колпачный переулок,  дом 7, стр.2 </t>
    </r>
    <r>
      <rPr>
        <sz val="11"/>
        <color rgb="FFFF0000"/>
        <rFont val="Times New Roman"/>
        <family val="1"/>
        <charset val="204"/>
      </rPr>
      <t xml:space="preserve"> </t>
    </r>
  </si>
  <si>
    <r>
      <t>61 неделя (</t>
    </r>
    <r>
      <rPr>
        <sz val="11"/>
        <color rgb="FFFF0000"/>
        <rFont val="Times New Roman"/>
        <family val="1"/>
        <charset val="204"/>
      </rPr>
      <t>февраль 2023</t>
    </r>
    <r>
      <rPr>
        <sz val="11"/>
        <rFont val="Times New Roman"/>
        <family val="1"/>
        <charset val="204"/>
      </rPr>
      <t>)</t>
    </r>
  </si>
  <si>
    <r>
      <rPr>
        <b/>
        <sz val="11"/>
        <rFont val="Times New Roman"/>
        <family val="1"/>
        <charset val="204"/>
      </rPr>
      <t xml:space="preserve">Содимас </t>
    </r>
    <r>
      <rPr>
        <sz val="11"/>
        <rFont val="Times New Roman"/>
        <family val="1"/>
        <charset val="204"/>
      </rPr>
      <t>Дог.55/П-2021 от 09.12.2021 г. ДС №1 от 22.03.2022</t>
    </r>
  </si>
  <si>
    <r>
      <rPr>
        <b/>
        <sz val="11"/>
        <rFont val="Times New Roman"/>
        <family val="1"/>
        <charset val="204"/>
      </rPr>
      <t>МИНОСЯН</t>
    </r>
    <r>
      <rPr>
        <sz val="11"/>
        <rFont val="Times New Roman"/>
        <family val="1"/>
        <charset val="204"/>
      </rPr>
      <t xml:space="preserve">   Дог.№ С249 М/22                       от 01.02.2022</t>
    </r>
    <r>
      <rPr>
        <sz val="11"/>
        <color rgb="FFFF0000"/>
        <rFont val="Times New Roman"/>
        <family val="1"/>
        <charset val="204"/>
      </rPr>
      <t xml:space="preserve"> на согласовании</t>
    </r>
  </si>
  <si>
    <r>
      <t xml:space="preserve">Контракт № Т3553/29195/2021 </t>
    </r>
    <r>
      <rPr>
        <sz val="11"/>
        <color rgb="FFFF0000"/>
        <rFont val="Times New Roman"/>
        <family val="1"/>
        <charset val="204"/>
      </rPr>
      <t xml:space="preserve">(251/22) </t>
    </r>
    <r>
      <rPr>
        <sz val="11"/>
        <rFont val="Times New Roman"/>
        <family val="1"/>
        <charset val="204"/>
      </rPr>
      <t xml:space="preserve">    от 22.11.2021   ДС №1 от 22.11 2021</t>
    </r>
  </si>
  <si>
    <r>
      <rPr>
        <b/>
        <sz val="11"/>
        <rFont val="Times New Roman"/>
        <family val="1"/>
        <charset val="204"/>
      </rPr>
      <t>Технолифт сервис</t>
    </r>
    <r>
      <rPr>
        <sz val="11"/>
        <rFont val="Times New Roman"/>
        <family val="1"/>
        <charset val="204"/>
      </rPr>
      <t xml:space="preserve"> (Овчаренко Жанна)  Дог.№345/2П от22.11.21 </t>
    </r>
    <r>
      <rPr>
        <sz val="11"/>
        <color rgb="FFFF0000"/>
        <rFont val="Times New Roman"/>
        <family val="1"/>
        <charset val="204"/>
      </rPr>
      <t>(нет договора)</t>
    </r>
  </si>
  <si>
    <r>
      <rPr>
        <b/>
        <sz val="11"/>
        <rFont val="Times New Roman"/>
        <family val="1"/>
        <charset val="204"/>
      </rPr>
      <t>МИНОСЯН</t>
    </r>
    <r>
      <rPr>
        <sz val="11"/>
        <rFont val="Times New Roman"/>
        <family val="1"/>
        <charset val="204"/>
      </rPr>
      <t xml:space="preserve">   Дог.№ С65-ОК-44 М/22 от 16.02.2022</t>
    </r>
  </si>
  <si>
    <r>
      <rPr>
        <b/>
        <sz val="11"/>
        <rFont val="Times New Roman"/>
        <family val="1"/>
        <charset val="204"/>
      </rPr>
      <t>ИП Карпунин В.Ф. дог. №СК-65-ОК-44/21</t>
    </r>
    <r>
      <rPr>
        <sz val="11"/>
        <rFont val="Times New Roman"/>
        <family val="1"/>
        <charset val="204"/>
      </rPr>
      <t xml:space="preserve">               от 25.05.2022</t>
    </r>
  </si>
  <si>
    <r>
      <t>25 недель         (</t>
    </r>
    <r>
      <rPr>
        <sz val="11"/>
        <color rgb="FFFF0000"/>
        <rFont val="Times New Roman"/>
        <family val="1"/>
        <charset val="204"/>
      </rPr>
      <t>30.09.22)</t>
    </r>
  </si>
  <si>
    <r>
      <rPr>
        <b/>
        <sz val="11"/>
        <rFont val="Times New Roman"/>
        <family val="1"/>
        <charset val="204"/>
      </rPr>
      <t>ООО СОДИМАС ГРУПП</t>
    </r>
    <r>
      <rPr>
        <sz val="11"/>
        <rFont val="Times New Roman"/>
        <family val="1"/>
        <charset val="204"/>
      </rPr>
      <t xml:space="preserve"> дог.№14/п-2022 </t>
    </r>
    <r>
      <rPr>
        <sz val="11"/>
        <color rgb="FFFF0000"/>
        <rFont val="Times New Roman"/>
        <family val="1"/>
        <charset val="204"/>
      </rPr>
      <t>МОСКОММЕРЦБАНК</t>
    </r>
  </si>
  <si>
    <r>
      <t xml:space="preserve">Поставка на МО гор.округ Одинцовский дер.Таганьково </t>
    </r>
    <r>
      <rPr>
        <b/>
        <sz val="11"/>
        <rFont val="Times New Roman"/>
        <family val="1"/>
        <charset val="204"/>
      </rPr>
      <t>коттеджныйпос.Николино</t>
    </r>
  </si>
  <si>
    <r>
      <rPr>
        <b/>
        <sz val="11"/>
        <rFont val="Times New Roman"/>
        <family val="1"/>
        <charset val="204"/>
      </rPr>
      <t>ООО РОКАДА</t>
    </r>
    <r>
      <rPr>
        <sz val="11"/>
        <rFont val="Times New Roman"/>
        <family val="1"/>
        <charset val="204"/>
      </rPr>
      <t xml:space="preserve"> дог.№ 229-292П от 07.07.22</t>
    </r>
  </si>
  <si>
    <r>
      <rPr>
        <b/>
        <sz val="11"/>
        <color rgb="FFFF0000"/>
        <rFont val="Times New Roman"/>
        <family val="1"/>
        <charset val="204"/>
      </rPr>
      <t>РД</t>
    </r>
    <r>
      <rPr>
        <sz val="11"/>
        <rFont val="Times New Roman"/>
        <family val="1"/>
        <charset val="204"/>
      </rPr>
      <t xml:space="preserve"> на Строительство музейногокомплекса Кадашевская набережная вл.№10 12/2 М Толмачевский пер. вл. №1-3 5-7</t>
    </r>
  </si>
  <si>
    <r>
      <t>Дог.№1425/22 от 23.05.2022 -(</t>
    </r>
    <r>
      <rPr>
        <sz val="11"/>
        <color rgb="FFFF0000"/>
        <rFont val="Times New Roman"/>
        <family val="1"/>
        <charset val="204"/>
      </rPr>
      <t>252/22)-</t>
    </r>
  </si>
  <si>
    <r>
      <t>30 кал.дн. 23.05.22-</t>
    </r>
    <r>
      <rPr>
        <sz val="11"/>
        <color rgb="FFFF0000"/>
        <rFont val="Times New Roman"/>
        <family val="1"/>
        <charset val="204"/>
      </rPr>
      <t>06.07.22</t>
    </r>
  </si>
  <si>
    <r>
      <t>Дог. №2703/22 от 31.08.2022 -(</t>
    </r>
    <r>
      <rPr>
        <sz val="11"/>
        <color rgb="FFFF0000"/>
        <rFont val="Times New Roman"/>
        <family val="1"/>
        <charset val="204"/>
      </rPr>
      <t>252/22)</t>
    </r>
  </si>
  <si>
    <r>
      <t>45 кал.дн. 01.09.22-30</t>
    </r>
    <r>
      <rPr>
        <sz val="11"/>
        <color rgb="FFFF0000"/>
        <rFont val="Times New Roman"/>
        <family val="1"/>
        <charset val="204"/>
      </rPr>
      <t>.09.22</t>
    </r>
  </si>
  <si>
    <r>
      <t>Дог. № 052/2022-          от 23.05.2022 г.</t>
    </r>
    <r>
      <rPr>
        <sz val="11"/>
        <color rgb="FFFF0000"/>
        <rFont val="Times New Roman"/>
        <family val="1"/>
        <charset val="204"/>
      </rPr>
      <t xml:space="preserve"> (263/22)</t>
    </r>
  </si>
  <si>
    <r>
      <t xml:space="preserve">10 недель                  </t>
    </r>
    <r>
      <rPr>
        <sz val="11"/>
        <color rgb="FFFF0000"/>
        <rFont val="Times New Roman"/>
        <family val="1"/>
        <charset val="204"/>
      </rPr>
      <t xml:space="preserve">  (31.07.2022)</t>
    </r>
  </si>
  <si>
    <r>
      <rPr>
        <b/>
        <sz val="11"/>
        <rFont val="Times New Roman"/>
        <family val="1"/>
        <charset val="204"/>
      </rPr>
      <t xml:space="preserve">Хуторецкая     </t>
    </r>
    <r>
      <rPr>
        <sz val="11"/>
        <rFont val="Times New Roman"/>
        <family val="1"/>
        <charset val="204"/>
      </rPr>
      <t xml:space="preserve">                  Дог. № СХ 052/22 от 20.06.2022</t>
    </r>
  </si>
  <si>
    <r>
      <t xml:space="preserve">Дог.№ 3Л-04 от 04.05.2022 </t>
    </r>
    <r>
      <rPr>
        <sz val="11"/>
        <color rgb="FF7030A0"/>
        <rFont val="Times New Roman"/>
        <family val="1"/>
        <charset val="204"/>
      </rPr>
      <t>скан</t>
    </r>
    <r>
      <rPr>
        <sz val="11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>Прил-я нет</t>
    </r>
  </si>
  <si>
    <r>
      <t>Дог.№ 051/2022   от 30.05.2022</t>
    </r>
    <r>
      <rPr>
        <sz val="11"/>
        <color rgb="FFFF0000"/>
        <rFont val="Times New Roman"/>
        <family val="1"/>
        <charset val="204"/>
      </rPr>
      <t xml:space="preserve"> (262/22)</t>
    </r>
  </si>
  <si>
    <r>
      <rPr>
        <b/>
        <sz val="11"/>
        <rFont val="Times New Roman"/>
        <family val="1"/>
        <charset val="204"/>
      </rPr>
      <t>ООО РОКАДА</t>
    </r>
    <r>
      <rPr>
        <sz val="11"/>
        <rFont val="Times New Roman"/>
        <family val="1"/>
        <charset val="204"/>
      </rPr>
      <t xml:space="preserve"> дог.№ 229-289П от 07.07.22</t>
    </r>
  </si>
  <si>
    <r>
      <rPr>
        <b/>
        <sz val="11"/>
        <rFont val="Times New Roman"/>
        <family val="1"/>
        <charset val="204"/>
      </rPr>
      <t xml:space="preserve">ООО "АМИДА"      </t>
    </r>
    <r>
      <rPr>
        <b/>
        <sz val="11"/>
        <rFont val="Times New Roman"/>
        <family val="1"/>
        <charset val="204"/>
      </rPr>
      <t xml:space="preserve">                            г. Москва,  ул. 3-Я Ямского Поля , дом 2  корп.13</t>
    </r>
  </si>
  <si>
    <r>
      <rPr>
        <b/>
        <sz val="11"/>
        <rFont val="Times New Roman"/>
        <family val="1"/>
        <charset val="204"/>
      </rPr>
      <t xml:space="preserve">ООО "Фирма АРД"    </t>
    </r>
    <r>
      <rPr>
        <b/>
        <sz val="11"/>
        <rFont val="Times New Roman"/>
        <family val="1"/>
        <charset val="204"/>
      </rPr>
      <t xml:space="preserve">                                г. Москва, Смоленская площадь, дом 6, строение 3</t>
    </r>
  </si>
  <si>
    <r>
      <rPr>
        <b/>
        <sz val="11"/>
        <rFont val="Times New Roman"/>
        <family val="1"/>
        <charset val="204"/>
      </rPr>
      <t>СОДИМАС</t>
    </r>
    <r>
      <rPr>
        <sz val="11"/>
        <rFont val="Times New Roman"/>
        <family val="1"/>
        <charset val="204"/>
      </rPr>
      <t xml:space="preserve"> Дог.№40/П-2022 от 27.10.2022</t>
    </r>
  </si>
  <si>
    <r>
      <rPr>
        <b/>
        <sz val="11"/>
        <rFont val="Times New Roman"/>
        <family val="1"/>
        <charset val="204"/>
      </rPr>
      <t xml:space="preserve">Хуторецкая </t>
    </r>
    <r>
      <rPr>
        <sz val="11"/>
        <rFont val="Times New Roman"/>
        <family val="1"/>
        <charset val="204"/>
      </rPr>
      <t xml:space="preserve">Дог. №С2-240/21 от 28.04 21                                              </t>
    </r>
    <r>
      <rPr>
        <sz val="11"/>
        <color rgb="FFFF0000"/>
        <rFont val="Times New Roman"/>
        <family val="1"/>
        <charset val="204"/>
      </rPr>
      <t>закрыт</t>
    </r>
  </si>
  <si>
    <r>
      <t xml:space="preserve">411800                                   +561800                              +131800                                       +50000                                             +450000                                   +250675                                 +334525                            +334525                                             +375000                                    </t>
    </r>
    <r>
      <rPr>
        <sz val="10"/>
        <color rgb="FF00B050"/>
        <rFont val="Times New Roman"/>
        <family val="1"/>
        <charset val="204"/>
      </rPr>
      <t xml:space="preserve"> +76575                           </t>
    </r>
  </si>
  <si>
    <t>411800                                   +561800                              +131800                                       +50000                                             +450000                                   +250675                                 +334525                            +334525                                             +375000                       -243400</t>
  </si>
  <si>
    <t xml:space="preserve">перенесена оплата на сумму 243400 на дог. № С-240/21 </t>
  </si>
  <si>
    <r>
      <rPr>
        <b/>
        <sz val="11"/>
        <color rgb="FF7030A0"/>
        <rFont val="Times New Roman"/>
        <family val="1"/>
        <charset val="204"/>
      </rPr>
      <t xml:space="preserve">перенос от </t>
    </r>
    <r>
      <rPr>
        <b/>
        <sz val="11"/>
        <color rgb="FFFF0000"/>
        <rFont val="Times New Roman"/>
        <family val="1"/>
        <charset val="204"/>
      </rPr>
      <t xml:space="preserve">                   </t>
    </r>
    <r>
      <rPr>
        <b/>
        <sz val="11"/>
        <color rgb="FF7030A0"/>
        <rFont val="Times New Roman"/>
        <family val="1"/>
        <charset val="204"/>
      </rPr>
      <t xml:space="preserve">  С2-239/21         </t>
    </r>
  </si>
  <si>
    <t>498300                             +430000</t>
  </si>
  <si>
    <t>опл.в 2021 г.</t>
  </si>
  <si>
    <r>
      <t xml:space="preserve">с 01.10.2022 до </t>
    </r>
    <r>
      <rPr>
        <b/>
        <sz val="10"/>
        <color rgb="FFFF0000"/>
        <rFont val="Times New Roman"/>
        <family val="1"/>
        <charset val="204"/>
      </rPr>
      <t>31.12.2022 г.</t>
    </r>
  </si>
  <si>
    <t>Евдокимова Наталья Сергеневна</t>
  </si>
  <si>
    <t>Дог. № 261/22 от 24.10.2022</t>
  </si>
  <si>
    <t>АО "Мосгорбумторг"</t>
  </si>
  <si>
    <t>ПД нана установку пассажирского лифта грузоподъемностью  450 кг торговой марки «Stein» производства Германии,  по адресу: г. Москва, Новомещерский проезд. д.9, стр.1</t>
  </si>
  <si>
    <t>Дог.№259/22 от 26.09.2022</t>
  </si>
  <si>
    <t xml:space="preserve">Разработка проектно-сметной документации на установку лифта г.п 1000 кг и его установка по адресу   г. Москва,  ул. Подъемная, дом 2 </t>
  </si>
  <si>
    <t>75300                                 +88400</t>
  </si>
  <si>
    <t>СМР  и монтаж</t>
  </si>
  <si>
    <t>ООО "АМИДА"                  г. Москва,  ул. 3-Я Ямского Поля , дом 2  корп.13</t>
  </si>
  <si>
    <t>Можно перенести суб. (КРАЙ)</t>
  </si>
  <si>
    <r>
      <rPr>
        <sz val="11"/>
        <rFont val="Times New Roman"/>
        <family val="1"/>
        <charset val="204"/>
      </rPr>
      <t>монтаж и пусконаладка 2-х лифтов</t>
    </r>
    <r>
      <rPr>
        <sz val="11"/>
        <rFont val="Times New Roman"/>
        <family val="1"/>
        <charset val="204"/>
      </rPr>
      <t xml:space="preserve"> SJEC г/п 1000 кг   -</t>
    </r>
    <r>
      <rPr>
        <sz val="11"/>
        <rFont val="Times New Roman"/>
        <family val="1"/>
        <charset val="204"/>
      </rPr>
      <t>Тульская область г. Узловая ул. Беклемищева вблизи д. №25</t>
    </r>
  </si>
  <si>
    <t>ЗАДЕЛ на СМР          450000</t>
  </si>
  <si>
    <t>01/22-10/22</t>
  </si>
  <si>
    <t>на 22.11.22 -1108073,31</t>
  </si>
  <si>
    <t>на 28.11.22 -9063643,33</t>
  </si>
  <si>
    <t>47400        евро</t>
  </si>
  <si>
    <t>лифт  не в комплекте -на 30.11.22.</t>
  </si>
  <si>
    <t>21507169,78, в т.ч. Оборудование 9754700</t>
  </si>
  <si>
    <t>сумма по субподряду без обор.</t>
  </si>
  <si>
    <r>
      <t xml:space="preserve"> от 08.11.19                                                        11/11/19                                                     13.11.2019                                                 20.11.19                                                     21.11.19                                                           от 25.11.19                                 от 14.01.22                                        от 14.02.22  </t>
    </r>
    <r>
      <rPr>
        <b/>
        <sz val="11"/>
        <color rgb="FF7030A0"/>
        <rFont val="Times New Roman"/>
        <family val="1"/>
        <charset val="204"/>
      </rPr>
      <t xml:space="preserve">     </t>
    </r>
    <r>
      <rPr>
        <b/>
        <sz val="11"/>
        <color rgb="FF00B050"/>
        <rFont val="Times New Roman"/>
        <family val="1"/>
        <charset val="204"/>
      </rPr>
      <t xml:space="preserve">                      от 20.01.22                              </t>
    </r>
    <r>
      <rPr>
        <b/>
        <sz val="11"/>
        <color rgb="FF7030A0"/>
        <rFont val="Times New Roman"/>
        <family val="1"/>
        <charset val="204"/>
      </rPr>
      <t xml:space="preserve">   от 02.02.222               </t>
    </r>
    <r>
      <rPr>
        <b/>
        <sz val="11"/>
        <color rgb="FF00B050"/>
        <rFont val="Times New Roman"/>
        <family val="1"/>
        <charset val="204"/>
      </rPr>
      <t xml:space="preserve">                                                </t>
    </r>
  </si>
  <si>
    <r>
      <rPr>
        <b/>
        <sz val="11"/>
        <color rgb="FF00B050"/>
        <rFont val="Times New Roman"/>
        <family val="1"/>
        <charset val="204"/>
      </rPr>
      <t xml:space="preserve">                       </t>
    </r>
    <r>
      <rPr>
        <sz val="11"/>
        <color rgb="FF00B050"/>
        <rFont val="Times New Roman"/>
        <family val="1"/>
        <charset val="204"/>
      </rPr>
      <t>от дог. №СТО-661-ЕН-44-21</t>
    </r>
    <r>
      <rPr>
        <sz val="11"/>
        <color rgb="FF00B050"/>
        <rFont val="Times New Roman"/>
        <family val="1"/>
        <charset val="204"/>
      </rPr>
      <t xml:space="preserve"> от 02.08.21                          </t>
    </r>
    <r>
      <rPr>
        <sz val="11"/>
        <color rgb="FF7030A0"/>
        <rFont val="Times New Roman"/>
        <family val="1"/>
        <charset val="204"/>
      </rPr>
      <t xml:space="preserve">  </t>
    </r>
    <r>
      <rPr>
        <sz val="11"/>
        <color rgb="FF7030A0"/>
        <rFont val="Times New Roman"/>
        <family val="1"/>
        <charset val="204"/>
      </rPr>
      <t xml:space="preserve">от дог. №СТО 830-ЕП-44-21                                 </t>
    </r>
  </si>
  <si>
    <r>
      <t xml:space="preserve"> =</t>
    </r>
    <r>
      <rPr>
        <b/>
        <sz val="11"/>
        <color rgb="FFFF0000"/>
        <rFont val="Times New Roman"/>
        <family val="1"/>
        <charset val="204"/>
      </rPr>
      <t xml:space="preserve">112000               +73000                          +100000                      +77000                     +77500                      </t>
    </r>
    <r>
      <rPr>
        <b/>
        <sz val="11"/>
        <color rgb="FFFF0000"/>
        <rFont val="Times New Roman"/>
        <family val="1"/>
        <charset val="204"/>
      </rPr>
      <t>+211000</t>
    </r>
    <r>
      <rPr>
        <b/>
        <sz val="11"/>
        <rFont val="Times New Roman"/>
        <family val="1"/>
        <charset val="204"/>
      </rPr>
      <t xml:space="preserve">                      </t>
    </r>
    <r>
      <rPr>
        <b/>
        <sz val="11"/>
        <color rgb="FFFF0000"/>
        <rFont val="Times New Roman"/>
        <family val="1"/>
        <charset val="204"/>
      </rPr>
      <t xml:space="preserve"> +277800 </t>
    </r>
    <r>
      <rPr>
        <b/>
        <sz val="11"/>
        <rFont val="Times New Roman"/>
        <family val="1"/>
        <charset val="204"/>
      </rPr>
      <t xml:space="preserve">               </t>
    </r>
    <r>
      <rPr>
        <b/>
        <sz val="11"/>
        <color rgb="FFFF0000"/>
        <rFont val="Times New Roman"/>
        <family val="1"/>
        <charset val="204"/>
      </rPr>
      <t xml:space="preserve">               +139700             </t>
    </r>
    <r>
      <rPr>
        <b/>
        <sz val="11"/>
        <rFont val="Times New Roman"/>
        <family val="1"/>
        <charset val="204"/>
      </rPr>
      <t xml:space="preserve">                    </t>
    </r>
    <r>
      <rPr>
        <b/>
        <sz val="11"/>
        <color rgb="FF00B050"/>
        <rFont val="Times New Roman"/>
        <family val="1"/>
        <charset val="204"/>
      </rPr>
      <t xml:space="preserve">+222200                              </t>
    </r>
    <r>
      <rPr>
        <b/>
        <sz val="11"/>
        <color rgb="FF7030A0"/>
        <rFont val="Times New Roman"/>
        <family val="1"/>
        <charset val="204"/>
      </rPr>
      <t xml:space="preserve"> +123900                           </t>
    </r>
    <r>
      <rPr>
        <b/>
        <sz val="11"/>
        <color rgb="FF00B050"/>
        <rFont val="Times New Roman"/>
        <family val="1"/>
        <charset val="204"/>
      </rPr>
      <t xml:space="preserve">    </t>
    </r>
    <r>
      <rPr>
        <b/>
        <sz val="11"/>
        <color rgb="FF7030A0"/>
        <rFont val="Times New Roman"/>
        <family val="1"/>
        <charset val="204"/>
      </rPr>
      <t xml:space="preserve">    </t>
    </r>
  </si>
  <si>
    <t>обор-е и обрамл.</t>
  </si>
  <si>
    <t>остаток на суб.</t>
  </si>
  <si>
    <t xml:space="preserve">03.06.2022                                          от 27.07.22                                от 28.07.22                             от 29.07.22                                    от 06.09.22                                         от 07.09.22                                        от 09.09.22                                  03.10.2022                                  от 02.12.2022            </t>
  </si>
  <si>
    <t xml:space="preserve">205000                                    +491000                                +410000                                       +272891                                       +390000                                   +335000                                        +390000                                           +380000                                        +390000                                   </t>
  </si>
  <si>
    <r>
      <rPr>
        <b/>
        <sz val="11"/>
        <rFont val="Times New Roman"/>
        <family val="1"/>
        <charset val="204"/>
      </rPr>
      <t xml:space="preserve">ООО "Стройинвест"   </t>
    </r>
    <r>
      <rPr>
        <b/>
        <sz val="11"/>
        <rFont val="Times New Roman"/>
        <family val="1"/>
        <charset val="204"/>
      </rPr>
      <t xml:space="preserve">                        г. Москва,  ул. Подъемная,  дом 2 </t>
    </r>
  </si>
  <si>
    <t>Поставка лифта  г/п 1000 кг Итоалия Moris</t>
  </si>
  <si>
    <t>570000 + 74550евро (4780824,14)</t>
  </si>
  <si>
    <r>
      <t xml:space="preserve">Содимас </t>
    </r>
    <r>
      <rPr>
        <b/>
        <sz val="12"/>
        <color rgb="FFFF0000"/>
        <rFont val="Times New Roman"/>
        <family val="1"/>
        <charset val="204"/>
      </rPr>
      <t>НЕТ ДОГОВОРА</t>
    </r>
  </si>
  <si>
    <t>только заплатили - перенос на 23г.</t>
  </si>
  <si>
    <t>перенести от дог.№ дог. № СС -255/22   от 22.08.2022</t>
  </si>
  <si>
    <t>Монтаж и пусконаладка оборудования диспетчерского контроля</t>
  </si>
  <si>
    <t>от 01.12.2022</t>
  </si>
  <si>
    <t>от 30.11.22</t>
  </si>
  <si>
    <t>ШЛЗ</t>
  </si>
  <si>
    <t>Поставка двух лифтов г/п 1000 кг</t>
  </si>
  <si>
    <t xml:space="preserve">от 12.07.21        </t>
  </si>
  <si>
    <t>Договор № 262/22 от 05.12.2022</t>
  </si>
  <si>
    <t>Дойхен Дмитрий Юрьевич</t>
  </si>
  <si>
    <t>Лифт BKG малый грузовой на 2 оствновки  горки 21</t>
  </si>
  <si>
    <t xml:space="preserve">20 недель </t>
  </si>
  <si>
    <t>390 000 руб
15220 евро</t>
  </si>
  <si>
    <t xml:space="preserve">                                21.03.2022</t>
  </si>
  <si>
    <t xml:space="preserve">от 01.06.2022 </t>
  </si>
  <si>
    <t>10/22</t>
  </si>
  <si>
    <r>
      <t>Саядан</t>
    </r>
    <r>
      <rPr>
        <sz val="11"/>
        <rFont val="Times New Roman"/>
        <family val="1"/>
        <charset val="204"/>
      </rPr>
      <t xml:space="preserve"> Дог. № С -239/21  от 26.04.2021 г.</t>
    </r>
    <r>
      <rPr>
        <sz val="11"/>
        <color rgb="FFFF0000"/>
        <rFont val="Times New Roman"/>
        <family val="1"/>
        <charset val="204"/>
      </rPr>
      <t xml:space="preserve">  на согласовании -закрыт в 2021г</t>
    </r>
  </si>
  <si>
    <r>
      <t xml:space="preserve">от 08.08.18   от 14.01.19              от 06.02.19                            от 21.05.19                    </t>
    </r>
    <r>
      <rPr>
        <sz val="11"/>
        <color rgb="FFFF0000"/>
        <rFont val="Times New Roman"/>
        <family val="1"/>
        <charset val="204"/>
      </rPr>
      <t xml:space="preserve">от 10.09.19                    11.12.19  -закрыты по решению суда </t>
    </r>
  </si>
  <si>
    <t>Исправить дату</t>
  </si>
  <si>
    <t>перенос от  дог.со Стройинвест</t>
  </si>
  <si>
    <t>перенести на  договор 1425/22 от 23.05.2022 -(252/22)-Ланит интеграция</t>
  </si>
  <si>
    <r>
      <t>Хуторецкая</t>
    </r>
    <r>
      <rPr>
        <sz val="11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 xml:space="preserve">                            дог.№С 12/10-2020 от 16.11.2020                         </t>
    </r>
    <r>
      <rPr>
        <b/>
        <sz val="11"/>
        <rFont val="Times New Roman"/>
        <family val="1"/>
        <charset val="204"/>
      </rPr>
      <t xml:space="preserve"> сб. и пром и ВТБ              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на согласовании</t>
    </r>
  </si>
  <si>
    <t>проверено - сделать акты</t>
  </si>
  <si>
    <t>проверено - переделать акты и дог.</t>
  </si>
  <si>
    <t xml:space="preserve">29.12.21          27.12.21                                               </t>
  </si>
  <si>
    <t xml:space="preserve">28.04.2021                                     от 27.05.2021                       от 27.05.2021                      </t>
  </si>
  <si>
    <t xml:space="preserve">248800                                +201200                                             +248800                        </t>
  </si>
  <si>
    <r>
      <t xml:space="preserve">от 19.02.21                                                от 25.02.21                                                            от 01.03.21                                                      01.03.21                                   от 05.03.21                             от 12.03.21                               от 16.03.21                              от 17.03.21                                                                                                                                              от 18.03.21                                             от 02.04 .21                                           от 15.04.21                              16.04.21                                  23.04.21                                          26.04.21                                                    от 17.05.21                          от 01.06.2021                                           от 05.07.2021                                                     от 22.07.2021сб.                                                 29.07                                            03.08.21                               04.08.21                                   +11.08.21                                     от 19.08.2021                                                  от 24.08.2021                                  от 26.08.21                               от 31.08.21                                                          03.09.21                                           07.09.21                                   21.09.21                                           23/09/21                                                 07.10.21                                   08.10.21                                12/10/21                                                        11.11.21                   12.11.21               </t>
    </r>
    <r>
      <rPr>
        <b/>
        <sz val="10"/>
        <color rgb="FF00B050"/>
        <rFont val="Times New Roman"/>
        <family val="1"/>
        <charset val="204"/>
      </rPr>
      <t xml:space="preserve">  </t>
    </r>
    <r>
      <rPr>
        <b/>
        <sz val="10"/>
        <color rgb="FF00B050"/>
        <rFont val="Times New Roman"/>
        <family val="1"/>
        <charset val="204"/>
      </rPr>
      <t>08.12.21</t>
    </r>
    <r>
      <rPr>
        <b/>
        <sz val="10"/>
        <color rgb="FF00B050"/>
        <rFont val="Times New Roman"/>
        <family val="1"/>
        <charset val="204"/>
      </rPr>
      <t xml:space="preserve">  </t>
    </r>
    <r>
      <rPr>
        <b/>
        <sz val="10"/>
        <color rgb="FF7030A0"/>
        <rFont val="Times New Roman"/>
        <family val="1"/>
        <charset val="204"/>
      </rPr>
      <t xml:space="preserve">                      10.12.21                   </t>
    </r>
    <r>
      <rPr>
        <b/>
        <sz val="10"/>
        <color rgb="FF00B050"/>
        <rFont val="Times New Roman"/>
        <family val="1"/>
        <charset val="204"/>
      </rPr>
      <t>15.12.21</t>
    </r>
    <r>
      <rPr>
        <b/>
        <sz val="10"/>
        <color rgb="FF7030A0"/>
        <rFont val="Times New Roman"/>
        <family val="1"/>
        <charset val="204"/>
      </rPr>
      <t xml:space="preserve">                       16.12.21                    20.01.22                   </t>
    </r>
    <r>
      <rPr>
        <b/>
        <sz val="10"/>
        <color rgb="FF00B050"/>
        <rFont val="Times New Roman"/>
        <family val="1"/>
        <charset val="204"/>
      </rPr>
      <t xml:space="preserve">26.01.22                              07.02.22      </t>
    </r>
  </si>
  <si>
    <t>110100                                   +212200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+55500                             +64500                                    +271000                        +183300                  +166700                     +333400                  +87000                                                +55600                              +333400                                      +80000                               +210000                                    +220000                                                    +155600                                                 +222200                            +111100                            +111200                                        +344170                          +160000                                        +191800                                      +222230                                                  +66700                                            +241700                                        +222300                                 +91400                                            +92300-39230</t>
  </si>
  <si>
    <t xml:space="preserve"> =39230                             +170000                                 +55600                               +224500                                 +289000                                +55500                              +60970</t>
  </si>
  <si>
    <r>
      <t xml:space="preserve">375000   </t>
    </r>
    <r>
      <rPr>
        <sz val="11"/>
        <color rgb="FF00B050"/>
        <rFont val="Times New Roman"/>
        <family val="1"/>
        <charset val="204"/>
      </rPr>
      <t xml:space="preserve">                                               </t>
    </r>
    <r>
      <rPr>
        <sz val="11"/>
        <rFont val="Times New Roman"/>
        <family val="1"/>
        <charset val="204"/>
      </rPr>
      <t xml:space="preserve">  +</t>
    </r>
    <r>
      <rPr>
        <sz val="11"/>
        <color rgb="FFFF0000"/>
        <rFont val="Times New Roman"/>
        <family val="1"/>
        <charset val="204"/>
      </rPr>
      <t>395000                                         +110000</t>
    </r>
  </si>
  <si>
    <r>
      <t xml:space="preserve">от 03.10.2022                           </t>
    </r>
    <r>
      <rPr>
        <sz val="11"/>
        <color rgb="FF00B050"/>
        <rFont val="Times New Roman"/>
        <family val="1"/>
        <charset val="204"/>
      </rPr>
      <t xml:space="preserve">   </t>
    </r>
    <r>
      <rPr>
        <sz val="11"/>
        <color rgb="FFFF0000"/>
        <rFont val="Times New Roman"/>
        <family val="1"/>
        <charset val="204"/>
      </rPr>
      <t>от 19.10.22                                       от 02.12.22 -?</t>
    </r>
  </si>
  <si>
    <r>
      <t xml:space="preserve">375000       </t>
    </r>
    <r>
      <rPr>
        <sz val="11"/>
        <color rgb="FF00B050"/>
        <rFont val="Times New Roman"/>
        <family val="1"/>
        <charset val="204"/>
      </rPr>
      <t xml:space="preserve">                                              </t>
    </r>
    <r>
      <rPr>
        <sz val="11"/>
        <rFont val="Times New Roman"/>
        <family val="1"/>
        <charset val="204"/>
      </rPr>
      <t xml:space="preserve">  +</t>
    </r>
    <r>
      <rPr>
        <sz val="11"/>
        <color rgb="FFFF0000"/>
        <rFont val="Times New Roman"/>
        <family val="1"/>
        <charset val="204"/>
      </rPr>
      <t>395000                                         +110000</t>
    </r>
  </si>
  <si>
    <r>
      <t xml:space="preserve">от 03.10.2022                      </t>
    </r>
    <r>
      <rPr>
        <sz val="11"/>
        <color rgb="FF00B050"/>
        <rFont val="Times New Roman"/>
        <family val="1"/>
        <charset val="204"/>
      </rPr>
      <t xml:space="preserve">                          </t>
    </r>
    <r>
      <rPr>
        <sz val="11"/>
        <color rgb="FFFF0000"/>
        <rFont val="Times New Roman"/>
        <family val="1"/>
        <charset val="204"/>
      </rPr>
      <t>от 19.10.22                                       от 02.12.22-?</t>
    </r>
  </si>
  <si>
    <t>Переход на 2023 г.</t>
  </si>
  <si>
    <r>
      <t>от 03.09.21 - Кузнецов по Сбербанку -подписан и оплачен</t>
    </r>
    <r>
      <rPr>
        <b/>
        <sz val="14"/>
        <color rgb="FFFF0000"/>
        <rFont val="Times New Roman"/>
        <family val="1"/>
        <charset val="204"/>
      </rPr>
      <t xml:space="preserve"> нет акта и Дог.</t>
    </r>
  </si>
  <si>
    <t>449500                              +230500                        +482920                            +211800</t>
  </si>
  <si>
    <t>от 18.10.22                                  от 20.10.22                           от 11.11.2022                           от 15.11.2022</t>
  </si>
  <si>
    <t>156750</t>
  </si>
  <si>
    <t>Работы по аварийному ремонту лифта рег.298418288 на территории АО "Лужники"по адресу: г. Москва, ул. Лужники, д.24, стр.4</t>
  </si>
  <si>
    <r>
      <t xml:space="preserve">Дог.№2022/444-п от 21.11.2022 </t>
    </r>
    <r>
      <rPr>
        <b/>
        <sz val="9"/>
        <color rgb="FFFF0000"/>
        <rFont val="Arial"/>
        <family val="2"/>
        <charset val="204"/>
      </rPr>
      <t>-скан</t>
    </r>
  </si>
  <si>
    <t>проведению капитального ремонта (выборочный тип) Общежитие федерального государственного автономного образовательного учреждения высшего образования «Московский политехнический университет» (Московский Политех)  г. Москва, ул. Бориса Галушкина, д.9</t>
  </si>
  <si>
    <t>3093744,6                          1706255,40</t>
  </si>
  <si>
    <t xml:space="preserve">от 18.11.21                                       20/12/21  </t>
  </si>
  <si>
    <r>
      <rPr>
        <b/>
        <sz val="11"/>
        <rFont val="Times New Roman"/>
        <family val="1"/>
        <charset val="204"/>
      </rPr>
      <t xml:space="preserve">Хуторецкая     </t>
    </r>
    <r>
      <rPr>
        <sz val="11"/>
        <rFont val="Times New Roman"/>
        <family val="1"/>
        <charset val="204"/>
      </rPr>
      <t xml:space="preserve">                  Дог. № С2/65-ОК-44-21 </t>
    </r>
    <r>
      <rPr>
        <sz val="11"/>
        <color rgb="FF0070C0"/>
        <rFont val="Times New Roman"/>
        <family val="1"/>
        <charset val="204"/>
      </rPr>
      <t xml:space="preserve"> от</t>
    </r>
    <r>
      <rPr>
        <sz val="11"/>
        <color rgb="FF0070C0"/>
        <rFont val="Times New Roman"/>
        <family val="1"/>
        <charset val="204"/>
      </rPr>
      <t xml:space="preserve"> 09.12.21  </t>
    </r>
    <r>
      <rPr>
        <sz val="11"/>
        <color rgb="FFFF0000"/>
        <rFont val="Times New Roman"/>
        <family val="1"/>
        <charset val="204"/>
      </rPr>
      <t xml:space="preserve"> </t>
    </r>
  </si>
  <si>
    <r>
      <t xml:space="preserve">28.04.2021                             17.05.21                                       17.05.21                                         от 19.05.21                           от 26.05.21                              от 26.05.21                                     от 31.05.21                                     от 22.06.21                                   </t>
    </r>
    <r>
      <rPr>
        <b/>
        <sz val="11"/>
        <color rgb="FF0070C0"/>
        <rFont val="Times New Roman"/>
        <family val="1"/>
        <charset val="204"/>
      </rPr>
      <t xml:space="preserve">  </t>
    </r>
    <r>
      <rPr>
        <b/>
        <sz val="11"/>
        <color rgb="FF0070C0"/>
        <rFont val="Times New Roman"/>
        <family val="1"/>
        <charset val="204"/>
      </rPr>
      <t xml:space="preserve"> от 05.07.21  </t>
    </r>
    <r>
      <rPr>
        <b/>
        <sz val="11"/>
        <color rgb="FFFF0000"/>
        <rFont val="Times New Roman"/>
        <family val="1"/>
        <charset val="204"/>
      </rPr>
      <t xml:space="preserve">                            </t>
    </r>
    <r>
      <rPr>
        <b/>
        <sz val="11"/>
        <color rgb="FF00B050"/>
        <rFont val="Times New Roman"/>
        <family val="1"/>
        <charset val="204"/>
      </rPr>
      <t xml:space="preserve"> от 07.09.21                                                                     </t>
    </r>
    <r>
      <rPr>
        <b/>
        <sz val="11"/>
        <color rgb="FFFF0000"/>
        <rFont val="Times New Roman"/>
        <family val="1"/>
        <charset val="204"/>
      </rPr>
      <t xml:space="preserve">         от 25.11.2022                                 от 05.12.2022</t>
    </r>
  </si>
  <si>
    <r>
      <rPr>
        <sz val="11"/>
        <color rgb="FFFF0000"/>
        <rFont val="Times New Roman"/>
        <family val="1"/>
        <charset val="204"/>
      </rPr>
      <t xml:space="preserve">347000                                    +150000                                                      +91400                                             +150000                                             +54000                          +388900                                           +64500                                    +64500    </t>
    </r>
    <r>
      <rPr>
        <sz val="11"/>
        <color rgb="FF7030A0"/>
        <rFont val="Times New Roman"/>
        <family val="1"/>
        <charset val="204"/>
      </rPr>
      <t xml:space="preserve">    </t>
    </r>
    <r>
      <rPr>
        <sz val="11"/>
        <color rgb="FF0070C0"/>
        <rFont val="Times New Roman"/>
        <family val="1"/>
        <charset val="204"/>
      </rPr>
      <t xml:space="preserve">                                              +222200  </t>
    </r>
    <r>
      <rPr>
        <sz val="11"/>
        <color rgb="FF7030A0"/>
        <rFont val="Times New Roman"/>
        <family val="1"/>
        <charset val="204"/>
      </rPr>
      <t xml:space="preserve">                       </t>
    </r>
    <r>
      <rPr>
        <sz val="11"/>
        <color rgb="FF0070C0"/>
        <rFont val="Times New Roman"/>
        <family val="1"/>
        <charset val="204"/>
      </rPr>
      <t xml:space="preserve"> </t>
    </r>
    <r>
      <rPr>
        <sz val="11"/>
        <color rgb="FF00B050"/>
        <rFont val="Times New Roman"/>
        <family val="1"/>
        <charset val="204"/>
      </rPr>
      <t xml:space="preserve"> </t>
    </r>
    <r>
      <rPr>
        <sz val="11"/>
        <color rgb="FF7030A0"/>
        <rFont val="Times New Roman"/>
        <family val="1"/>
        <charset val="204"/>
      </rPr>
      <t xml:space="preserve">                         </t>
    </r>
    <r>
      <rPr>
        <sz val="11"/>
        <color rgb="FF00B050"/>
        <rFont val="Times New Roman"/>
        <family val="1"/>
        <charset val="204"/>
      </rPr>
      <t xml:space="preserve">   +320000                 </t>
    </r>
    <r>
      <rPr>
        <sz val="11"/>
        <color rgb="FFFF0000"/>
        <rFont val="Times New Roman"/>
        <family val="1"/>
        <charset val="204"/>
      </rPr>
      <t xml:space="preserve">                      +388900</t>
    </r>
  </si>
  <si>
    <t>Сделать акт КС на 388900 за 2022 г.</t>
  </si>
  <si>
    <t>03/22-10/22,</t>
  </si>
  <si>
    <t xml:space="preserve">от 01.12.22  </t>
  </si>
  <si>
    <t>Гос. Корпорация "Агенство по страхованию"</t>
  </si>
  <si>
    <r>
      <t>ИП Аванесян Джульетта Владимировна (</t>
    </r>
    <r>
      <rPr>
        <b/>
        <sz val="11"/>
        <rFont val="Times New Roman"/>
        <family val="1"/>
        <charset val="204"/>
      </rPr>
      <t>бывший Креати</t>
    </r>
    <r>
      <rPr>
        <b/>
        <sz val="11"/>
        <rFont val="Times New Roman"/>
        <family val="1"/>
        <charset val="204"/>
      </rPr>
      <t>в) -</t>
    </r>
    <r>
      <rPr>
        <b/>
        <sz val="11"/>
        <color rgb="FFFF0000"/>
        <rFont val="Times New Roman"/>
        <family val="1"/>
        <charset val="204"/>
      </rPr>
      <t xml:space="preserve"> лифт пока не работает</t>
    </r>
  </si>
  <si>
    <t>от 16.11.2022</t>
  </si>
  <si>
    <r>
      <t>Дог.№ 056/2022   от 28.06.2022</t>
    </r>
    <r>
      <rPr>
        <sz val="11"/>
        <color rgb="FFFF0000"/>
        <rFont val="Times New Roman"/>
        <family val="1"/>
        <charset val="204"/>
      </rPr>
      <t xml:space="preserve"> (262/22)              </t>
    </r>
    <r>
      <rPr>
        <sz val="11"/>
        <rFont val="Times New Roman"/>
        <family val="1"/>
        <charset val="204"/>
      </rPr>
      <t xml:space="preserve"> ДС №1 от 10.11.2022</t>
    </r>
  </si>
  <si>
    <t>243/21 от19.07.2021г.</t>
  </si>
  <si>
    <t>от 27.07.21</t>
  </si>
  <si>
    <r>
      <rPr>
        <sz val="11"/>
        <rFont val="Times New Roman"/>
        <family val="1"/>
        <charset val="204"/>
      </rPr>
      <t xml:space="preserve">восстановление и укрепление метал-каркасной  перегородки в  шахте лифтов по проекту заказчика,  восстановление работы лифтов  в ТСЖ «Алиса» </t>
    </r>
    <r>
      <rPr>
        <sz val="11"/>
        <color rgb="FFFF0000"/>
        <rFont val="Times New Roman"/>
        <family val="1"/>
        <charset val="204"/>
      </rPr>
      <t xml:space="preserve">  </t>
    </r>
    <r>
      <rPr>
        <b/>
        <sz val="11"/>
        <color rgb="FFFF0000"/>
        <rFont val="Times New Roman"/>
        <family val="1"/>
        <charset val="204"/>
      </rPr>
      <t>НЕТ ДОГОВОРА И АКТА</t>
    </r>
  </si>
  <si>
    <t>Обследование металлоконструкций разделительной стенки шахты лифта по адресу: г. Москва, Иваньковское ш., д. 5.</t>
  </si>
  <si>
    <t xml:space="preserve">услуги по эксплуатационно-техническому обслуживанию и содержанию объектов недвижимого и движимого имущества (включая помещения и оборудование), а также прилегающих территорий (далее по тексту – услуги), в соответствии с Техническим заданием </t>
  </si>
  <si>
    <t xml:space="preserve">01.01.2023 г. по 31.12.2023 </t>
  </si>
  <si>
    <t>ФГУП «ДС в ДФО» Управления делами Президента Российской Федерации (Внуково)</t>
  </si>
  <si>
    <t>от 09/12/22                    счет от 03/10</t>
  </si>
  <si>
    <t>2023 год</t>
  </si>
  <si>
    <t>50000                                       +100000                            +100000                                       +100000</t>
  </si>
  <si>
    <t>29.07.2022                                      09.09.2022                                             13.10.22                           30.12.22</t>
  </si>
  <si>
    <r>
      <t xml:space="preserve">Миносян </t>
    </r>
    <r>
      <rPr>
        <sz val="11"/>
        <rFont val="Times New Roman"/>
        <family val="1"/>
        <charset val="204"/>
      </rPr>
      <t>дог.№СМ-58-22-ЕП-44-2   от 15.02.2022</t>
    </r>
    <r>
      <rPr>
        <sz val="11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>на согласовании</t>
    </r>
  </si>
  <si>
    <r>
      <rPr>
        <b/>
        <sz val="11"/>
        <rFont val="Times New Roman"/>
        <family val="1"/>
        <charset val="204"/>
      </rPr>
      <t>МИНОСЯН</t>
    </r>
    <r>
      <rPr>
        <sz val="11"/>
        <rFont val="Times New Roman"/>
        <family val="1"/>
        <charset val="204"/>
      </rPr>
      <t xml:space="preserve">   Дог.№ С251 М/22 от 01.03.2022 </t>
    </r>
    <r>
      <rPr>
        <sz val="11"/>
        <color rgb="FFFF0000"/>
        <rFont val="Times New Roman"/>
        <family val="1"/>
        <charset val="204"/>
      </rPr>
      <t>на согласовании</t>
    </r>
  </si>
  <si>
    <t>проверено</t>
  </si>
  <si>
    <r>
      <t xml:space="preserve">проверено - </t>
    </r>
    <r>
      <rPr>
        <sz val="11"/>
        <color rgb="FFFF0000"/>
        <rFont val="Times New Roman"/>
        <family val="1"/>
        <charset val="204"/>
      </rPr>
      <t>переделать акты и дог.</t>
    </r>
  </si>
  <si>
    <t xml:space="preserve">Акты КС на 305000   от 16.08.2022        </t>
  </si>
  <si>
    <t>Замена домофона  и электролампы в зданиях МГППУ</t>
  </si>
  <si>
    <t>Дог.№345 от 01.11.2022</t>
  </si>
  <si>
    <t>от 30/11/22</t>
  </si>
  <si>
    <t>Кириченко - Клейменов</t>
  </si>
  <si>
    <t>оплачено</t>
  </si>
  <si>
    <t>ФГБОУ ВО МГППУ (психолого-педагогический)</t>
  </si>
  <si>
    <t xml:space="preserve">услуги по сопровождению больничных лифтов  </t>
  </si>
  <si>
    <t xml:space="preserve">01.01.2023 г.-31.12.2023 </t>
  </si>
  <si>
    <t>ПД и обор.</t>
  </si>
  <si>
    <r>
      <t>с</t>
    </r>
    <r>
      <rPr>
        <b/>
        <sz val="9"/>
        <rFont val="Times New Roman"/>
        <family val="1"/>
        <charset val="204"/>
      </rPr>
      <t xml:space="preserve"> 01.03.2020 </t>
    </r>
    <r>
      <rPr>
        <b/>
        <sz val="9"/>
        <rFont val="Times New Roman"/>
        <family val="1"/>
        <charset val="204"/>
      </rPr>
      <t xml:space="preserve">с продлением  </t>
    </r>
  </si>
  <si>
    <r>
      <t xml:space="preserve">Техническое обслуживание  лифта   г/п 1275 кг, эскалатора                                                                                                     </t>
    </r>
    <r>
      <rPr>
        <sz val="9"/>
        <color rgb="FF339966"/>
        <rFont val="Times New Roman"/>
        <family val="1"/>
        <charset val="204"/>
      </rPr>
      <t xml:space="preserve"> г.Москва, ул. Тушинская д.16 стр.2</t>
    </r>
  </si>
  <si>
    <t>Техническое обслуживание  лифта   г/п 1275 кг, эскалатора                                                                                                      г.Москва, ул. Тушинская д.16 стр.2</t>
  </si>
  <si>
    <r>
      <t xml:space="preserve">ООО "Ф-Клининг" </t>
    </r>
    <r>
      <rPr>
        <b/>
        <sz val="9"/>
        <color rgb="FFFF0000"/>
        <rFont val="Times New Roman"/>
        <family val="1"/>
        <charset val="204"/>
      </rPr>
      <t>(нет договора- обновить? )</t>
    </r>
    <r>
      <rPr>
        <b/>
        <sz val="9"/>
        <color rgb="FFFF0000"/>
        <rFont val="Times New Roman"/>
        <family val="1"/>
        <charset val="204"/>
      </rPr>
      <t xml:space="preserve"> перешел на Противовес</t>
    </r>
  </si>
  <si>
    <t>Дог. №265/23  от 19.01.2023</t>
  </si>
  <si>
    <t>Миносян  Дог.№СМ 052/2022 от 01.07.2022</t>
  </si>
  <si>
    <t>395000                                                +120000</t>
  </si>
  <si>
    <t xml:space="preserve">   от 05.10.22                                                      30.12.22</t>
  </si>
  <si>
    <r>
      <t xml:space="preserve">Миносян </t>
    </r>
    <r>
      <rPr>
        <sz val="11"/>
        <rFont val="Times New Roman"/>
        <family val="1"/>
        <charset val="204"/>
      </rPr>
      <t xml:space="preserve">дог.№СМ-2022/82-С от 09.08.2022    </t>
    </r>
    <r>
      <rPr>
        <sz val="11"/>
        <color rgb="FFFF0000"/>
        <rFont val="Times New Roman"/>
        <family val="1"/>
        <charset val="204"/>
      </rPr>
      <t>на согласовании</t>
    </r>
  </si>
  <si>
    <r>
      <t xml:space="preserve">от 03.10.2022                      </t>
    </r>
    <r>
      <rPr>
        <sz val="11"/>
        <color rgb="FF00B050"/>
        <rFont val="Times New Roman"/>
        <family val="1"/>
        <charset val="204"/>
      </rPr>
      <t xml:space="preserve">                          </t>
    </r>
    <r>
      <rPr>
        <sz val="11"/>
        <color rgb="FFFF0000"/>
        <rFont val="Times New Roman"/>
        <family val="1"/>
        <charset val="204"/>
      </rPr>
      <t>от 19.10.22                                       от 02.12.22</t>
    </r>
  </si>
  <si>
    <r>
      <t xml:space="preserve">Контракт                          №65-ОК-44-21                     от 14.02.2022                   </t>
    </r>
    <r>
      <rPr>
        <sz val="11"/>
        <color rgb="FFFF0000"/>
        <rFont val="Times New Roman"/>
        <family val="1"/>
        <charset val="204"/>
      </rPr>
      <t xml:space="preserve">ДС №1                       ДС №2                               </t>
    </r>
    <r>
      <rPr>
        <sz val="11"/>
        <rFont val="Times New Roman"/>
        <family val="1"/>
        <charset val="204"/>
      </rPr>
      <t>ДС №3 от 27.07.22</t>
    </r>
  </si>
  <si>
    <t>10/22-12/22</t>
  </si>
  <si>
    <t>599999,70           (199999,99 в мес.)</t>
  </si>
  <si>
    <t xml:space="preserve">ПАО "Туполев" </t>
  </si>
  <si>
    <r>
      <t xml:space="preserve">01.11.21 - </t>
    </r>
    <r>
      <rPr>
        <b/>
        <sz val="10"/>
        <color rgb="FFFF0000"/>
        <rFont val="Times New Roman"/>
        <family val="1"/>
        <charset val="204"/>
      </rPr>
      <t>01.11.24</t>
    </r>
  </si>
  <si>
    <r>
      <t xml:space="preserve">ГБУЗ «ГП № 219 ДЗМ» (Туберкулезный диспансер) 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-уведомл. Послано и ДС №1</t>
    </r>
  </si>
  <si>
    <r>
      <rPr>
        <b/>
        <sz val="11"/>
        <rFont val="Times New Roman"/>
        <family val="1"/>
        <charset val="204"/>
      </rPr>
      <t>Контракт № 326/22-ТБ</t>
    </r>
    <r>
      <rPr>
        <sz val="11"/>
        <rFont val="Times New Roman"/>
        <family val="1"/>
        <charset val="204"/>
      </rPr>
      <t xml:space="preserve">  от 09/12/2022</t>
    </r>
  </si>
  <si>
    <r>
      <rPr>
        <b/>
        <sz val="11"/>
        <rFont val="Times New Roman"/>
        <family val="1"/>
        <charset val="204"/>
      </rPr>
      <t>№ ТО-4/17</t>
    </r>
    <r>
      <rPr>
        <sz val="11"/>
        <rFont val="Times New Roman"/>
        <family val="1"/>
        <charset val="204"/>
      </rPr>
      <t xml:space="preserve"> от 01.11.2017 г.    ДС нет                           (ДС№2 НА Альфа банк) </t>
    </r>
    <r>
      <rPr>
        <sz val="11"/>
        <color rgb="FFFF0000"/>
        <rFont val="Times New Roman"/>
        <family val="1"/>
        <charset val="204"/>
      </rPr>
      <t>ДС №3 - с НДС с 2023г.</t>
    </r>
  </si>
  <si>
    <r>
      <t xml:space="preserve">№17592 от01.11.21                     </t>
    </r>
    <r>
      <rPr>
        <b/>
        <sz val="11"/>
        <color rgb="FFFF0000"/>
        <rFont val="Times New Roman"/>
        <family val="1"/>
        <charset val="204"/>
      </rPr>
      <t>(ДС№1 НА Альфа банк)    ДС №2 -переход на ОСНО</t>
    </r>
  </si>
  <si>
    <r>
      <t xml:space="preserve"> c 11/17 -11/18               </t>
    </r>
    <r>
      <rPr>
        <sz val="10"/>
        <color rgb="FFFF0000"/>
        <rFont val="Times New Roman"/>
        <family val="1"/>
        <charset val="204"/>
      </rPr>
      <t>с продлением</t>
    </r>
  </si>
  <si>
    <t>22000 в мес.                    (увеличина на НДС)</t>
  </si>
  <si>
    <t>об-е 45642,00   долларов США     СМР- 810 000,0</t>
  </si>
  <si>
    <t>2023 год (С НДС)</t>
  </si>
  <si>
    <t>ООО "ЛАНИТ-Интеграция" (С НДС)</t>
  </si>
  <si>
    <t>80% от ст-ти обор.</t>
  </si>
  <si>
    <t>Комплекс работ по изготовлению и монтажу на готовое основание лифтовых шахт, устройство обрамлений шахтных дверей по Объекту "ФГБУ культуры "Всеросийское музейное объединение "Государственная третьяковская галерея" строительство музейного комплекса Кадашевская набережная вл.№10 12/2 М Толмачевский пер. вл. №1-3 5-7</t>
  </si>
  <si>
    <t>Постака 3-х лифтов (Лифт пассажирский тип GROUP SJEC MRL (M300) г/п 1000кг) и эск эалатора(GROUP SJEC FEN 303-800)</t>
  </si>
  <si>
    <r>
      <rPr>
        <b/>
        <sz val="11"/>
        <rFont val="Times New Roman"/>
        <family val="1"/>
        <charset val="204"/>
      </rPr>
      <t xml:space="preserve">Миносян </t>
    </r>
    <r>
      <rPr>
        <sz val="11"/>
        <rFont val="Times New Roman"/>
        <family val="1"/>
        <charset val="204"/>
      </rPr>
      <t xml:space="preserve">     Дог. № СМ/1/051/2022   от 01.06.2022                      </t>
    </r>
    <r>
      <rPr>
        <sz val="11"/>
        <color rgb="FFFF0000"/>
        <rFont val="Times New Roman"/>
        <family val="1"/>
        <charset val="204"/>
      </rPr>
      <t>сделан. На согласовании</t>
    </r>
  </si>
  <si>
    <t xml:space="preserve">комплекс работ по проектированию, реконструкции лифтовой шахты, замене грузового лифта грузоподъемностью 500 кг с верхним машинным помещением производства ОАО «ЩЛЗ»  по адресу: г. Москва, ул. Уральская, д. 21 </t>
  </si>
  <si>
    <t>Дог.№ 250/22 от 12.12.2022</t>
  </si>
  <si>
    <t>9,10,11,12 мес.</t>
  </si>
  <si>
    <t>1-8 мес.</t>
  </si>
  <si>
    <r>
      <t xml:space="preserve"> Дог.№СМ 052/2022 от 01.07.2022                         </t>
    </r>
    <r>
      <rPr>
        <b/>
        <sz val="11"/>
        <color rgb="FFFF0000"/>
        <rFont val="Times New Roman"/>
        <family val="1"/>
        <charset val="204"/>
      </rPr>
      <t xml:space="preserve"> на согласовании</t>
    </r>
  </si>
  <si>
    <t>Установка пояса для крепления ДШ</t>
  </si>
  <si>
    <t>Окраска металлических поверхностей</t>
  </si>
  <si>
    <t>Очистка вручную стен шахты от пыли, грязи, cтарой краски</t>
  </si>
  <si>
    <t>Покраска стен водоэмульсионной краской</t>
  </si>
  <si>
    <t xml:space="preserve">Монтаж  люка </t>
  </si>
  <si>
    <t>Монтажные и электромонтажные работы  лифтового оборудования</t>
  </si>
  <si>
    <r>
      <rPr>
        <b/>
        <sz val="11"/>
        <rFont val="Times New Roman"/>
        <family val="1"/>
        <charset val="204"/>
      </rPr>
      <t xml:space="preserve">Пиунов                               </t>
    </r>
    <r>
      <rPr>
        <sz val="11"/>
        <rFont val="Times New Roman"/>
        <family val="1"/>
        <charset val="204"/>
      </rPr>
      <t xml:space="preserve">Дог.№ ПД-280_840.ЕП/22 от 29.03.2022             </t>
    </r>
    <r>
      <rPr>
        <sz val="11"/>
        <color rgb="FFFF0000"/>
        <rFont val="Times New Roman"/>
        <family val="1"/>
        <charset val="204"/>
      </rPr>
      <t xml:space="preserve">      на согласовании</t>
    </r>
  </si>
  <si>
    <t>Разработка рабочей документации на Строительство музейногокомплекса Кадашевская набережная вл.№10 12/2 М Толмачевский пер. вл. №1-3 5-7</t>
  </si>
  <si>
    <r>
      <rPr>
        <b/>
        <sz val="11"/>
        <rFont val="Times New Roman"/>
        <family val="1"/>
        <charset val="204"/>
      </rPr>
      <t>ПИУНОВ</t>
    </r>
    <r>
      <rPr>
        <sz val="11"/>
        <rFont val="Times New Roman"/>
        <family val="1"/>
        <charset val="204"/>
      </rPr>
      <t xml:space="preserve">                           Дог. № ПД249/21                        от 14.12.21 (</t>
    </r>
    <r>
      <rPr>
        <b/>
        <sz val="11"/>
        <rFont val="Times New Roman"/>
        <family val="1"/>
        <charset val="204"/>
      </rPr>
      <t>по Дог.31500</t>
    </r>
    <r>
      <rPr>
        <sz val="11"/>
        <rFont val="Times New Roman"/>
        <family val="1"/>
        <charset val="204"/>
      </rPr>
      <t xml:space="preserve">0) </t>
    </r>
    <r>
      <rPr>
        <sz val="11"/>
        <color rgb="FFFF0000"/>
        <rFont val="Times New Roman"/>
        <family val="1"/>
        <charset val="204"/>
      </rPr>
      <t>на согласовании</t>
    </r>
  </si>
  <si>
    <r>
      <rPr>
        <b/>
        <sz val="11"/>
        <rFont val="Times New Roman"/>
        <family val="1"/>
        <charset val="204"/>
      </rPr>
      <t>ПИУНОВ</t>
    </r>
    <r>
      <rPr>
        <sz val="11"/>
        <rFont val="Times New Roman"/>
        <family val="1"/>
        <charset val="204"/>
      </rPr>
      <t xml:space="preserve"> Дог. № ПД1425/22 от 24.05.22 </t>
    </r>
    <r>
      <rPr>
        <sz val="11"/>
        <color rgb="FFFF0000"/>
        <rFont val="Times New Roman"/>
        <family val="1"/>
        <charset val="204"/>
      </rPr>
      <t>на согласовании</t>
    </r>
  </si>
  <si>
    <r>
      <t xml:space="preserve">50000                       +50000                          </t>
    </r>
    <r>
      <rPr>
        <sz val="11"/>
        <color rgb="FF00B050"/>
        <rFont val="Times New Roman"/>
        <family val="1"/>
        <charset val="204"/>
      </rPr>
      <t xml:space="preserve">   </t>
    </r>
  </si>
  <si>
    <t xml:space="preserve">от 12.10.21                                 от 28.12.21                            </t>
  </si>
  <si>
    <r>
      <rPr>
        <b/>
        <sz val="11"/>
        <rFont val="Times New Roman"/>
        <family val="1"/>
        <charset val="204"/>
      </rPr>
      <t xml:space="preserve">Саядян </t>
    </r>
    <r>
      <rPr>
        <sz val="11"/>
        <rFont val="Times New Roman"/>
        <family val="1"/>
        <charset val="204"/>
      </rPr>
      <t xml:space="preserve">                                           Дог. С-24</t>
    </r>
    <r>
      <rPr>
        <sz val="11"/>
        <color rgb="FFFF0000"/>
        <rFont val="Times New Roman"/>
        <family val="1"/>
        <charset val="204"/>
      </rPr>
      <t>9</t>
    </r>
    <r>
      <rPr>
        <sz val="11"/>
        <rFont val="Times New Roman"/>
        <family val="1"/>
        <charset val="204"/>
      </rPr>
      <t xml:space="preserve">/1-21 от 26.12.2021 (с исправлением 1 на 9)             </t>
    </r>
  </si>
  <si>
    <r>
      <rPr>
        <b/>
        <sz val="9"/>
        <rFont val="Times New Roman"/>
        <family val="1"/>
        <charset val="204"/>
      </rPr>
      <t>№ ТО-4/17 от 01.11.2017 г.</t>
    </r>
    <r>
      <rPr>
        <b/>
        <sz val="8"/>
        <rFont val="Times New Roman"/>
        <family val="1"/>
        <charset val="204"/>
      </rPr>
      <t xml:space="preserve">    </t>
    </r>
    <r>
      <rPr>
        <b/>
        <sz val="8"/>
        <color rgb="FFFF0000"/>
        <rFont val="Times New Roman"/>
        <family val="1"/>
        <charset val="204"/>
      </rPr>
      <t xml:space="preserve">ДС нет   (ДС№2 НА Альфа банк)                                                          </t>
    </r>
    <r>
      <rPr>
        <b/>
        <sz val="8"/>
        <rFont val="Times New Roman"/>
        <family val="1"/>
        <charset val="204"/>
      </rPr>
      <t>ДС №3 от 29.12.2022</t>
    </r>
  </si>
  <si>
    <t>151 500,00   евро и 12145000,00                (8 955 000- СМР)</t>
  </si>
  <si>
    <t>от 23.09.22                                    от 13.12.2022</t>
  </si>
  <si>
    <r>
      <rPr>
        <sz val="11"/>
        <rFont val="Times New Roman"/>
        <family val="1"/>
        <charset val="204"/>
      </rPr>
      <t xml:space="preserve">144000,00                      </t>
    </r>
    <r>
      <rPr>
        <sz val="11"/>
        <rFont val="Times New Roman"/>
        <family val="1"/>
        <charset val="204"/>
      </rPr>
      <t xml:space="preserve">        +132461,95</t>
    </r>
  </si>
  <si>
    <t xml:space="preserve"> Договор №249/21 от 09.12.21   ДС.№1 от 30.01.2023     ДС №2 от                            ДС №3 от 30.01.2023</t>
  </si>
  <si>
    <t>Дог.№2022/56-П от 01.03.2022                                        ДС №1 от 03.02.2023</t>
  </si>
  <si>
    <t>02/22-12/22</t>
  </si>
  <si>
    <t xml:space="preserve">№ ТО 01/23от 28.12.21 (АЛЬФА-БАНК)                </t>
  </si>
  <si>
    <t>№ ТО 01/23от 28.12.21 (АЛЬФА-БАНК)                ДС №1 от 29.12.22</t>
  </si>
  <si>
    <t xml:space="preserve">Техническое обслуживание  лифтов  </t>
  </si>
  <si>
    <t>420000 в мес-ц</t>
  </si>
  <si>
    <r>
      <rPr>
        <b/>
        <sz val="9"/>
        <rFont val="Times New Roman"/>
        <family val="1"/>
        <charset val="204"/>
      </rPr>
      <t>с 01.03.2023 г.</t>
    </r>
    <r>
      <rPr>
        <b/>
        <sz val="9"/>
        <color rgb="FFFF0000"/>
        <rFont val="Times New Roman"/>
        <family val="1"/>
        <charset val="204"/>
      </rPr>
      <t xml:space="preserve"> с пролангацией</t>
    </r>
  </si>
  <si>
    <t>от 25.11.2022</t>
  </si>
  <si>
    <t>150000                              +100000</t>
  </si>
  <si>
    <t>08.11.2022                           14.02.23</t>
  </si>
  <si>
    <r>
      <rPr>
        <b/>
        <sz val="11"/>
        <rFont val="Times New Roman"/>
        <family val="1"/>
        <charset val="204"/>
      </rPr>
      <t>ПИУНОВ</t>
    </r>
    <r>
      <rPr>
        <sz val="11"/>
        <rFont val="Times New Roman"/>
        <family val="1"/>
        <charset val="204"/>
      </rPr>
      <t xml:space="preserve"> Дог. № ПД -2703/22 от 02.09.22  </t>
    </r>
    <r>
      <rPr>
        <b/>
        <sz val="14"/>
        <color rgb="FFFF0000"/>
        <rFont val="Times New Roman"/>
        <family val="1"/>
        <charset val="204"/>
      </rPr>
      <t>исправить акт и дог.</t>
    </r>
  </si>
  <si>
    <t xml:space="preserve">Акты  №1 на 250000 от 08.10.22                         </t>
  </si>
  <si>
    <t>9 мес.</t>
  </si>
  <si>
    <t>от           03.10.2022</t>
  </si>
  <si>
    <t>ООО "РПК" (Новониколино)</t>
  </si>
  <si>
    <t>Хуторецкая Дог.№ХТО-17592 от 29.12.22</t>
  </si>
  <si>
    <t>02/2022- 08/2022, 10/22-01/23</t>
  </si>
  <si>
    <r>
      <rPr>
        <b/>
        <sz val="11"/>
        <rFont val="Times New Roman"/>
        <family val="1"/>
        <charset val="204"/>
      </rPr>
      <t xml:space="preserve">Саядян   </t>
    </r>
    <r>
      <rPr>
        <sz val="11"/>
        <rFont val="Times New Roman"/>
        <family val="1"/>
        <charset val="204"/>
      </rPr>
      <t xml:space="preserve">   Дог. № СС -255/22   от 2</t>
    </r>
    <r>
      <rPr>
        <b/>
        <sz val="14"/>
        <color rgb="FFFF0000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 xml:space="preserve">.08.2022 </t>
    </r>
    <r>
      <rPr>
        <sz val="11"/>
        <color rgb="FFFF0000"/>
        <rFont val="Times New Roman"/>
        <family val="1"/>
        <charset val="204"/>
      </rPr>
      <t>на согласовании</t>
    </r>
  </si>
  <si>
    <t>156750 без НДС</t>
  </si>
  <si>
    <t>346800 без НДС</t>
  </si>
  <si>
    <r>
      <t xml:space="preserve">Дог. №  2022/338-п от </t>
    </r>
    <r>
      <rPr>
        <sz val="11"/>
        <color theme="1"/>
        <rFont val="Times New Roman"/>
        <family val="1"/>
        <charset val="204"/>
      </rPr>
      <t>02.09.2022</t>
    </r>
    <r>
      <rPr>
        <sz val="11"/>
        <color theme="1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 xml:space="preserve">(258/22) без НДС </t>
    </r>
  </si>
  <si>
    <r>
      <t>2022/320-П  от 23.08.2022</t>
    </r>
    <r>
      <rPr>
        <b/>
        <sz val="9"/>
        <color rgb="FFFF0000"/>
        <rFont val="Arial"/>
        <family val="2"/>
        <charset val="204"/>
      </rPr>
      <t xml:space="preserve"> (258/22) без НДС</t>
    </r>
  </si>
  <si>
    <t>от21/12/22</t>
  </si>
  <si>
    <t xml:space="preserve">перенести на договор СМ 052/2022 от 01.07.2022 </t>
  </si>
  <si>
    <t>Дог.№М-ТО/56-П от 01.11.2023</t>
  </si>
  <si>
    <t>Дог.№М-ТО/57-П от 01.11.2023</t>
  </si>
  <si>
    <r>
      <t xml:space="preserve">СТО/2-6.12-22   от </t>
    </r>
    <r>
      <rPr>
        <sz val="9"/>
        <color rgb="FFFF0000"/>
        <rFont val="Times New Roman"/>
        <family val="1"/>
        <charset val="204"/>
      </rPr>
      <t>12.07.2022</t>
    </r>
  </si>
  <si>
    <r>
      <t xml:space="preserve">Миносян                                  </t>
    </r>
    <r>
      <rPr>
        <b/>
        <sz val="9"/>
        <rFont val="Times New Roman"/>
        <family val="1"/>
        <charset val="204"/>
      </rPr>
      <t xml:space="preserve"> </t>
    </r>
    <r>
      <rPr>
        <b/>
        <sz val="9"/>
        <color rgb="FFFF0000"/>
        <rFont val="Times New Roman"/>
        <family val="1"/>
        <charset val="204"/>
      </rPr>
      <t xml:space="preserve">  на согласовании</t>
    </r>
  </si>
  <si>
    <t>184400                            +111200</t>
  </si>
  <si>
    <t>20.02.2023                                02.03.2023</t>
  </si>
  <si>
    <r>
      <t xml:space="preserve">320000                          +176600                                       </t>
    </r>
    <r>
      <rPr>
        <sz val="11"/>
        <color rgb="FF7030A0"/>
        <rFont val="Times New Roman"/>
        <family val="1"/>
        <charset val="204"/>
      </rPr>
      <t xml:space="preserve"> +222200                             </t>
    </r>
  </si>
  <si>
    <t xml:space="preserve">320000                          +176600                                        +222200                             </t>
  </si>
  <si>
    <t xml:space="preserve">28.04.2021  недоплата за 2021 г. перенос оплатаы на сумму 243400 от дог. № СТО-525/21  </t>
  </si>
  <si>
    <r>
      <rPr>
        <b/>
        <sz val="11"/>
        <color rgb="FFFF0000"/>
        <rFont val="Times New Roman"/>
        <family val="1"/>
        <charset val="204"/>
      </rPr>
      <t>Акт КС на 1643400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 xml:space="preserve">                              от 08.05.21-200000                                       от 30.11.21-243400                           от 09.12.21-1200000</t>
    </r>
  </si>
  <si>
    <t xml:space="preserve">от 28.04.21                                      от 10.12.21                                              от 29.12.21                                          от 18.07.22                                                     от27.07.22             </t>
  </si>
  <si>
    <t>200000                                  +300000                              +455800                                             +386500                                  +301100</t>
  </si>
  <si>
    <t>Переделать договор и акты</t>
  </si>
  <si>
    <r>
      <rPr>
        <b/>
        <sz val="11"/>
        <rFont val="Times New Roman"/>
        <family val="1"/>
        <charset val="204"/>
      </rPr>
      <t>Саядян</t>
    </r>
    <r>
      <rPr>
        <sz val="11"/>
        <color rgb="FFFF0000"/>
        <rFont val="Times New Roman"/>
        <family val="1"/>
        <charset val="204"/>
      </rPr>
      <t xml:space="preserve">                                           </t>
    </r>
    <r>
      <rPr>
        <sz val="11"/>
        <rFont val="Times New Roman"/>
        <family val="1"/>
        <charset val="204"/>
      </rPr>
      <t>Дог. № С -240/21  от 28.04.2021 г</t>
    </r>
    <r>
      <rPr>
        <sz val="11"/>
        <color rgb="FFFF0000"/>
        <rFont val="Times New Roman"/>
        <family val="1"/>
        <charset val="204"/>
      </rPr>
      <t>.                            на согласовании</t>
    </r>
  </si>
  <si>
    <t>282100                                      +386500                 +555700                                              +567800                                     +540500                              +583100                                   +345000                                        +337100                                  +338000</t>
  </si>
  <si>
    <r>
      <rPr>
        <b/>
        <sz val="11"/>
        <rFont val="Times New Roman"/>
        <family val="1"/>
        <charset val="204"/>
      </rPr>
      <t>Саядян</t>
    </r>
    <r>
      <rPr>
        <sz val="11"/>
        <rFont val="Times New Roman"/>
        <family val="1"/>
        <charset val="204"/>
      </rPr>
      <t xml:space="preserve">      Дог. № С/1/65-ОК-44/21 от 18.02.2022     </t>
    </r>
    <r>
      <rPr>
        <sz val="11"/>
        <color rgb="FFFF0000"/>
        <rFont val="Times New Roman"/>
        <family val="1"/>
        <charset val="204"/>
      </rPr>
      <t xml:space="preserve"> на согласовании</t>
    </r>
  </si>
  <si>
    <r>
      <rPr>
        <b/>
        <sz val="14"/>
        <color rgb="FF0070C0"/>
        <rFont val="Times New Roman"/>
        <family val="1"/>
        <charset val="204"/>
      </rPr>
      <t>3508030- ?</t>
    </r>
    <r>
      <rPr>
        <sz val="11"/>
        <color rgb="FF0070C0"/>
        <rFont val="Times New Roman"/>
        <family val="1"/>
        <charset val="204"/>
      </rPr>
      <t xml:space="preserve"> по новой проводке</t>
    </r>
  </si>
  <si>
    <r>
      <t xml:space="preserve">перенос на дог. №СТО/1-6/12-21                         </t>
    </r>
    <r>
      <rPr>
        <b/>
        <sz val="11"/>
        <color rgb="FF00B050"/>
        <rFont val="Times New Roman"/>
        <family val="1"/>
        <charset val="204"/>
      </rPr>
      <t>перенос от дог.№ СТО/1-6/12-21</t>
    </r>
  </si>
  <si>
    <r>
      <t xml:space="preserve">350000                          +240000                                      +8000                                 +527000                                         +3840200                               </t>
    </r>
    <r>
      <rPr>
        <sz val="11"/>
        <color rgb="FFFF0000"/>
        <rFont val="Times New Roman"/>
        <family val="1"/>
        <charset val="204"/>
      </rPr>
      <t>+252000</t>
    </r>
  </si>
  <si>
    <r>
      <t xml:space="preserve">от 17.06.2019                                   от 22.09.2021                                            от 11.10.2021                                     от 15.02.2022                                от 16.05.2022                          </t>
    </r>
    <r>
      <rPr>
        <sz val="11"/>
        <color rgb="FFFF0000"/>
        <rFont val="Times New Roman"/>
        <family val="1"/>
        <charset val="204"/>
      </rPr>
      <t xml:space="preserve">      от 15.12.222</t>
    </r>
  </si>
  <si>
    <t>КС-2.1 от 16.03   КС-2.2 от 16.05                       КС-3.3  от 19.07</t>
  </si>
  <si>
    <t>841683                     1602008                              820200</t>
  </si>
  <si>
    <t>акт КС от 12.05</t>
  </si>
  <si>
    <r>
      <rPr>
        <b/>
        <sz val="11"/>
        <rFont val="Times New Roman"/>
        <family val="1"/>
        <charset val="204"/>
      </rPr>
      <t>Миносян</t>
    </r>
    <r>
      <rPr>
        <sz val="11"/>
        <rFont val="Times New Roman"/>
        <family val="1"/>
        <charset val="204"/>
      </rPr>
      <t xml:space="preserve"> Дог.№ СМ 251/22 от 01.06.2022</t>
    </r>
    <r>
      <rPr>
        <sz val="11"/>
        <color rgb="FFFF0000"/>
        <rFont val="Times New Roman"/>
        <family val="1"/>
        <charset val="204"/>
      </rPr>
      <t xml:space="preserve"> на согласовании</t>
    </r>
  </si>
  <si>
    <t>ЗАКРЫТ актом на 3459500</t>
  </si>
  <si>
    <t>01/21-11/21</t>
  </si>
  <si>
    <t>02/22-11/22</t>
  </si>
  <si>
    <t xml:space="preserve"> 01/17-08/17 , 10/17,                                    01/18 - 07/18, 09/18, 10/18                                    01/19-11/19                                  01/20-12/20                                         01/21-11/21</t>
  </si>
  <si>
    <t>01/23</t>
  </si>
  <si>
    <t>Подписан-ные акты . По 2022г.</t>
  </si>
  <si>
    <t>63000 от 05/22                   34500 от 06.06.22</t>
  </si>
  <si>
    <t>ДС №3 от 25.04.22           ДС №4 от 01.06.22</t>
  </si>
  <si>
    <r>
      <t>№ ТО-189/17                    от</t>
    </r>
    <r>
      <rPr>
        <b/>
        <sz val="10"/>
        <color rgb="FFFF0000"/>
        <rFont val="Arial"/>
        <family val="2"/>
        <charset val="204"/>
      </rPr>
      <t xml:space="preserve"> 26.12.16  </t>
    </r>
    <r>
      <rPr>
        <b/>
        <sz val="10"/>
        <rFont val="Arial"/>
        <family val="2"/>
        <charset val="204"/>
      </rPr>
      <t xml:space="preserve">                     ДС №1 от 29.12.17         </t>
    </r>
  </si>
  <si>
    <t>Диспетчерское (операторское) обслуживание лифтов на объектах  АО "Лужники" по адресам: г. Москва, ул. Лужники, д.24 ,стр. 3, 6 7 9, 11 15, 17, 18, 20, 38 Новолужнецкий пр-д, д.15 д.9 стр. 4 5 6</t>
  </si>
  <si>
    <r>
      <t>03/22-12/22</t>
    </r>
    <r>
      <rPr>
        <sz val="11"/>
        <color rgb="FFFF0000"/>
        <rFont val="Arial"/>
        <family val="2"/>
        <charset val="204"/>
      </rPr>
      <t xml:space="preserve">,     </t>
    </r>
  </si>
  <si>
    <r>
      <t>03/22-12/22</t>
    </r>
    <r>
      <rPr>
        <sz val="11"/>
        <color rgb="FFFF0000"/>
        <rFont val="Arial"/>
        <family val="2"/>
        <charset val="204"/>
      </rPr>
      <t xml:space="preserve">   </t>
    </r>
  </si>
  <si>
    <t>02/2022- 12/2022</t>
  </si>
  <si>
    <r>
      <rPr>
        <b/>
        <sz val="11"/>
        <rFont val="Times New Roman"/>
        <family val="1"/>
        <charset val="204"/>
      </rPr>
      <t xml:space="preserve">Саядян     </t>
    </r>
    <r>
      <rPr>
        <sz val="11"/>
        <rFont val="Times New Roman"/>
        <family val="1"/>
        <charset val="204"/>
      </rPr>
      <t xml:space="preserve">                                   </t>
    </r>
    <r>
      <rPr>
        <sz val="11"/>
        <color rgb="FFFF0000"/>
        <rFont val="Times New Roman"/>
        <family val="1"/>
        <charset val="204"/>
      </rPr>
      <t xml:space="preserve">   </t>
    </r>
    <r>
      <rPr>
        <sz val="11"/>
        <rFont val="Times New Roman"/>
        <family val="1"/>
        <charset val="204"/>
      </rPr>
      <t xml:space="preserve">Дог. № С1 -242/21  от 24.09.2021 г.  </t>
    </r>
    <r>
      <rPr>
        <b/>
        <sz val="11"/>
        <color rgb="FFFF0000"/>
        <rFont val="Times New Roman"/>
        <family val="1"/>
        <charset val="204"/>
      </rPr>
      <t>ЗАКРЫТ</t>
    </r>
  </si>
  <si>
    <t>Дог. № СТО/1-6/12-21 от 28.12.2021</t>
  </si>
  <si>
    <r>
      <t xml:space="preserve">23.11.21                                         25.11.21                              29.11.21                    </t>
    </r>
    <r>
      <rPr>
        <b/>
        <sz val="10"/>
        <color rgb="FF7030A0"/>
        <rFont val="Times New Roman"/>
        <family val="1"/>
        <charset val="204"/>
      </rPr>
      <t xml:space="preserve"> </t>
    </r>
    <r>
      <rPr>
        <b/>
        <sz val="10"/>
        <color rgb="FF0070C0"/>
        <rFont val="Times New Roman"/>
        <family val="1"/>
        <charset val="204"/>
      </rPr>
      <t>08.12.21</t>
    </r>
    <r>
      <rPr>
        <b/>
        <sz val="10"/>
        <color rgb="FF7030A0"/>
        <rFont val="Times New Roman"/>
        <family val="1"/>
        <charset val="204"/>
      </rPr>
      <t xml:space="preserve"> </t>
    </r>
    <r>
      <rPr>
        <b/>
        <sz val="10"/>
        <color rgb="FFFF0000"/>
        <rFont val="Times New Roman"/>
        <family val="1"/>
        <charset val="204"/>
      </rPr>
      <t xml:space="preserve">                                10.12.2021                          </t>
    </r>
    <r>
      <rPr>
        <b/>
        <sz val="10"/>
        <color rgb="FF0070C0"/>
        <rFont val="Times New Roman"/>
        <family val="1"/>
        <charset val="204"/>
      </rPr>
      <t xml:space="preserve">          15.12.21    </t>
    </r>
    <r>
      <rPr>
        <b/>
        <sz val="10"/>
        <color rgb="FFFF0000"/>
        <rFont val="Times New Roman"/>
        <family val="1"/>
        <charset val="204"/>
      </rPr>
      <t xml:space="preserve">                            27.12.21                                           29.12.21                                      29.12.21                                   29.12.21                              29.12.21                        </t>
    </r>
    <r>
      <rPr>
        <b/>
        <sz val="10"/>
        <color rgb="FF002060"/>
        <rFont val="Times New Roman"/>
        <family val="1"/>
        <charset val="204"/>
      </rPr>
      <t xml:space="preserve">  </t>
    </r>
    <r>
      <rPr>
        <b/>
        <sz val="10"/>
        <color rgb="FFFF0000"/>
        <rFont val="Times New Roman"/>
        <family val="1"/>
        <charset val="204"/>
      </rPr>
      <t xml:space="preserve">                          </t>
    </r>
    <r>
      <rPr>
        <b/>
        <sz val="10"/>
        <color rgb="FF0070C0"/>
        <rFont val="Times New Roman"/>
        <family val="1"/>
        <charset val="204"/>
      </rPr>
      <t xml:space="preserve">26.01.22        </t>
    </r>
    <r>
      <rPr>
        <b/>
        <sz val="10"/>
        <color rgb="FFFF0000"/>
        <rFont val="Times New Roman"/>
        <family val="1"/>
        <charset val="204"/>
      </rPr>
      <t xml:space="preserve">    </t>
    </r>
    <r>
      <rPr>
        <b/>
        <sz val="10"/>
        <color rgb="FF7030A0"/>
        <rFont val="Times New Roman"/>
        <family val="1"/>
        <charset val="204"/>
      </rPr>
      <t xml:space="preserve"> </t>
    </r>
    <r>
      <rPr>
        <b/>
        <sz val="10"/>
        <color rgb="FF00B050"/>
        <rFont val="Times New Roman"/>
        <family val="1"/>
        <charset val="204"/>
      </rPr>
      <t xml:space="preserve">                 </t>
    </r>
    <r>
      <rPr>
        <b/>
        <sz val="10"/>
        <color rgb="FF0070C0"/>
        <rFont val="Times New Roman"/>
        <family val="1"/>
        <charset val="204"/>
      </rPr>
      <t xml:space="preserve">        07.02.22     </t>
    </r>
    <r>
      <rPr>
        <b/>
        <sz val="10"/>
        <rFont val="Times New Roman"/>
        <family val="1"/>
        <charset val="204"/>
      </rPr>
      <t xml:space="preserve">  </t>
    </r>
    <r>
      <rPr>
        <b/>
        <sz val="10"/>
        <color rgb="FFFF0000"/>
        <rFont val="Times New Roman"/>
        <family val="1"/>
        <charset val="204"/>
      </rPr>
      <t xml:space="preserve">        </t>
    </r>
    <r>
      <rPr>
        <b/>
        <sz val="10"/>
        <color rgb="FF7030A0"/>
        <rFont val="Times New Roman"/>
        <family val="1"/>
        <charset val="204"/>
      </rPr>
      <t xml:space="preserve">                                           18.02.2022 </t>
    </r>
    <r>
      <rPr>
        <b/>
        <sz val="10"/>
        <color rgb="FFFF0000"/>
        <rFont val="Times New Roman"/>
        <family val="1"/>
        <charset val="204"/>
      </rPr>
      <t xml:space="preserve">                            14.02.22                              28.02.22                               от 01.03.2022     </t>
    </r>
    <r>
      <rPr>
        <b/>
        <sz val="10"/>
        <color rgb="FFFF0000"/>
        <rFont val="Times New Roman"/>
        <family val="1"/>
        <charset val="204"/>
      </rPr>
      <t xml:space="preserve">                                02.08.22</t>
    </r>
    <r>
      <rPr>
        <b/>
        <sz val="10"/>
        <color rgb="FFFF0000"/>
        <rFont val="Times New Roman"/>
        <family val="1"/>
        <charset val="204"/>
      </rPr>
      <t xml:space="preserve">                                                     16.08.22                                             17.08.22                                   18.08.22</t>
    </r>
  </si>
  <si>
    <r>
      <rPr>
        <sz val="11"/>
        <color rgb="FF7030A0"/>
        <rFont val="Times New Roman"/>
        <family val="1"/>
        <charset val="204"/>
      </rPr>
      <t>от 08.02.2022                             от 25.04.2022</t>
    </r>
    <r>
      <rPr>
        <sz val="11"/>
        <rFont val="Times New Roman"/>
        <family val="1"/>
        <charset val="204"/>
      </rPr>
      <t xml:space="preserve">              </t>
    </r>
    <r>
      <rPr>
        <sz val="11"/>
        <color rgb="FF7030A0"/>
        <rFont val="Times New Roman"/>
        <family val="1"/>
        <charset val="204"/>
      </rPr>
      <t xml:space="preserve"> от 25.05.22   </t>
    </r>
    <r>
      <rPr>
        <sz val="11"/>
        <rFont val="Times New Roman"/>
        <family val="1"/>
        <charset val="204"/>
      </rPr>
      <t xml:space="preserve">                                      </t>
    </r>
    <r>
      <rPr>
        <sz val="11"/>
        <color rgb="FFFF0000"/>
        <rFont val="Times New Roman"/>
        <family val="1"/>
        <charset val="204"/>
      </rPr>
      <t xml:space="preserve">    от 08.02.2023             </t>
    </r>
    <r>
      <rPr>
        <sz val="11"/>
        <rFont val="Times New Roman"/>
        <family val="1"/>
        <charset val="204"/>
      </rPr>
      <t xml:space="preserve">     </t>
    </r>
    <r>
      <rPr>
        <sz val="11"/>
        <color rgb="FF7030A0"/>
        <rFont val="Times New Roman"/>
        <family val="1"/>
        <charset val="204"/>
      </rPr>
      <t xml:space="preserve"> от 09.09.22  </t>
    </r>
    <r>
      <rPr>
        <sz val="11"/>
        <rFont val="Times New Roman"/>
        <family val="1"/>
        <charset val="204"/>
      </rPr>
      <t xml:space="preserve">                               </t>
    </r>
    <r>
      <rPr>
        <sz val="11"/>
        <color rgb="FF00B050"/>
        <rFont val="Times New Roman"/>
        <family val="1"/>
        <charset val="204"/>
      </rPr>
      <t xml:space="preserve">   от 20.02.23                                      от 21.02.23                  от 22.02.23                                 </t>
    </r>
    <r>
      <rPr>
        <sz val="11"/>
        <color rgb="FFFF0000"/>
        <rFont val="Times New Roman"/>
        <family val="1"/>
        <charset val="204"/>
      </rPr>
      <t xml:space="preserve">  от 13.03.23                                от 14.03.23</t>
    </r>
  </si>
  <si>
    <r>
      <rPr>
        <sz val="10"/>
        <color rgb="FFFF0000"/>
        <rFont val="Times New Roman"/>
        <family val="1"/>
        <charset val="204"/>
      </rPr>
      <t xml:space="preserve">340000                      +144500                                     +70000                  </t>
    </r>
    <r>
      <rPr>
        <sz val="10"/>
        <color rgb="FF0070C0"/>
        <rFont val="Times New Roman"/>
        <family val="1"/>
        <charset val="204"/>
      </rPr>
      <t xml:space="preserve">       +39230 </t>
    </r>
    <r>
      <rPr>
        <sz val="10"/>
        <color rgb="FFFF0000"/>
        <rFont val="Times New Roman"/>
        <family val="1"/>
        <charset val="204"/>
      </rPr>
      <t xml:space="preserve">                                 +333600                                  </t>
    </r>
    <r>
      <rPr>
        <sz val="10"/>
        <color rgb="FF0070C0"/>
        <rFont val="Times New Roman"/>
        <family val="1"/>
        <charset val="204"/>
      </rPr>
      <t xml:space="preserve"> +55600 </t>
    </r>
    <r>
      <rPr>
        <sz val="10"/>
        <color rgb="FFFF0000"/>
        <rFont val="Times New Roman"/>
        <family val="1"/>
        <charset val="204"/>
      </rPr>
      <t xml:space="preserve">                              + 261680                                 +9720                         +170280                             +248800                                               +166700                                                           </t>
    </r>
    <r>
      <rPr>
        <sz val="10"/>
        <color rgb="FF0070C0"/>
        <rFont val="Times New Roman"/>
        <family val="1"/>
        <charset val="204"/>
      </rPr>
      <t xml:space="preserve">+55500                                  +60970 </t>
    </r>
    <r>
      <rPr>
        <sz val="10"/>
        <color rgb="FF002060"/>
        <rFont val="Times New Roman"/>
        <family val="1"/>
        <charset val="204"/>
      </rPr>
      <t xml:space="preserve">   </t>
    </r>
    <r>
      <rPr>
        <sz val="10"/>
        <color rgb="FFFF0000"/>
        <rFont val="Times New Roman"/>
        <family val="1"/>
        <charset val="204"/>
      </rPr>
      <t xml:space="preserve">                                                  </t>
    </r>
    <r>
      <rPr>
        <sz val="10"/>
        <color rgb="FF7030A0"/>
        <rFont val="Times New Roman"/>
        <family val="1"/>
        <charset val="204"/>
      </rPr>
      <t xml:space="preserve"> +75300</t>
    </r>
    <r>
      <rPr>
        <sz val="10"/>
        <color rgb="FFFF0000"/>
        <rFont val="Times New Roman"/>
        <family val="1"/>
        <charset val="204"/>
      </rPr>
      <t xml:space="preserve">                                  +609700                                      +211100                               +166700   </t>
    </r>
    <r>
      <rPr>
        <sz val="10"/>
        <color rgb="FFFF0000"/>
        <rFont val="Times New Roman"/>
        <family val="1"/>
        <charset val="204"/>
      </rPr>
      <t xml:space="preserve">                            +333400 </t>
    </r>
    <r>
      <rPr>
        <sz val="10"/>
        <color rgb="FFC00000"/>
        <rFont val="Times New Roman"/>
        <family val="1"/>
        <charset val="204"/>
      </rPr>
      <t xml:space="preserve">                                   +166700                                              +166700                                                +333400</t>
    </r>
  </si>
  <si>
    <r>
      <rPr>
        <sz val="11"/>
        <rFont val="Times New Roman"/>
        <family val="1"/>
        <charset val="204"/>
      </rPr>
      <t xml:space="preserve">  </t>
    </r>
    <r>
      <rPr>
        <sz val="11"/>
        <color rgb="FF7030A0"/>
        <rFont val="Times New Roman"/>
        <family val="1"/>
        <charset val="204"/>
      </rPr>
      <t xml:space="preserve">             </t>
    </r>
    <r>
      <rPr>
        <sz val="11"/>
        <color rgb="FF0070C0"/>
        <rFont val="Times New Roman"/>
        <family val="1"/>
        <charset val="204"/>
      </rPr>
      <t xml:space="preserve">перенос от дог.№СТО-525/1/4.11-21 </t>
    </r>
    <r>
      <rPr>
        <sz val="11"/>
        <color rgb="FF7030A0"/>
        <rFont val="Times New Roman"/>
        <family val="1"/>
        <charset val="204"/>
      </rPr>
      <t xml:space="preserve">  </t>
    </r>
    <r>
      <rPr>
        <sz val="11"/>
        <color rgb="FF0070C0"/>
        <rFont val="Times New Roman"/>
        <family val="1"/>
        <charset val="204"/>
      </rPr>
      <t xml:space="preserve"> (211300)   </t>
    </r>
    <r>
      <rPr>
        <sz val="11"/>
        <color rgb="FF7030A0"/>
        <rFont val="Times New Roman"/>
        <family val="1"/>
        <charset val="204"/>
      </rPr>
      <t xml:space="preserve">               </t>
    </r>
    <r>
      <rPr>
        <sz val="11"/>
        <color rgb="FF00B050"/>
        <rFont val="Times New Roman"/>
        <family val="1"/>
        <charset val="204"/>
      </rPr>
      <t xml:space="preserve"> </t>
    </r>
    <r>
      <rPr>
        <sz val="11"/>
        <color rgb="FF7030A0"/>
        <rFont val="Times New Roman"/>
        <family val="1"/>
        <charset val="204"/>
      </rPr>
      <t xml:space="preserve">       75300 от 18.02 22 перенос от 2022 г. -дог.№С241/2 от 14.02.2022</t>
    </r>
  </si>
  <si>
    <r>
      <rPr>
        <b/>
        <sz val="10"/>
        <color rgb="FF0070C0"/>
        <rFont val="Times New Roman"/>
        <family val="1"/>
        <charset val="204"/>
      </rPr>
      <t xml:space="preserve">перенесено от Офис девелопмент  на </t>
    </r>
    <r>
      <rPr>
        <b/>
        <sz val="10"/>
        <color rgb="FF0070C0"/>
        <rFont val="Times New Roman"/>
        <family val="1"/>
        <charset val="204"/>
      </rPr>
      <t>1479180</t>
    </r>
    <r>
      <rPr>
        <b/>
        <sz val="10"/>
        <color rgb="FF0070C0"/>
        <rFont val="Times New Roman"/>
        <family val="1"/>
        <charset val="204"/>
      </rPr>
      <t xml:space="preserve">  </t>
    </r>
    <r>
      <rPr>
        <b/>
        <sz val="10"/>
        <color rgb="FF00B050"/>
        <rFont val="Times New Roman"/>
        <family val="1"/>
        <charset val="204"/>
      </rPr>
      <t xml:space="preserve">          ПЕРЕНЕСТИ на ОФИС ДЕВЕЛОПМЕНТ              на</t>
    </r>
    <r>
      <rPr>
        <b/>
        <sz val="10"/>
        <color rgb="FF00B050"/>
        <rFont val="Times New Roman"/>
        <family val="1"/>
        <charset val="204"/>
      </rPr>
      <t xml:space="preserve"> 955100</t>
    </r>
  </si>
  <si>
    <t>450000                            +585000                                +375000                                 +325000                                  +285000                                          +215000</t>
  </si>
  <si>
    <t>от 03.06.2022                                            от 14.07.22                                       06.09.22                              09.09.22                               от 14.03.23                                 от 15.03.23</t>
  </si>
  <si>
    <r>
      <rPr>
        <b/>
        <sz val="11"/>
        <rFont val="Times New Roman"/>
        <family val="1"/>
        <charset val="204"/>
      </rPr>
      <t xml:space="preserve">Хуторецкая </t>
    </r>
    <r>
      <rPr>
        <sz val="11"/>
        <rFont val="Times New Roman"/>
        <family val="1"/>
        <charset val="204"/>
      </rPr>
      <t>Дог. №С2-242/21 от 01.11 21  ДС №1 от  02.08.22</t>
    </r>
  </si>
  <si>
    <t>110000                                          +112300                                   +72430                                          +166700                               +166700                                 +277800 -95657</t>
  </si>
  <si>
    <r>
      <t xml:space="preserve">15.02.21                                      25/02/2021   </t>
    </r>
    <r>
      <rPr>
        <sz val="9"/>
        <color rgb="FFFFC000"/>
        <rFont val="Arial"/>
        <family val="2"/>
        <charset val="204"/>
      </rPr>
      <t xml:space="preserve"> </t>
    </r>
    <r>
      <rPr>
        <sz val="9"/>
        <color rgb="FFFF0000"/>
        <rFont val="Arial"/>
        <family val="2"/>
        <charset val="204"/>
      </rPr>
      <t xml:space="preserve">                      </t>
    </r>
    <r>
      <rPr>
        <sz val="9"/>
        <color rgb="FF7030A0"/>
        <rFont val="Arial"/>
        <family val="2"/>
        <charset val="204"/>
      </rPr>
      <t xml:space="preserve">                                                                          </t>
    </r>
    <r>
      <rPr>
        <sz val="9"/>
        <color rgb="FFFF0000"/>
        <rFont val="Arial"/>
        <family val="2"/>
        <charset val="204"/>
      </rPr>
      <t>от 06.04.21</t>
    </r>
    <r>
      <rPr>
        <sz val="9"/>
        <color rgb="FF7030A0"/>
        <rFont val="Arial"/>
        <family val="2"/>
        <charset val="204"/>
      </rPr>
      <t xml:space="preserve"> </t>
    </r>
    <r>
      <rPr>
        <sz val="9"/>
        <color rgb="FFFF0000"/>
        <rFont val="Arial"/>
        <family val="2"/>
        <charset val="204"/>
      </rPr>
      <t xml:space="preserve">                                             02.06.21                                           12.07.21                                       04.08.21                                         11.08.21                                                         13.08.21                                                          19.08.21                                                    19.08.21                                                    26.08.21                                                           16.09.21                                                   21/09/21                                                 13.10.21                                                        20/10/21                                                 </t>
    </r>
    <r>
      <rPr>
        <sz val="9"/>
        <color rgb="FFFF0000"/>
        <rFont val="Arial"/>
        <family val="2"/>
        <charset val="204"/>
      </rPr>
      <t xml:space="preserve"> 08/12/21       </t>
    </r>
    <r>
      <rPr>
        <sz val="9"/>
        <color rgb="FFFF0000"/>
        <rFont val="Arial"/>
        <family val="2"/>
        <charset val="204"/>
      </rPr>
      <t xml:space="preserve">                                                                               </t>
    </r>
    <r>
      <rPr>
        <sz val="9"/>
        <color rgb="FF7030A0"/>
        <rFont val="Arial"/>
        <family val="2"/>
        <charset val="204"/>
      </rPr>
      <t xml:space="preserve"> 13.01.22                                                     14.01.22                                            07.02.22                                         10.03.22                                     11.03.22                                      22.03.22                                  23.12.22     </t>
    </r>
    <r>
      <rPr>
        <sz val="9"/>
        <color rgb="FFFF0000"/>
        <rFont val="Arial"/>
        <family val="2"/>
        <charset val="204"/>
      </rPr>
      <t xml:space="preserve">     23.12.2022               </t>
    </r>
    <r>
      <rPr>
        <sz val="9"/>
        <color rgb="FF00B050"/>
        <rFont val="Arial"/>
        <family val="2"/>
        <charset val="204"/>
      </rPr>
      <t xml:space="preserve">                               </t>
    </r>
  </si>
  <si>
    <t xml:space="preserve">Саядян- </t>
  </si>
  <si>
    <t>607677*8мес.</t>
  </si>
  <si>
    <r>
      <rPr>
        <sz val="9"/>
        <color rgb="FFFF0000"/>
        <rFont val="Arial"/>
        <family val="2"/>
        <charset val="204"/>
      </rPr>
      <t xml:space="preserve">288600                                        +210000                                                             +234510                                  +168900                              +300000                                      +87000                                               +178900                                      +100000                                     +91400                      +180000                                    +111200                                     +60940                                  +117800                               +204200                                   +125685                                   </t>
    </r>
    <r>
      <rPr>
        <sz val="9"/>
        <color rgb="FFFF0000"/>
        <rFont val="Arial"/>
        <family val="2"/>
        <charset val="204"/>
      </rPr>
      <t xml:space="preserve">     +130000 </t>
    </r>
    <r>
      <rPr>
        <sz val="9"/>
        <color rgb="FFFF0000"/>
        <rFont val="Arial"/>
        <family val="2"/>
        <charset val="204"/>
      </rPr>
      <t xml:space="preserve"> </t>
    </r>
    <r>
      <rPr>
        <sz val="9"/>
        <color rgb="FF7030A0"/>
        <rFont val="Arial"/>
        <family val="2"/>
        <charset val="204"/>
      </rPr>
      <t xml:space="preserve">                                             +110000                                          +112300                                   +72430                                          +166700                               +166700                                 +277800                                          +284500                        </t>
    </r>
    <r>
      <rPr>
        <sz val="9"/>
        <color rgb="FFFF0000"/>
        <rFont val="Arial"/>
        <family val="2"/>
        <charset val="204"/>
      </rPr>
      <t xml:space="preserve"> +66700 </t>
    </r>
    <r>
      <rPr>
        <sz val="9"/>
        <color rgb="FF7030A0"/>
        <rFont val="Arial"/>
        <family val="2"/>
        <charset val="204"/>
      </rPr>
      <t xml:space="preserve">               </t>
    </r>
    <r>
      <rPr>
        <sz val="9"/>
        <color rgb="FFFF0000"/>
        <rFont val="Arial"/>
        <family val="2"/>
        <charset val="204"/>
      </rPr>
      <t/>
    </r>
  </si>
  <si>
    <r>
      <rPr>
        <sz val="11"/>
        <color rgb="FF00B050"/>
        <rFont val="Times New Roman"/>
        <family val="1"/>
        <charset val="204"/>
      </rPr>
      <t xml:space="preserve">289000    </t>
    </r>
    <r>
      <rPr>
        <sz val="11"/>
        <color rgb="FFFF0000"/>
        <rFont val="Times New Roman"/>
        <family val="1"/>
        <charset val="204"/>
      </rPr>
      <t xml:space="preserve">        </t>
    </r>
    <r>
      <rPr>
        <sz val="11"/>
        <color rgb="FF00B050"/>
        <rFont val="Times New Roman"/>
        <family val="1"/>
        <charset val="204"/>
      </rPr>
      <t xml:space="preserve">            +180 030 </t>
    </r>
    <r>
      <rPr>
        <sz val="11"/>
        <color rgb="FF7030A0"/>
        <rFont val="Times New Roman"/>
        <family val="1"/>
        <charset val="204"/>
      </rPr>
      <t xml:space="preserve">  </t>
    </r>
    <r>
      <rPr>
        <sz val="11"/>
        <color rgb="FFFF0000"/>
        <rFont val="Times New Roman"/>
        <family val="1"/>
        <charset val="204"/>
      </rPr>
      <t xml:space="preserve">                  </t>
    </r>
    <r>
      <rPr>
        <sz val="11"/>
        <color rgb="FF00B050"/>
        <rFont val="Times New Roman"/>
        <family val="1"/>
        <charset val="204"/>
      </rPr>
      <t xml:space="preserve"> +166700     </t>
    </r>
    <r>
      <rPr>
        <sz val="11"/>
        <color rgb="FFFF0000"/>
        <rFont val="Times New Roman"/>
        <family val="1"/>
        <charset val="204"/>
      </rPr>
      <t xml:space="preserve">                                 +129000                           +92500                            +222300        </t>
    </r>
    <r>
      <rPr>
        <sz val="11"/>
        <color rgb="FF00B050"/>
        <rFont val="Times New Roman"/>
        <family val="1"/>
        <charset val="204"/>
      </rPr>
      <t xml:space="preserve">   </t>
    </r>
    <r>
      <rPr>
        <sz val="11"/>
        <color rgb="FFFF0000"/>
        <rFont val="Times New Roman"/>
        <family val="1"/>
        <charset val="204"/>
      </rPr>
      <t xml:space="preserve">                           +222300                                  </t>
    </r>
    <r>
      <rPr>
        <sz val="11"/>
        <color rgb="FF00B050"/>
        <rFont val="Times New Roman"/>
        <family val="1"/>
        <charset val="204"/>
      </rPr>
      <t xml:space="preserve">+288900 </t>
    </r>
    <r>
      <rPr>
        <sz val="11"/>
        <color rgb="FFFF0000"/>
        <rFont val="Times New Roman"/>
        <family val="1"/>
        <charset val="204"/>
      </rPr>
      <t xml:space="preserve">                                         +444500                           +124000                                     +172300                                </t>
    </r>
    <r>
      <rPr>
        <sz val="11"/>
        <color rgb="FFC00000"/>
        <rFont val="Times New Roman"/>
        <family val="1"/>
        <charset val="204"/>
      </rPr>
      <t xml:space="preserve">  +177800                                      +402300                            +320000                             +256500                                               +320000                            +235600</t>
    </r>
  </si>
  <si>
    <r>
      <rPr>
        <sz val="11"/>
        <color rgb="FF00B050"/>
        <rFont val="Times New Roman"/>
        <family val="1"/>
        <charset val="204"/>
      </rPr>
      <t xml:space="preserve">  20.01.22         </t>
    </r>
    <r>
      <rPr>
        <sz val="11"/>
        <color rgb="FFFF0000"/>
        <rFont val="Times New Roman"/>
        <family val="1"/>
        <charset val="204"/>
      </rPr>
      <t xml:space="preserve">                  </t>
    </r>
    <r>
      <rPr>
        <sz val="11"/>
        <color rgb="FF00B050"/>
        <rFont val="Times New Roman"/>
        <family val="1"/>
        <charset val="204"/>
      </rPr>
      <t xml:space="preserve">              03.06.2022    </t>
    </r>
    <r>
      <rPr>
        <sz val="11"/>
        <color rgb="FFFF0000"/>
        <rFont val="Times New Roman"/>
        <family val="1"/>
        <charset val="204"/>
      </rPr>
      <t xml:space="preserve">                            </t>
    </r>
    <r>
      <rPr>
        <sz val="11"/>
        <color rgb="FF00B050"/>
        <rFont val="Times New Roman"/>
        <family val="1"/>
        <charset val="204"/>
      </rPr>
      <t xml:space="preserve">  06.06.22   </t>
    </r>
    <r>
      <rPr>
        <sz val="11"/>
        <color rgb="FFFF0000"/>
        <rFont val="Times New Roman"/>
        <family val="1"/>
        <charset val="204"/>
      </rPr>
      <t xml:space="preserve">                      22.06.2022                                              06.07.22                      13.07.22                                   </t>
    </r>
    <r>
      <rPr>
        <sz val="11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 xml:space="preserve">                       14.07.22                         </t>
    </r>
    <r>
      <rPr>
        <sz val="11"/>
        <color rgb="FF00B050"/>
        <rFont val="Times New Roman"/>
        <family val="1"/>
        <charset val="204"/>
      </rPr>
      <t xml:space="preserve">  18.07.22 </t>
    </r>
    <r>
      <rPr>
        <sz val="11"/>
        <color rgb="FFFF0000"/>
        <rFont val="Times New Roman"/>
        <family val="1"/>
        <charset val="204"/>
      </rPr>
      <t xml:space="preserve">                                     27.07.22                                      04.08.22                                         08/09/2022                     </t>
    </r>
    <r>
      <rPr>
        <sz val="11"/>
        <color rgb="FFC00000"/>
        <rFont val="Times New Roman"/>
        <family val="1"/>
        <charset val="204"/>
      </rPr>
      <t xml:space="preserve">     25.01.23                 20.02.2023                                21.02.2023                              09.03.23                               от 13.03.23                                               от 14.03.23</t>
    </r>
  </si>
  <si>
    <r>
      <rPr>
        <b/>
        <sz val="12"/>
        <rFont val="Arial"/>
        <family val="2"/>
        <charset val="204"/>
      </rPr>
      <t xml:space="preserve">Хуторецкая       </t>
    </r>
    <r>
      <rPr>
        <b/>
        <sz val="9"/>
        <rFont val="Arial"/>
        <family val="2"/>
        <charset val="204"/>
      </rPr>
      <t xml:space="preserve">            </t>
    </r>
    <r>
      <rPr>
        <b/>
        <sz val="9"/>
        <color rgb="FFFF0000"/>
        <rFont val="Arial"/>
        <family val="2"/>
        <charset val="204"/>
      </rPr>
      <t xml:space="preserve">    закрыт в 2021 г. на сумму 2684792  </t>
    </r>
    <r>
      <rPr>
        <b/>
        <sz val="9"/>
        <color rgb="FF00B050"/>
        <rFont val="Arial"/>
        <family val="2"/>
        <charset val="204"/>
      </rPr>
      <t xml:space="preserve">                  </t>
    </r>
    <r>
      <rPr>
        <b/>
        <sz val="9"/>
        <rFont val="Arial"/>
        <family val="2"/>
        <charset val="204"/>
      </rPr>
      <t xml:space="preserve">  </t>
    </r>
    <r>
      <rPr>
        <b/>
        <sz val="9"/>
        <color rgb="FFFF0000"/>
        <rFont val="Arial"/>
        <family val="2"/>
        <charset val="204"/>
      </rPr>
      <t xml:space="preserve">          </t>
    </r>
  </si>
  <si>
    <r>
      <t xml:space="preserve">110000                                          +112300                            </t>
    </r>
    <r>
      <rPr>
        <sz val="9"/>
        <color rgb="FF00B050"/>
        <rFont val="Arial"/>
        <family val="2"/>
        <charset val="204"/>
      </rPr>
      <t xml:space="preserve"> +289000  </t>
    </r>
    <r>
      <rPr>
        <sz val="9"/>
        <rFont val="Arial"/>
        <family val="2"/>
        <charset val="204"/>
      </rPr>
      <t xml:space="preserve">                             +72430                                          </t>
    </r>
    <r>
      <rPr>
        <sz val="9"/>
        <color rgb="FF7030A0"/>
        <rFont val="Arial"/>
        <family val="2"/>
        <charset val="204"/>
      </rPr>
      <t xml:space="preserve">+166700   </t>
    </r>
    <r>
      <rPr>
        <sz val="9"/>
        <rFont val="Arial"/>
        <family val="2"/>
        <charset val="204"/>
      </rPr>
      <t xml:space="preserve">                            +166700                                 +277800                                </t>
    </r>
    <r>
      <rPr>
        <sz val="9"/>
        <color rgb="FF00B050"/>
        <rFont val="Arial"/>
        <family val="2"/>
        <charset val="204"/>
      </rPr>
      <t xml:space="preserve"> +180030                       </t>
    </r>
    <r>
      <rPr>
        <sz val="9"/>
        <color rgb="FF7030A0"/>
        <rFont val="Arial"/>
        <family val="2"/>
        <charset val="204"/>
      </rPr>
      <t xml:space="preserve">+166700   </t>
    </r>
    <r>
      <rPr>
        <sz val="9"/>
        <color rgb="FF00B050"/>
        <rFont val="Arial"/>
        <family val="2"/>
        <charset val="204"/>
      </rPr>
      <t xml:space="preserve">                                 +288900  </t>
    </r>
    <r>
      <rPr>
        <sz val="9"/>
        <rFont val="Arial"/>
        <family val="2"/>
        <charset val="204"/>
      </rPr>
      <t xml:space="preserve">                                +284500                         +66700</t>
    </r>
  </si>
  <si>
    <r>
      <t xml:space="preserve">13.01.22                                                     14.01.22                                </t>
    </r>
    <r>
      <rPr>
        <sz val="9"/>
        <color rgb="FF00B050"/>
        <rFont val="Arial"/>
        <family val="2"/>
        <charset val="204"/>
      </rPr>
      <t xml:space="preserve">   20.01.22  </t>
    </r>
    <r>
      <rPr>
        <sz val="9"/>
        <rFont val="Arial"/>
        <family val="2"/>
        <charset val="204"/>
      </rPr>
      <t xml:space="preserve">                       07.02.22                                         10.03.22                                     11.03.22                                      22.03.22                         </t>
    </r>
    <r>
      <rPr>
        <sz val="9"/>
        <color rgb="FF00B050"/>
        <rFont val="Arial"/>
        <family val="2"/>
        <charset val="204"/>
      </rPr>
      <t xml:space="preserve">  03.06.22                             </t>
    </r>
    <r>
      <rPr>
        <sz val="9"/>
        <color rgb="FF7030A0"/>
        <rFont val="Arial"/>
        <family val="2"/>
        <charset val="204"/>
      </rPr>
      <t xml:space="preserve">06.06.22 </t>
    </r>
    <r>
      <rPr>
        <sz val="9"/>
        <color rgb="FF00B050"/>
        <rFont val="Arial"/>
        <family val="2"/>
        <charset val="204"/>
      </rPr>
      <t xml:space="preserve">                          18.07.22     </t>
    </r>
    <r>
      <rPr>
        <sz val="9"/>
        <rFont val="Arial"/>
        <family val="2"/>
        <charset val="204"/>
      </rPr>
      <t xml:space="preserve">                   23.12.22          23.12.2022 </t>
    </r>
  </si>
  <si>
    <r>
      <t xml:space="preserve">перенос на сумму 92300-39230+55600+55500                 +60970 на Дог. №С2-242/21 от 01.11.21  </t>
    </r>
    <r>
      <rPr>
        <b/>
        <sz val="10"/>
        <color rgb="FF7030A0"/>
        <rFont val="Times New Roman"/>
        <family val="1"/>
        <charset val="204"/>
      </rPr>
      <t xml:space="preserve">перенос на Дог. №С2/65 - ОК-44-21 289000              </t>
    </r>
    <r>
      <rPr>
        <b/>
        <sz val="10"/>
        <rFont val="Times New Roman"/>
        <family val="1"/>
        <charset val="204"/>
      </rPr>
      <t xml:space="preserve">    ( 170000+224500) на дог.№ CТО-6/12-21.04/11</t>
    </r>
  </si>
  <si>
    <r>
      <t xml:space="preserve">110100                                   +212200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+55500                             +64500                                    +271000                        +183300                  +166700                     +333400                  +87000                                                +55600                              +333400                                      +80000                               +210000                                    +220000                                                    +155600                                                 +222200                            +111100                            +111200                                        +344170                          +160000                                        +191800                                      +222230                                                  +66700                                            +241700                                        +222300                                 +91400                      </t>
    </r>
    <r>
      <rPr>
        <sz val="10"/>
        <color rgb="FFFF0000"/>
        <rFont val="Times New Roman"/>
        <family val="1"/>
        <charset val="204"/>
      </rPr>
      <t>+92300</t>
    </r>
    <r>
      <rPr>
        <sz val="10"/>
        <color rgb="FFFF0000"/>
        <rFont val="Times New Roman"/>
        <family val="1"/>
        <charset val="204"/>
      </rPr>
      <t xml:space="preserve">                        </t>
    </r>
    <r>
      <rPr>
        <sz val="10"/>
        <rFont val="Times New Roman"/>
        <family val="1"/>
        <charset val="204"/>
      </rPr>
      <t xml:space="preserve">+170000  </t>
    </r>
    <r>
      <rPr>
        <sz val="10"/>
        <color rgb="FFFF0000"/>
        <rFont val="Times New Roman"/>
        <family val="1"/>
        <charset val="204"/>
      </rPr>
      <t xml:space="preserve">                               +55600                              </t>
    </r>
    <r>
      <rPr>
        <sz val="10"/>
        <rFont val="Times New Roman"/>
        <family val="1"/>
        <charset val="204"/>
      </rPr>
      <t xml:space="preserve"> +224500 </t>
    </r>
    <r>
      <rPr>
        <sz val="10"/>
        <color rgb="FFFF0000"/>
        <rFont val="Times New Roman"/>
        <family val="1"/>
        <charset val="204"/>
      </rPr>
      <t xml:space="preserve">                                 </t>
    </r>
    <r>
      <rPr>
        <sz val="10"/>
        <color rgb="FF7030A0"/>
        <rFont val="Times New Roman"/>
        <family val="1"/>
        <charset val="204"/>
      </rPr>
      <t xml:space="preserve">   +289000    </t>
    </r>
    <r>
      <rPr>
        <sz val="10"/>
        <color rgb="FFFF0000"/>
        <rFont val="Times New Roman"/>
        <family val="1"/>
        <charset val="204"/>
      </rPr>
      <t xml:space="preserve">                     +55500                              +60970</t>
    </r>
  </si>
  <si>
    <t xml:space="preserve">переносы от 2021г (289000),                             дог.№С2/65-ОК-44-21 </t>
  </si>
  <si>
    <r>
      <rPr>
        <sz val="11"/>
        <color rgb="FF00B050"/>
        <rFont val="Times New Roman"/>
        <family val="1"/>
        <charset val="204"/>
      </rPr>
      <t xml:space="preserve"> 289000   </t>
    </r>
    <r>
      <rPr>
        <sz val="11"/>
        <rFont val="Times New Roman"/>
        <family val="1"/>
        <charset val="204"/>
      </rPr>
      <t xml:space="preserve">                          </t>
    </r>
    <r>
      <rPr>
        <sz val="11"/>
        <color rgb="FF00B050"/>
        <rFont val="Times New Roman"/>
        <family val="1"/>
        <charset val="204"/>
      </rPr>
      <t xml:space="preserve">    +180030     </t>
    </r>
    <r>
      <rPr>
        <sz val="11"/>
        <rFont val="Times New Roman"/>
        <family val="1"/>
        <charset val="204"/>
      </rPr>
      <t xml:space="preserve">                            </t>
    </r>
    <r>
      <rPr>
        <sz val="11"/>
        <color rgb="FF00B050"/>
        <rFont val="Times New Roman"/>
        <family val="1"/>
        <charset val="204"/>
      </rPr>
      <t xml:space="preserve"> +166700                        </t>
    </r>
    <r>
      <rPr>
        <sz val="11"/>
        <rFont val="Times New Roman"/>
        <family val="1"/>
        <charset val="204"/>
      </rPr>
      <t xml:space="preserve">              +129000                           +92500                            +222300                                      +222300                                  </t>
    </r>
    <r>
      <rPr>
        <sz val="11"/>
        <color rgb="FF00B050"/>
        <rFont val="Times New Roman"/>
        <family val="1"/>
        <charset val="204"/>
      </rPr>
      <t xml:space="preserve">+288900      </t>
    </r>
    <r>
      <rPr>
        <sz val="11"/>
        <rFont val="Times New Roman"/>
        <family val="1"/>
        <charset val="204"/>
      </rPr>
      <t xml:space="preserve">                                    +444500                           +124000                        +172300 </t>
    </r>
  </si>
  <si>
    <r>
      <rPr>
        <sz val="10"/>
        <rFont val="Times New Roman"/>
        <family val="1"/>
        <charset val="204"/>
      </rPr>
      <t xml:space="preserve">243400  </t>
    </r>
    <r>
      <rPr>
        <sz val="10"/>
        <color rgb="FFFF0000"/>
        <rFont val="Times New Roman"/>
        <family val="1"/>
        <charset val="204"/>
      </rPr>
      <t xml:space="preserve">                              +243400                          +93700                                              </t>
    </r>
    <r>
      <rPr>
        <sz val="10"/>
        <color rgb="FF0070C0"/>
        <rFont val="Times New Roman"/>
        <family val="1"/>
        <charset val="204"/>
      </rPr>
      <t xml:space="preserve">+250300     </t>
    </r>
    <r>
      <rPr>
        <sz val="10"/>
        <color rgb="FFFF0000"/>
        <rFont val="Times New Roman"/>
        <family val="1"/>
        <charset val="204"/>
      </rPr>
      <t xml:space="preserve">                                     </t>
    </r>
    <r>
      <rPr>
        <sz val="10"/>
        <color rgb="FF0070C0"/>
        <rFont val="Times New Roman"/>
        <family val="1"/>
        <charset val="204"/>
      </rPr>
      <t xml:space="preserve">   +498480      </t>
    </r>
    <r>
      <rPr>
        <sz val="10"/>
        <color rgb="FFFF0000"/>
        <rFont val="Times New Roman"/>
        <family val="1"/>
        <charset val="204"/>
      </rPr>
      <t xml:space="preserve">                       +400420                                      +567800                                  +155080                                         </t>
    </r>
    <r>
      <rPr>
        <sz val="10"/>
        <color rgb="FF0070C0"/>
        <rFont val="Times New Roman"/>
        <family val="1"/>
        <charset val="204"/>
      </rPr>
      <t xml:space="preserve">+385000        </t>
    </r>
    <r>
      <rPr>
        <sz val="10"/>
        <color rgb="FFFF0000"/>
        <rFont val="Times New Roman"/>
        <family val="1"/>
        <charset val="204"/>
      </rPr>
      <t xml:space="preserve">                    +449500                                           +331300                                         +428880                                +300550                               +380000                                     +274550</t>
    </r>
  </si>
  <si>
    <r>
      <rPr>
        <sz val="10"/>
        <rFont val="Times New Roman"/>
        <family val="1"/>
        <charset val="204"/>
      </rPr>
      <t xml:space="preserve">170000                           +224500   </t>
    </r>
    <r>
      <rPr>
        <sz val="10"/>
        <color rgb="FF7030A0"/>
        <rFont val="Times New Roman"/>
        <family val="1"/>
        <charset val="204"/>
      </rPr>
      <t xml:space="preserve">                        +60970 </t>
    </r>
    <r>
      <rPr>
        <sz val="10"/>
        <color rgb="FF00B050"/>
        <rFont val="Times New Roman"/>
        <family val="1"/>
        <charset val="204"/>
      </rPr>
      <t xml:space="preserve">                                      +55660 </t>
    </r>
    <r>
      <rPr>
        <sz val="10"/>
        <color rgb="FF92D050"/>
        <rFont val="Times New Roman"/>
        <family val="1"/>
        <charset val="204"/>
      </rPr>
      <t xml:space="preserve">  </t>
    </r>
    <r>
      <rPr>
        <sz val="10"/>
        <color rgb="FFFF0000"/>
        <rFont val="Times New Roman"/>
        <family val="1"/>
        <charset val="204"/>
      </rPr>
      <t xml:space="preserve">                   +370600                                            +166700                                                     +124380                                                </t>
    </r>
    <r>
      <rPr>
        <sz val="10"/>
        <rFont val="Times New Roman"/>
        <family val="1"/>
        <charset val="204"/>
      </rPr>
      <t xml:space="preserve">  </t>
    </r>
    <r>
      <rPr>
        <sz val="10"/>
        <color rgb="FFFF0000"/>
        <rFont val="Times New Roman"/>
        <family val="1"/>
        <charset val="204"/>
      </rPr>
      <t xml:space="preserve">+220000                                       +175100       </t>
    </r>
    <r>
      <rPr>
        <sz val="10"/>
        <rFont val="Times New Roman"/>
        <family val="1"/>
        <charset val="204"/>
      </rPr>
      <t xml:space="preserve"> </t>
    </r>
    <r>
      <rPr>
        <sz val="10"/>
        <color rgb="FFFF0000"/>
        <rFont val="Times New Roman"/>
        <family val="1"/>
        <charset val="204"/>
      </rPr>
      <t xml:space="preserve">                    +111150                              +440500                                                     +166700                                      +372250                     </t>
    </r>
    <r>
      <rPr>
        <sz val="10"/>
        <color rgb="FF7030A0"/>
        <rFont val="Times New Roman"/>
        <family val="1"/>
        <charset val="204"/>
      </rPr>
      <t xml:space="preserve"> </t>
    </r>
    <r>
      <rPr>
        <sz val="10"/>
        <color rgb="FF0070C0"/>
        <rFont val="Times New Roman"/>
        <family val="1"/>
        <charset val="204"/>
      </rPr>
      <t>+129000                                     +92500                           +222300                             +222300                                   +124000</t>
    </r>
    <r>
      <rPr>
        <sz val="10"/>
        <color rgb="FF7030A0"/>
        <rFont val="Times New Roman"/>
        <family val="1"/>
        <charset val="204"/>
      </rPr>
      <t xml:space="preserve">  </t>
    </r>
    <r>
      <rPr>
        <sz val="10"/>
        <color rgb="FFFF0000"/>
        <rFont val="Times New Roman"/>
        <family val="1"/>
        <charset val="204"/>
      </rPr>
      <t xml:space="preserve"> +54000                                    </t>
    </r>
    <r>
      <rPr>
        <sz val="10"/>
        <color rgb="FF0070C0"/>
        <rFont val="Times New Roman"/>
        <family val="1"/>
        <charset val="204"/>
      </rPr>
      <t xml:space="preserve">   </t>
    </r>
    <r>
      <rPr>
        <sz val="10"/>
        <color rgb="FFFF0000"/>
        <rFont val="Times New Roman"/>
        <family val="1"/>
        <charset val="204"/>
      </rPr>
      <t xml:space="preserve">                                   +166700                                        +222300                           +230000                                        +137800                                                   +88900                                   +33400                                +166700                          +94800                                    +200000                             +160000                         +167000                                   +96000                    </t>
    </r>
    <r>
      <rPr>
        <sz val="10"/>
        <color rgb="FFFF0000"/>
        <rFont val="Times New Roman"/>
        <family val="1"/>
        <charset val="204"/>
      </rPr>
      <t xml:space="preserve">  +177800                     </t>
    </r>
    <r>
      <rPr>
        <sz val="10"/>
        <color rgb="FFC00000"/>
        <rFont val="Times New Roman"/>
        <family val="1"/>
        <charset val="204"/>
      </rPr>
      <t xml:space="preserve"> +402300                            +320000</t>
    </r>
  </si>
  <si>
    <r>
      <rPr>
        <b/>
        <sz val="10"/>
        <color rgb="FFFF0000"/>
        <rFont val="Times New Roman"/>
        <family val="1"/>
        <charset val="204"/>
      </rPr>
      <t xml:space="preserve">перенос        -уточнить             </t>
    </r>
    <r>
      <rPr>
        <b/>
        <sz val="10"/>
        <color rgb="FF002060"/>
        <rFont val="Times New Roman"/>
        <family val="1"/>
        <charset val="204"/>
      </rPr>
      <t xml:space="preserve"> от №СТО-525/1/4/11-21    </t>
    </r>
    <r>
      <rPr>
        <b/>
        <sz val="10"/>
        <color rgb="FFFF0000"/>
        <rFont val="Times New Roman"/>
        <family val="1"/>
        <charset val="204"/>
      </rPr>
      <t xml:space="preserve">                    </t>
    </r>
    <r>
      <rPr>
        <b/>
        <sz val="10"/>
        <color rgb="FF7030A0"/>
        <rFont val="Times New Roman"/>
        <family val="1"/>
        <charset val="204"/>
      </rPr>
      <t xml:space="preserve">        остаток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color rgb="FF7030A0"/>
        <rFont val="Times New Roman"/>
        <family val="1"/>
        <charset val="204"/>
      </rPr>
      <t xml:space="preserve">от дог. №С1/433-0139.44.ОК от 22.09.2021                        </t>
    </r>
    <r>
      <rPr>
        <b/>
        <sz val="10"/>
        <color rgb="FF00B050"/>
        <rFont val="Times New Roman"/>
        <family val="1"/>
        <charset val="204"/>
      </rPr>
      <t xml:space="preserve">    от КФС остаток дог. №СТО-212/20 от 29.12.20                                       </t>
    </r>
    <r>
      <rPr>
        <b/>
        <sz val="10"/>
        <color rgb="FF0070C0"/>
        <rFont val="Times New Roman"/>
        <family val="1"/>
        <charset val="204"/>
      </rPr>
      <t xml:space="preserve">от дог.№СХ 251/22            </t>
    </r>
    <r>
      <rPr>
        <b/>
        <sz val="10"/>
        <color rgb="FF0070C0"/>
        <rFont val="Times New Roman"/>
        <family val="1"/>
        <charset val="204"/>
      </rPr>
      <t xml:space="preserve">Перенести от дог.№С2/65-ОК-44-21 </t>
    </r>
    <r>
      <rPr>
        <b/>
        <sz val="10"/>
        <color rgb="FF0070C0"/>
        <rFont val="Times New Roman"/>
        <family val="1"/>
        <charset val="204"/>
      </rPr>
      <t xml:space="preserve">  </t>
    </r>
    <r>
      <rPr>
        <b/>
        <sz val="10"/>
        <color rgb="FF0070C0"/>
        <rFont val="Times New Roman"/>
        <family val="1"/>
        <charset val="204"/>
      </rPr>
      <t xml:space="preserve">  </t>
    </r>
    <r>
      <rPr>
        <b/>
        <sz val="10"/>
        <color rgb="FFC00000"/>
        <rFont val="Times New Roman"/>
        <family val="1"/>
        <charset val="204"/>
      </rPr>
      <t>Перенести на дог.№С2/65-ОК-44-21</t>
    </r>
  </si>
  <si>
    <r>
      <rPr>
        <b/>
        <sz val="10"/>
        <color rgb="FF002060"/>
        <rFont val="Times New Roman"/>
        <family val="1"/>
        <charset val="204"/>
      </rPr>
      <t xml:space="preserve">10/12/21                   16/12/21     </t>
    </r>
    <r>
      <rPr>
        <b/>
        <sz val="10"/>
        <color rgb="FFFF0000"/>
        <rFont val="Times New Roman"/>
        <family val="1"/>
        <charset val="204"/>
      </rPr>
      <t xml:space="preserve">                      </t>
    </r>
    <r>
      <rPr>
        <b/>
        <sz val="10"/>
        <color rgb="FF7030A0"/>
        <rFont val="Times New Roman"/>
        <family val="1"/>
        <charset val="204"/>
      </rPr>
      <t xml:space="preserve">от 31.01.2022      </t>
    </r>
    <r>
      <rPr>
        <b/>
        <sz val="10"/>
        <color rgb="FFFF0000"/>
        <rFont val="Times New Roman"/>
        <family val="1"/>
        <charset val="204"/>
      </rPr>
      <t xml:space="preserve">                  </t>
    </r>
    <r>
      <rPr>
        <b/>
        <sz val="10"/>
        <color rgb="FF00B050"/>
        <rFont val="Times New Roman"/>
        <family val="1"/>
        <charset val="204"/>
      </rPr>
      <t xml:space="preserve">  02.02.22</t>
    </r>
    <r>
      <rPr>
        <b/>
        <sz val="10"/>
        <color rgb="FFFF0000"/>
        <rFont val="Times New Roman"/>
        <family val="1"/>
        <charset val="204"/>
      </rPr>
      <t xml:space="preserve">                      от 14.02.2022                                                      от 04.03.2022                                14.03.22                                                             05.04.22                                                   20.04.22                                     05.05.22                                       12.05.2022                                     19.05.2022                                             24.05.2022                                 </t>
    </r>
    <r>
      <rPr>
        <b/>
        <sz val="10"/>
        <color rgb="FF7030A0"/>
        <rFont val="Times New Roman"/>
        <family val="1"/>
        <charset val="204"/>
      </rPr>
      <t xml:space="preserve"> </t>
    </r>
    <r>
      <rPr>
        <b/>
        <sz val="10"/>
        <color rgb="FF0070C0"/>
        <rFont val="Times New Roman"/>
        <family val="1"/>
        <charset val="204"/>
      </rPr>
      <t xml:space="preserve">от22.06                            06.07                        13.07                                14.07                            04.08 </t>
    </r>
    <r>
      <rPr>
        <b/>
        <sz val="10"/>
        <color rgb="FF7030A0"/>
        <rFont val="Times New Roman"/>
        <family val="1"/>
        <charset val="204"/>
      </rPr>
      <t xml:space="preserve"> </t>
    </r>
    <r>
      <rPr>
        <b/>
        <sz val="10"/>
        <color rgb="FF7030A0"/>
        <rFont val="Times New Roman"/>
        <family val="1"/>
        <charset val="204"/>
      </rPr>
      <t xml:space="preserve">     </t>
    </r>
    <r>
      <rPr>
        <b/>
        <sz val="10"/>
        <color rgb="FFFF0000"/>
        <rFont val="Times New Roman"/>
        <family val="1"/>
        <charset val="204"/>
      </rPr>
      <t xml:space="preserve">               08.09.2022                                                               18.10.22                                                     19.10.22                                  20.10.22                            24.10.22                                           02.12.22                                           от 05.12.22                                    07.12.22                                08.12.22                                    12.12.22                           13.12.22                                    23.12.22                                        30.12.22                     </t>
    </r>
    <r>
      <rPr>
        <b/>
        <sz val="10"/>
        <color rgb="FFC00000"/>
        <rFont val="Times New Roman"/>
        <family val="1"/>
        <charset val="204"/>
      </rPr>
      <t xml:space="preserve">  25.01.23                 20.02.2023                                21.02.2023</t>
    </r>
    <r>
      <rPr>
        <b/>
        <sz val="10"/>
        <color rgb="FFFF0000"/>
        <rFont val="Times New Roman"/>
        <family val="1"/>
        <charset val="204"/>
      </rPr>
      <t xml:space="preserve">                      </t>
    </r>
  </si>
  <si>
    <r>
      <rPr>
        <sz val="11"/>
        <color rgb="FFFF0000"/>
        <rFont val="Times New Roman"/>
        <family val="1"/>
        <charset val="204"/>
      </rPr>
      <t xml:space="preserve">от 08.02.2022   </t>
    </r>
    <r>
      <rPr>
        <sz val="11"/>
        <color rgb="FF7030A0"/>
        <rFont val="Times New Roman"/>
        <family val="1"/>
        <charset val="204"/>
      </rPr>
      <t xml:space="preserve">                          от 25.04.2022</t>
    </r>
    <r>
      <rPr>
        <sz val="11"/>
        <rFont val="Times New Roman"/>
        <family val="1"/>
        <charset val="204"/>
      </rPr>
      <t xml:space="preserve">              </t>
    </r>
    <r>
      <rPr>
        <sz val="11"/>
        <color rgb="FF7030A0"/>
        <rFont val="Times New Roman"/>
        <family val="1"/>
        <charset val="204"/>
      </rPr>
      <t xml:space="preserve"> от 25.05.22   </t>
    </r>
    <r>
      <rPr>
        <sz val="11"/>
        <rFont val="Times New Roman"/>
        <family val="1"/>
        <charset val="204"/>
      </rPr>
      <t xml:space="preserve">                                      </t>
    </r>
    <r>
      <rPr>
        <sz val="11"/>
        <color rgb="FFFF0000"/>
        <rFont val="Times New Roman"/>
        <family val="1"/>
        <charset val="204"/>
      </rPr>
      <t xml:space="preserve">    </t>
    </r>
    <r>
      <rPr>
        <sz val="11"/>
        <color rgb="FFFF0000"/>
        <rFont val="Times New Roman"/>
        <family val="1"/>
        <charset val="204"/>
      </rPr>
      <t>от 08.02.2023</t>
    </r>
    <r>
      <rPr>
        <sz val="11"/>
        <color rgb="FFFF0000"/>
        <rFont val="Times New Roman"/>
        <family val="1"/>
        <charset val="204"/>
      </rPr>
      <t xml:space="preserve">             </t>
    </r>
    <r>
      <rPr>
        <sz val="11"/>
        <rFont val="Times New Roman"/>
        <family val="1"/>
        <charset val="204"/>
      </rPr>
      <t xml:space="preserve">     </t>
    </r>
    <r>
      <rPr>
        <sz val="11"/>
        <color rgb="FF7030A0"/>
        <rFont val="Times New Roman"/>
        <family val="1"/>
        <charset val="204"/>
      </rPr>
      <t xml:space="preserve"> от 09.09.22  </t>
    </r>
    <r>
      <rPr>
        <sz val="11"/>
        <rFont val="Times New Roman"/>
        <family val="1"/>
        <charset val="204"/>
      </rPr>
      <t xml:space="preserve">                               </t>
    </r>
    <r>
      <rPr>
        <sz val="11"/>
        <color rgb="FF00B050"/>
        <rFont val="Times New Roman"/>
        <family val="1"/>
        <charset val="204"/>
      </rPr>
      <t xml:space="preserve"> </t>
    </r>
    <r>
      <rPr>
        <sz val="11"/>
        <color rgb="FF00B050"/>
        <rFont val="Times New Roman"/>
        <family val="1"/>
        <charset val="204"/>
      </rPr>
      <t xml:space="preserve">  от 20.02.23                                      от 21.02.23                  от 22.02.23                                 </t>
    </r>
    <r>
      <rPr>
        <sz val="11"/>
        <color rgb="FFFF0000"/>
        <rFont val="Times New Roman"/>
        <family val="1"/>
        <charset val="204"/>
      </rPr>
      <t xml:space="preserve">  от 13.03.23                                от 14.03.23</t>
    </r>
  </si>
  <si>
    <r>
      <rPr>
        <sz val="11"/>
        <color rgb="FF00B050"/>
        <rFont val="Times New Roman"/>
        <family val="1"/>
        <charset val="204"/>
      </rPr>
      <t xml:space="preserve">перенос на МНИТИ 2022   </t>
    </r>
    <r>
      <rPr>
        <sz val="11"/>
        <rFont val="Times New Roman"/>
        <family val="1"/>
        <charset val="204"/>
      </rPr>
      <t xml:space="preserve"> перенос остатка опл. от дог.№СТО-525/1.4.11-21   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7030A0"/>
        <rFont val="Times New Roman"/>
        <family val="1"/>
        <charset val="204"/>
      </rPr>
      <t xml:space="preserve"> перенос на СТО-6.12-21/04.11 </t>
    </r>
  </si>
  <si>
    <r>
      <t xml:space="preserve">перенос от 2021г.ТО за дек.                        </t>
    </r>
    <r>
      <rPr>
        <sz val="10"/>
        <rFont val="Times New Roman"/>
        <family val="1"/>
        <charset val="204"/>
      </rPr>
      <t xml:space="preserve"> от  04.03.22</t>
    </r>
    <r>
      <rPr>
        <sz val="10"/>
        <color rgb="FFFF0000"/>
        <rFont val="Times New Roman"/>
        <family val="1"/>
        <charset val="204"/>
      </rPr>
      <t xml:space="preserve">              </t>
    </r>
    <r>
      <rPr>
        <sz val="10"/>
        <rFont val="Times New Roman"/>
        <family val="1"/>
        <charset val="204"/>
      </rPr>
      <t xml:space="preserve">   04.03.22</t>
    </r>
    <r>
      <rPr>
        <sz val="10"/>
        <color rgb="FFFF0000"/>
        <rFont val="Times New Roman"/>
        <family val="1"/>
        <charset val="204"/>
      </rPr>
      <t xml:space="preserve">                           </t>
    </r>
    <r>
      <rPr>
        <sz val="10"/>
        <color rgb="FF0070C0"/>
        <rFont val="Times New Roman"/>
        <family val="1"/>
        <charset val="204"/>
      </rPr>
      <t xml:space="preserve">                           от 25.04.2022  </t>
    </r>
    <r>
      <rPr>
        <sz val="10"/>
        <color rgb="FFFF0000"/>
        <rFont val="Times New Roman"/>
        <family val="1"/>
        <charset val="204"/>
      </rPr>
      <t xml:space="preserve">                                                     </t>
    </r>
    <r>
      <rPr>
        <sz val="10"/>
        <color rgb="FF0070C0"/>
        <rFont val="Times New Roman"/>
        <family val="1"/>
        <charset val="204"/>
      </rPr>
      <t xml:space="preserve">от 25.05.22  </t>
    </r>
    <r>
      <rPr>
        <sz val="10"/>
        <color rgb="FFFF0000"/>
        <rFont val="Times New Roman"/>
        <family val="1"/>
        <charset val="204"/>
      </rPr>
      <t xml:space="preserve">                                   26.05.22                        от 28.07.2022                           от 06.09.22                         </t>
    </r>
    <r>
      <rPr>
        <sz val="10"/>
        <color rgb="FF0070C0"/>
        <rFont val="Times New Roman"/>
        <family val="1"/>
        <charset val="204"/>
      </rPr>
      <t xml:space="preserve">  от 09.09.22 </t>
    </r>
    <r>
      <rPr>
        <sz val="10"/>
        <rFont val="Times New Roman"/>
        <family val="1"/>
        <charset val="204"/>
      </rPr>
      <t xml:space="preserve">        </t>
    </r>
    <r>
      <rPr>
        <sz val="10"/>
        <color rgb="FFFF0000"/>
        <rFont val="Times New Roman"/>
        <family val="1"/>
        <charset val="204"/>
      </rPr>
      <t xml:space="preserve">                        от 19.10.22                                                     от 20.10.22                              от 14.11.2022                                 </t>
    </r>
    <r>
      <rPr>
        <sz val="10"/>
        <color rgb="FF00B050"/>
        <rFont val="Times New Roman"/>
        <family val="1"/>
        <charset val="204"/>
      </rPr>
      <t xml:space="preserve">     от 20.02.23                                      от 21.02.23                  от 22.02.23</t>
    </r>
  </si>
  <si>
    <t>Ремонт трех лифтов (зав. №exsu04495nj, № exsu04498nj,                                 № exsu04497nj) в здании НИУ ВШЭ   по адресу: г.Москва, ул.Таллинская дом 34</t>
  </si>
  <si>
    <t>№6.12-21/04.11-110722-3  от 11.07.2022</t>
  </si>
  <si>
    <t>№ 6.12-21/04.11-301122-2 от 30.11.2022</t>
  </si>
  <si>
    <t>от 28.02.23</t>
  </si>
  <si>
    <t>01/22 - 05/22 , 07/22-12/22</t>
  </si>
  <si>
    <t xml:space="preserve"> услуги по техническому обслуживанию системы объединенных диспетчерских систем и связанного с ними лифтового и инженерного оборудования </t>
  </si>
  <si>
    <r>
      <t>3940110 (в мес. 328342,50) с НДС</t>
    </r>
    <r>
      <rPr>
        <b/>
        <sz val="12"/>
        <color rgb="FFFF0000"/>
        <rFont val="Times New Roman"/>
        <family val="1"/>
        <charset val="204"/>
      </rPr>
      <t xml:space="preserve"> </t>
    </r>
  </si>
  <si>
    <r>
      <rPr>
        <b/>
        <sz val="11"/>
        <rFont val="Times New Roman"/>
        <family val="1"/>
        <charset val="204"/>
      </rPr>
      <t xml:space="preserve">ИП Грицко Ольга Константиновна  </t>
    </r>
    <r>
      <rPr>
        <sz val="11"/>
        <rFont val="Times New Roman"/>
        <family val="1"/>
        <charset val="204"/>
      </rPr>
      <t xml:space="preserve">      </t>
    </r>
    <r>
      <rPr>
        <sz val="11"/>
        <color rgb="FFFF0000"/>
        <rFont val="Times New Roman"/>
        <family val="1"/>
        <charset val="204"/>
      </rPr>
      <t>Дог.№1-09/2022                          от 01.12.2022</t>
    </r>
  </si>
  <si>
    <t>50000                      +50000                         +100000                         +100000</t>
  </si>
  <si>
    <t>от 09.03.2022                 01.04.22                              от 27.05.22                           от 23.03.23</t>
  </si>
  <si>
    <t>УПД от 21.12.2022</t>
  </si>
  <si>
    <t>УПД от 28.10.22</t>
  </si>
  <si>
    <t xml:space="preserve"> 21.12.2022</t>
  </si>
  <si>
    <t xml:space="preserve"> 28.10.22</t>
  </si>
  <si>
    <t>01/22- 12/22</t>
  </si>
  <si>
    <t>Дог. № ТОС 10/21 от 01.11.2021</t>
  </si>
  <si>
    <t>02/23</t>
  </si>
  <si>
    <t>160000</t>
  </si>
  <si>
    <t xml:space="preserve">ООО "Технолифт Секрвис" (Овчаренко Жанна) </t>
  </si>
  <si>
    <r>
      <rPr>
        <b/>
        <sz val="12"/>
        <color rgb="FFFF0000"/>
        <rFont val="Times New Roman"/>
        <family val="1"/>
        <charset val="204"/>
      </rPr>
      <t>Клейменов -</t>
    </r>
    <r>
      <rPr>
        <b/>
        <sz val="12"/>
        <rFont val="Times New Roman"/>
        <family val="1"/>
        <charset val="204"/>
      </rPr>
      <t xml:space="preserve"> выполнено</t>
    </r>
  </si>
  <si>
    <r>
      <t>отв.Кузнецов</t>
    </r>
    <r>
      <rPr>
        <sz val="14"/>
        <rFont val="Times New Roman"/>
        <family val="1"/>
        <charset val="204"/>
      </rPr>
      <t xml:space="preserve">  </t>
    </r>
    <r>
      <rPr>
        <b/>
        <sz val="14"/>
        <rFont val="Times New Roman"/>
        <family val="1"/>
        <charset val="204"/>
      </rPr>
      <t>отменен</t>
    </r>
  </si>
  <si>
    <r>
      <rPr>
        <b/>
        <sz val="12"/>
        <rFont val="Times New Roman"/>
        <family val="1"/>
        <charset val="204"/>
      </rPr>
      <t xml:space="preserve">выполнен     </t>
    </r>
    <r>
      <rPr>
        <sz val="11"/>
        <rFont val="Times New Roman"/>
        <family val="1"/>
        <charset val="204"/>
      </rPr>
      <t xml:space="preserve">                Кириченко</t>
    </r>
  </si>
  <si>
    <r>
      <t xml:space="preserve">         </t>
    </r>
    <r>
      <rPr>
        <sz val="11"/>
        <color rgb="FFFF0000"/>
        <rFont val="Times New Roman"/>
        <family val="1"/>
        <charset val="204"/>
      </rPr>
      <t>ЗАКРЫТ</t>
    </r>
    <r>
      <rPr>
        <sz val="11"/>
        <rFont val="Times New Roman"/>
        <family val="1"/>
        <charset val="204"/>
      </rPr>
      <t xml:space="preserve"> отв.Кузнецов Александр</t>
    </r>
  </si>
  <si>
    <t xml:space="preserve">    ЗАКРЫТ</t>
  </si>
  <si>
    <t>выполнен   Кузнецов А.</t>
  </si>
  <si>
    <t>Волков                             выполнено</t>
  </si>
  <si>
    <r>
      <rPr>
        <sz val="11"/>
        <color rgb="FF00B050"/>
        <rFont val="Times New Roman"/>
        <family val="1"/>
        <charset val="204"/>
      </rPr>
      <t xml:space="preserve">289000    </t>
    </r>
    <r>
      <rPr>
        <sz val="11"/>
        <color rgb="FFFF0000"/>
        <rFont val="Times New Roman"/>
        <family val="1"/>
        <charset val="204"/>
      </rPr>
      <t xml:space="preserve">                       +161330                          </t>
    </r>
    <r>
      <rPr>
        <sz val="11"/>
        <color rgb="FFC00000"/>
        <rFont val="Times New Roman"/>
        <family val="1"/>
        <charset val="204"/>
      </rPr>
      <t xml:space="preserve">      </t>
    </r>
    <r>
      <rPr>
        <sz val="11"/>
        <color rgb="FF00B050"/>
        <rFont val="Times New Roman"/>
        <family val="1"/>
        <charset val="204"/>
      </rPr>
      <t xml:space="preserve">                   +180 030 </t>
    </r>
    <r>
      <rPr>
        <sz val="11"/>
        <color rgb="FF7030A0"/>
        <rFont val="Times New Roman"/>
        <family val="1"/>
        <charset val="204"/>
      </rPr>
      <t xml:space="preserve">  </t>
    </r>
    <r>
      <rPr>
        <sz val="11"/>
        <color rgb="FFFF0000"/>
        <rFont val="Times New Roman"/>
        <family val="1"/>
        <charset val="204"/>
      </rPr>
      <t xml:space="preserve">                  </t>
    </r>
    <r>
      <rPr>
        <sz val="11"/>
        <color rgb="FF00B050"/>
        <rFont val="Times New Roman"/>
        <family val="1"/>
        <charset val="204"/>
      </rPr>
      <t xml:space="preserve"> +166700     </t>
    </r>
    <r>
      <rPr>
        <sz val="11"/>
        <color rgb="FFFF0000"/>
        <rFont val="Times New Roman"/>
        <family val="1"/>
        <charset val="204"/>
      </rPr>
      <t xml:space="preserve">                                </t>
    </r>
    <r>
      <rPr>
        <sz val="11"/>
        <color rgb="FF7030A0"/>
        <rFont val="Times New Roman"/>
        <family val="1"/>
        <charset val="204"/>
      </rPr>
      <t xml:space="preserve"> +129000 </t>
    </r>
    <r>
      <rPr>
        <sz val="11"/>
        <color rgb="FFFF0000"/>
        <rFont val="Times New Roman"/>
        <family val="1"/>
        <charset val="204"/>
      </rPr>
      <t xml:space="preserve">                          </t>
    </r>
    <r>
      <rPr>
        <sz val="11"/>
        <color rgb="FF7030A0"/>
        <rFont val="Times New Roman"/>
        <family val="1"/>
        <charset val="204"/>
      </rPr>
      <t>+92500                            +222300                                      +222300</t>
    </r>
    <r>
      <rPr>
        <sz val="11"/>
        <color rgb="FFFF0000"/>
        <rFont val="Times New Roman"/>
        <family val="1"/>
        <charset val="204"/>
      </rPr>
      <t xml:space="preserve">                                  </t>
    </r>
    <r>
      <rPr>
        <sz val="11"/>
        <color rgb="FF00B050"/>
        <rFont val="Times New Roman"/>
        <family val="1"/>
        <charset val="204"/>
      </rPr>
      <t xml:space="preserve">+288900     </t>
    </r>
    <r>
      <rPr>
        <sz val="11"/>
        <color rgb="FFFF0000"/>
        <rFont val="Times New Roman"/>
        <family val="1"/>
        <charset val="204"/>
      </rPr>
      <t xml:space="preserve">                                     +444500                        </t>
    </r>
    <r>
      <rPr>
        <sz val="11"/>
        <color rgb="FF7030A0"/>
        <rFont val="Times New Roman"/>
        <family val="1"/>
        <charset val="204"/>
      </rPr>
      <t xml:space="preserve">   +124000                                     </t>
    </r>
    <r>
      <rPr>
        <sz val="11"/>
        <color rgb="FFFF0000"/>
        <rFont val="Times New Roman"/>
        <family val="1"/>
        <charset val="204"/>
      </rPr>
      <t xml:space="preserve">+172300                                </t>
    </r>
    <r>
      <rPr>
        <sz val="11"/>
        <color rgb="FFC00000"/>
        <rFont val="Times New Roman"/>
        <family val="1"/>
        <charset val="204"/>
      </rPr>
      <t xml:space="preserve">  +177800                                      +402300                            +320000                             +256500                                               +320000                            +235600                                   +44500</t>
    </r>
  </si>
  <si>
    <r>
      <rPr>
        <sz val="11"/>
        <color rgb="FF00B050"/>
        <rFont val="Times New Roman"/>
        <family val="1"/>
        <charset val="204"/>
      </rPr>
      <t xml:space="preserve">  20.01.22         </t>
    </r>
    <r>
      <rPr>
        <sz val="11"/>
        <color rgb="FFFF0000"/>
        <rFont val="Times New Roman"/>
        <family val="1"/>
        <charset val="204"/>
      </rPr>
      <t xml:space="preserve">                  </t>
    </r>
    <r>
      <rPr>
        <sz val="11"/>
        <color rgb="FF00B050"/>
        <rFont val="Times New Roman"/>
        <family val="1"/>
        <charset val="204"/>
      </rPr>
      <t xml:space="preserve">   </t>
    </r>
    <r>
      <rPr>
        <sz val="11"/>
        <color rgb="FFFF0000"/>
        <rFont val="Times New Roman"/>
        <family val="1"/>
        <charset val="204"/>
      </rPr>
      <t xml:space="preserve"> 31.01.22                           </t>
    </r>
    <r>
      <rPr>
        <b/>
        <sz val="11"/>
        <color rgb="FFC00000"/>
        <rFont val="Times New Roman"/>
        <family val="1"/>
        <charset val="204"/>
      </rPr>
      <t xml:space="preserve"> </t>
    </r>
    <r>
      <rPr>
        <sz val="11"/>
        <color rgb="FF00B050"/>
        <rFont val="Times New Roman"/>
        <family val="1"/>
        <charset val="204"/>
      </rPr>
      <t xml:space="preserve">                           03.06.2022    </t>
    </r>
    <r>
      <rPr>
        <sz val="11"/>
        <color rgb="FFFF0000"/>
        <rFont val="Times New Roman"/>
        <family val="1"/>
        <charset val="204"/>
      </rPr>
      <t xml:space="preserve">                            </t>
    </r>
    <r>
      <rPr>
        <sz val="11"/>
        <color rgb="FF00B050"/>
        <rFont val="Times New Roman"/>
        <family val="1"/>
        <charset val="204"/>
      </rPr>
      <t xml:space="preserve">  06.06.22   </t>
    </r>
    <r>
      <rPr>
        <sz val="11"/>
        <color rgb="FFFF0000"/>
        <rFont val="Times New Roman"/>
        <family val="1"/>
        <charset val="204"/>
      </rPr>
      <t xml:space="preserve">                   </t>
    </r>
    <r>
      <rPr>
        <sz val="11"/>
        <color rgb="FF7030A0"/>
        <rFont val="Times New Roman"/>
        <family val="1"/>
        <charset val="204"/>
      </rPr>
      <t xml:space="preserve">   22.06.2022                                              06.07.22                      13.07.22                                                           14.07.22 </t>
    </r>
    <r>
      <rPr>
        <sz val="11"/>
        <color rgb="FFFF0000"/>
        <rFont val="Times New Roman"/>
        <family val="1"/>
        <charset val="204"/>
      </rPr>
      <t xml:space="preserve">                        </t>
    </r>
    <r>
      <rPr>
        <sz val="11"/>
        <color rgb="FF00B050"/>
        <rFont val="Times New Roman"/>
        <family val="1"/>
        <charset val="204"/>
      </rPr>
      <t xml:space="preserve">  18.07.22 </t>
    </r>
    <r>
      <rPr>
        <sz val="11"/>
        <color rgb="FFFF0000"/>
        <rFont val="Times New Roman"/>
        <family val="1"/>
        <charset val="204"/>
      </rPr>
      <t xml:space="preserve">                                     27.07.22                                      </t>
    </r>
    <r>
      <rPr>
        <sz val="11"/>
        <color rgb="FF7030A0"/>
        <rFont val="Times New Roman"/>
        <family val="1"/>
        <charset val="204"/>
      </rPr>
      <t xml:space="preserve">04.08.22       </t>
    </r>
    <r>
      <rPr>
        <sz val="11"/>
        <color rgb="FFFF0000"/>
        <rFont val="Times New Roman"/>
        <family val="1"/>
        <charset val="204"/>
      </rPr>
      <t xml:space="preserve">                                  08/09/2022                     </t>
    </r>
    <r>
      <rPr>
        <sz val="11"/>
        <color rgb="FFC00000"/>
        <rFont val="Times New Roman"/>
        <family val="1"/>
        <charset val="204"/>
      </rPr>
      <t xml:space="preserve">     25.01.23                 20.02.2023                                21.02.2023                              09.03.23                               от 13.03.23                                               от 14.03.23                        28.03.2023</t>
    </r>
  </si>
  <si>
    <r>
      <t xml:space="preserve">7334229,76                      </t>
    </r>
    <r>
      <rPr>
        <sz val="11"/>
        <color rgb="FFFF0000"/>
        <rFont val="Times New Roman"/>
        <family val="1"/>
        <charset val="204"/>
      </rPr>
      <t xml:space="preserve">  +980000</t>
    </r>
  </si>
  <si>
    <r>
      <t>отв.Клейменовот</t>
    </r>
    <r>
      <rPr>
        <sz val="11"/>
        <color rgb="FF7030A0"/>
        <rFont val="Times New Roman"/>
        <family val="1"/>
        <charset val="204"/>
      </rPr>
      <t xml:space="preserve"> 17.03.22  </t>
    </r>
    <r>
      <rPr>
        <sz val="11"/>
        <color rgb="FFFF0000"/>
        <rFont val="Times New Roman"/>
        <family val="1"/>
        <charset val="204"/>
      </rPr>
      <t xml:space="preserve">                                        от 28.12.22 </t>
    </r>
  </si>
  <si>
    <t xml:space="preserve"> комплекс работ по поставке  оборудования (эскалатор SBT 1200-4500-35, Hyundai (ES1-4) в количестве 4 шт. эскалатор SBT 1200-9000-30 ,Hyundai (ES5-6) в количестве 2 шт.),  монтажные , пусконаладочные работы и полное техническое освидетельствование эскалатовров.</t>
  </si>
  <si>
    <t>25 недель (июль- август)</t>
  </si>
  <si>
    <t>Дог.№2022/57-п от 01.03.2022                                                        ДС №1 огт 03.02.2023</t>
  </si>
  <si>
    <t>ООО ОПЕРАТОР</t>
  </si>
  <si>
    <t>Складирование оборудования</t>
  </si>
  <si>
    <t>Акт №1 от 01.03.23</t>
  </si>
  <si>
    <r>
      <t xml:space="preserve">Хуторецкая  Дог.№ </t>
    </r>
    <r>
      <rPr>
        <sz val="9"/>
        <color rgb="FFFF0000"/>
        <rFont val="Times New Roman"/>
        <family val="1"/>
        <charset val="204"/>
      </rPr>
      <t>ХТО -2023/68-П  от 01.03.2023</t>
    </r>
  </si>
  <si>
    <r>
      <rPr>
        <b/>
        <sz val="11"/>
        <rFont val="Times New Roman"/>
        <family val="1"/>
        <charset val="204"/>
      </rPr>
      <t>Саядян</t>
    </r>
    <r>
      <rPr>
        <sz val="9"/>
        <rFont val="Times New Roman"/>
        <family val="1"/>
        <charset val="204"/>
      </rPr>
      <t xml:space="preserve"> Дог.№С.2022/519-п            от 11.01.2023</t>
    </r>
  </si>
  <si>
    <t>АО «Фирма НТЦ КАМИ (МНИТИ)</t>
  </si>
  <si>
    <t>Пиунов Дог.№ П-250/22 от 19.12.2022</t>
  </si>
  <si>
    <t>100000                          +200000</t>
  </si>
  <si>
    <t>14.02.2023                            23.03.2023</t>
  </si>
  <si>
    <t xml:space="preserve">выполнен      </t>
  </si>
  <si>
    <t>Поставка лифта грузавого малого BKG (Германия)</t>
  </si>
  <si>
    <t>10998 Евро</t>
  </si>
  <si>
    <t>(УПД передано Хуторецкой)</t>
  </si>
  <si>
    <t>РОКАДА                                          Дог.№229-294П                          от 12.12.22</t>
  </si>
  <si>
    <t>Поставка гидравлического подъемника  Hidral ЕН/4С  c электрическим управлением производства   Hidral S.A. Испания,Севилья)  и дверей рулонных для шахты лифта и выполнению монтажных электромонтажных и пусконаладочных работ  по Объекту: г.Москва, Кадашевская набережная, вл.№10 12/2 М, Толмачевский пер., вл. №1-3 5-7</t>
  </si>
  <si>
    <t>Поставка гидравлического подъемника  Hidral ЕН/4С</t>
  </si>
  <si>
    <t>169980,00 евро</t>
  </si>
  <si>
    <t>Поставка лифтов и эскалаторов                                     до 31.12.2024</t>
  </si>
  <si>
    <t>SJEC-TOR-2022-1 от 19.10.22                                     ДС №1 от 10.11.2022</t>
  </si>
  <si>
    <t>1000000 долл. США                                     - по ДС №1 (9лифтов)-263650 дол.</t>
  </si>
  <si>
    <t>Поставка ворот противопажрных "FireTechnics"</t>
  </si>
  <si>
    <t>ГИДРАЛЬ РУС                            Дог.№МО/95-0922от 26.09.22 (без нашей подписи)</t>
  </si>
  <si>
    <t>Работы по капитальному ремонту (замене лифтового оборудования 3-х лифтов) по адресу: г. Москва, ул. Садовническая, д. 35</t>
  </si>
  <si>
    <t>Работы по капитальному ремонту (замене лифтового оборудования 5-ти лифтов на два лифта г/п 630 кг итри лифта г/п 1000 кг)по адресу: г. Москва, ул. Малая Калужская, д.1, и ул. Малая Калужская, д.1, стр.2</t>
  </si>
  <si>
    <r>
      <t xml:space="preserve">Дог.№76-22-К-223-5 от 17.04.2023 </t>
    </r>
    <r>
      <rPr>
        <sz val="11"/>
        <color rgb="FFFF0000"/>
        <rFont val="Times New Roman"/>
        <family val="1"/>
        <charset val="204"/>
      </rPr>
      <t>(270)</t>
    </r>
  </si>
  <si>
    <r>
      <t xml:space="preserve"> Дог.№2022/519-п от 19.12.2022 </t>
    </r>
    <r>
      <rPr>
        <b/>
        <sz val="9"/>
        <rFont val="Arial"/>
        <family val="2"/>
        <charset val="204"/>
      </rPr>
      <t>ДС№1 от 03.02.2023</t>
    </r>
  </si>
  <si>
    <r>
      <t xml:space="preserve">услуги технического обслуживания лифтов и подъёмных платформ для МГН установленных на </t>
    </r>
    <r>
      <rPr>
        <sz val="9"/>
        <rFont val="Times New Roman"/>
        <family val="1"/>
        <charset val="204"/>
      </rPr>
      <t>Большой спортивной арен</t>
    </r>
    <r>
      <rPr>
        <sz val="9"/>
        <rFont val="Times New Roman"/>
        <family val="1"/>
        <charset val="204"/>
      </rPr>
      <t>е "Лужники"по адресу: г. Москва, ул. Лужники, д.24 стр.1</t>
    </r>
  </si>
  <si>
    <r>
      <rPr>
        <b/>
        <sz val="9"/>
        <color rgb="FF7030A0"/>
        <rFont val="Arial"/>
        <family val="2"/>
        <charset val="204"/>
      </rPr>
      <t xml:space="preserve">Дог.№2023/68-П от 13.02.2023       </t>
    </r>
    <r>
      <rPr>
        <b/>
        <sz val="9"/>
        <color rgb="FFFF0000"/>
        <rFont val="Arial"/>
        <family val="2"/>
        <charset val="204"/>
      </rPr>
      <t xml:space="preserve">                                           </t>
    </r>
  </si>
  <si>
    <r>
      <rPr>
        <b/>
        <sz val="9"/>
        <rFont val="Times New Roman"/>
        <family val="1"/>
        <charset val="204"/>
      </rPr>
      <t>с 04.03.2023 г.</t>
    </r>
    <r>
      <rPr>
        <b/>
        <sz val="9"/>
        <color rgb="FFFF0000"/>
        <rFont val="Times New Roman"/>
        <family val="1"/>
        <charset val="204"/>
      </rPr>
      <t xml:space="preserve"> по 04.03.2024 г</t>
    </r>
  </si>
  <si>
    <r>
      <t xml:space="preserve">8677000 (в мес. 242259,30) оплата по </t>
    </r>
    <r>
      <rPr>
        <b/>
        <sz val="12"/>
        <color rgb="FFFF0000"/>
        <rFont val="Times New Roman"/>
        <family val="1"/>
        <charset val="204"/>
      </rPr>
      <t>287203,34</t>
    </r>
  </si>
  <si>
    <t>отгрузка прошла  док.нет</t>
  </si>
  <si>
    <t>в мес. 49980,00</t>
  </si>
  <si>
    <r>
      <t xml:space="preserve">05/19 - 12/19,                                        01/20-12/20                               </t>
    </r>
    <r>
      <rPr>
        <b/>
        <sz val="10"/>
        <rFont val="Times New Roman"/>
        <family val="1"/>
        <charset val="204"/>
      </rPr>
      <t xml:space="preserve"> 01-21-12/21                         01-22-12/22</t>
    </r>
  </si>
  <si>
    <t>01/23-03/23</t>
  </si>
  <si>
    <t xml:space="preserve">11/2021-06/2022, 08/2022 -12/2022 </t>
  </si>
  <si>
    <t>07/2022-?</t>
  </si>
  <si>
    <t xml:space="preserve"> - акт неустойки                  (штраф)</t>
  </si>
  <si>
    <t>выполнено Клейменов (дог.скан)</t>
  </si>
  <si>
    <t>13340570,5 - оплата                 14189085,95 - за вып.работы</t>
  </si>
  <si>
    <t>ООО "РЕГИОНАЛЬНОЕ УПРАВЛЕНИЕ КМЗ"</t>
  </si>
  <si>
    <r>
      <t xml:space="preserve">ДОГ.№1323РУКМ321101 ОТ 30.09.2021     </t>
    </r>
    <r>
      <rPr>
        <sz val="11"/>
        <color rgb="FFFF0000"/>
        <rFont val="Times New Roman"/>
        <family val="1"/>
        <charset val="204"/>
      </rPr>
      <t xml:space="preserve"> (нет дог.)</t>
    </r>
  </si>
  <si>
    <t>замена пассажирских и грузовых лифтов по адресу г. Москва, набережная Академика Туполева, д. 17, д. 15, корп. 15, д.28, д. 22.</t>
  </si>
  <si>
    <t>120 кал дн.  (4 мес)</t>
  </si>
  <si>
    <t>ОАО "Грамзапись"</t>
  </si>
  <si>
    <t>Разработка ПД, поставка обор-я, монтаж лифта 630 кг</t>
  </si>
  <si>
    <t>17 недель</t>
  </si>
  <si>
    <t>3870000, в т.ч. Об. 2 450000</t>
  </si>
  <si>
    <t>ООО "СОДИМАСгрупп"</t>
  </si>
  <si>
    <t>Дог.№1/У-2023 от 03.05.23</t>
  </si>
  <si>
    <r>
      <rPr>
        <b/>
        <sz val="10"/>
        <rFont val="Times New Roman"/>
        <family val="1"/>
        <charset val="204"/>
      </rPr>
      <t xml:space="preserve">Хуторецкая </t>
    </r>
    <r>
      <rPr>
        <sz val="9"/>
        <rFont val="Times New Roman"/>
        <family val="1"/>
        <charset val="204"/>
      </rPr>
      <t xml:space="preserve"> Дог.№ ХТО-208</t>
    </r>
    <r>
      <rPr>
        <sz val="9"/>
        <color rgb="FFFF0000"/>
        <rFont val="Times New Roman"/>
        <family val="1"/>
        <charset val="204"/>
      </rPr>
      <t>/23</t>
    </r>
    <r>
      <rPr>
        <sz val="9"/>
        <rFont val="Times New Roman"/>
        <family val="1"/>
        <charset val="204"/>
      </rPr>
      <t xml:space="preserve"> от 29.12.2023</t>
    </r>
  </si>
  <si>
    <t>250000                   +2500000                              +250000                       +222300</t>
  </si>
  <si>
    <t>Хуторецкая  Дог.№ ХТО -32622-ТБ  от 29.12.2022</t>
  </si>
  <si>
    <t>250000                               +250000                              +250000</t>
  </si>
  <si>
    <t>от 31.01.23                          от 28.02.23                         от 31.03.23</t>
  </si>
  <si>
    <t>Хуторецкая  Дог.№ ХТО -22 Т0-582  от 30.12.2022</t>
  </si>
  <si>
    <t>Дог.№270/23 от 03.04.23</t>
  </si>
  <si>
    <t xml:space="preserve"> ООО "СОДИМАСгрупп"</t>
  </si>
  <si>
    <t>Монтажные и пусконаладочные работы МКАД 44</t>
  </si>
  <si>
    <t>02/22-12/22, 01/23-03/23</t>
  </si>
  <si>
    <t xml:space="preserve">01/22-04/22, 06/22-11/22, </t>
  </si>
  <si>
    <t xml:space="preserve">Государственное автономное образовательное учреждение высшего образования города Москвы «Московский городской педагогический университет» </t>
  </si>
  <si>
    <t xml:space="preserve">услуги по диспетчеризации лифтового хозяйства </t>
  </si>
  <si>
    <t>Гражданско-правовой договор № 182-254/05-23эк</t>
  </si>
  <si>
    <t>1 700 000,00 руб. (200000 руб. в мес.)</t>
  </si>
  <si>
    <t>МНИТИ</t>
  </si>
  <si>
    <t>Дог.№1804/23 от27.04.23</t>
  </si>
  <si>
    <t>30 кал.дн. 27.04.23-26.05.23</t>
  </si>
  <si>
    <t xml:space="preserve">286 434,00
</t>
  </si>
  <si>
    <t>Дог.№1204РЛ от 12.04.2023г.</t>
  </si>
  <si>
    <t>20 рабочих дн. (по 20 .05.23)</t>
  </si>
  <si>
    <t>Саядян Дог.№С-1204РЛ от 14.04.2023г.</t>
  </si>
  <si>
    <t>Саядян Дог.№ С-272/2023  от 20.04.2023</t>
  </si>
  <si>
    <t>от 13.06.2023</t>
  </si>
  <si>
    <t>с 01.01.2023 - 31.12.2023</t>
  </si>
  <si>
    <t>Саядян Дог.№ С-22 ТО-582 от 11.01.2023</t>
  </si>
  <si>
    <t>450000                       +183600</t>
  </si>
  <si>
    <r>
      <t xml:space="preserve">22.03.2023                           </t>
    </r>
    <r>
      <rPr>
        <sz val="10"/>
        <color rgb="FFFF0000"/>
        <rFont val="Arial"/>
        <family val="2"/>
        <charset val="204"/>
      </rPr>
      <t xml:space="preserve"> 14.06.2023 ?</t>
    </r>
  </si>
  <si>
    <t>14.06.2023 ?</t>
  </si>
  <si>
    <t xml:space="preserve">Замена (ремонт) лифтового оборудования лифт рег.№95593 по адресу: г.Москва, ул.Уральская, д.21 </t>
  </si>
  <si>
    <t xml:space="preserve">ООО «Агни Элевейторс Рус», </t>
  </si>
  <si>
    <t>механомонтажные, электромонтажные, пусконаладочные работы (далее по тексту Работы) 4 (четырех) комплектных эскалаторов - производитель SJEC (Китай) (далее по  тексту Оборудование), с    участием  в    работе    комиссии по      полному    техническому освидетельствованию эскалаторов, по адресу: г.Москва, Остановочный пункт Кутузово (О.П.Кутузово).</t>
  </si>
  <si>
    <t xml:space="preserve">45 кал.дн. </t>
  </si>
  <si>
    <t>Эксплуатация и техническое обслуживание лифтов на ПЖДП при Павелецком вокзале</t>
  </si>
  <si>
    <t>Дог.№М-32312422325                  от 13.06.2023</t>
  </si>
  <si>
    <r>
      <rPr>
        <sz val="11"/>
        <rFont val="Times New Roman"/>
        <family val="1"/>
        <charset val="204"/>
      </rPr>
      <t>Дог. №2401/22 от 03.10.2022 -</t>
    </r>
    <r>
      <rPr>
        <sz val="11"/>
        <color rgb="FFFF0000"/>
        <rFont val="Times New Roman"/>
        <family val="1"/>
        <charset val="204"/>
      </rPr>
      <t xml:space="preserve">(257/22)                          </t>
    </r>
    <r>
      <rPr>
        <sz val="11"/>
        <rFont val="Times New Roman"/>
        <family val="1"/>
        <charset val="204"/>
      </rPr>
      <t>ДС №2 от 01.06.2023</t>
    </r>
  </si>
  <si>
    <t>6 мес.</t>
  </si>
  <si>
    <t>ООО "МостоТрест136"</t>
  </si>
  <si>
    <t>выполнение комплекса строительно-монтажных работ по объекту:  
Этап 5.6 «Реконструкция остановочного пункта Лианозово»</t>
  </si>
  <si>
    <t>ООО СП Союзлифтсервис</t>
  </si>
  <si>
    <r>
      <t xml:space="preserve">254473,68                +171052,63               +136842,1                      </t>
    </r>
    <r>
      <rPr>
        <sz val="11"/>
        <color rgb="FFFF0000"/>
        <rFont val="Times New Roman"/>
        <family val="1"/>
        <charset val="204"/>
      </rPr>
      <t>102631,59</t>
    </r>
  </si>
  <si>
    <r>
      <t xml:space="preserve">от 28.02.23                             от 24.03.23                 от 30.06.2023                          </t>
    </r>
    <r>
      <rPr>
        <sz val="11"/>
        <color rgb="FFFF0000"/>
        <rFont val="Times New Roman"/>
        <family val="1"/>
        <charset val="204"/>
      </rPr>
      <t xml:space="preserve">    ___________</t>
    </r>
  </si>
  <si>
    <r>
      <rPr>
        <b/>
        <sz val="11"/>
        <color rgb="FFFF0000"/>
        <rFont val="Times New Roman"/>
        <family val="1"/>
        <charset val="204"/>
      </rPr>
      <t xml:space="preserve">Дог.№ 230213 от 31.01.2023   </t>
    </r>
    <r>
      <rPr>
        <b/>
        <sz val="11"/>
        <rFont val="Times New Roman"/>
        <family val="1"/>
        <charset val="204"/>
      </rPr>
      <t xml:space="preserve">  </t>
    </r>
    <r>
      <rPr>
        <sz val="11"/>
        <rFont val="Times New Roman"/>
        <family val="1"/>
        <charset val="204"/>
      </rPr>
      <t xml:space="preserve">                       Монтаж и пусконаладка лифта SODIMAS г/п 1050 кг на 4 остановки по адресу: МО Одинцовский р-н Нговое Николино уч.701</t>
    </r>
  </si>
  <si>
    <r>
      <rPr>
        <sz val="11"/>
        <color rgb="FFFF0000"/>
        <rFont val="Times New Roman"/>
        <family val="1"/>
        <charset val="204"/>
      </rPr>
      <t xml:space="preserve"> 345400 </t>
    </r>
    <r>
      <rPr>
        <sz val="11"/>
        <color rgb="FF7030A0"/>
        <rFont val="Times New Roman"/>
        <family val="1"/>
        <charset val="204"/>
      </rPr>
      <t xml:space="preserve">                             +250300</t>
    </r>
    <r>
      <rPr>
        <sz val="11"/>
        <rFont val="Times New Roman"/>
        <family val="1"/>
        <charset val="204"/>
      </rPr>
      <t xml:space="preserve">                         </t>
    </r>
    <r>
      <rPr>
        <sz val="11"/>
        <color rgb="FF7030A0"/>
        <rFont val="Times New Roman"/>
        <family val="1"/>
        <charset val="204"/>
      </rPr>
      <t xml:space="preserve">  +498480                                 </t>
    </r>
    <r>
      <rPr>
        <sz val="11"/>
        <color rgb="FFFF0000"/>
        <rFont val="Times New Roman"/>
        <family val="1"/>
        <charset val="204"/>
      </rPr>
      <t xml:space="preserve">  </t>
    </r>
    <r>
      <rPr>
        <sz val="11"/>
        <color rgb="FFFF0000"/>
        <rFont val="Times New Roman"/>
        <family val="1"/>
        <charset val="204"/>
      </rPr>
      <t xml:space="preserve"> +359600 </t>
    </r>
    <r>
      <rPr>
        <sz val="11"/>
        <color rgb="FFFF0000"/>
        <rFont val="Times New Roman"/>
        <family val="1"/>
        <charset val="204"/>
      </rPr>
      <t xml:space="preserve">                           </t>
    </r>
    <r>
      <rPr>
        <sz val="11"/>
        <color rgb="FF7030A0"/>
        <rFont val="Times New Roman"/>
        <family val="1"/>
        <charset val="204"/>
      </rPr>
      <t xml:space="preserve"> +385000 </t>
    </r>
    <r>
      <rPr>
        <sz val="11"/>
        <color rgb="FFFF0000"/>
        <rFont val="Times New Roman"/>
        <family val="1"/>
        <charset val="204"/>
      </rPr>
      <t xml:space="preserve">                            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color rgb="FF00B050"/>
        <rFont val="Times New Roman"/>
        <family val="1"/>
        <charset val="204"/>
      </rPr>
      <t xml:space="preserve"> +300550                               +380000                                     </t>
    </r>
    <r>
      <rPr>
        <sz val="11"/>
        <color rgb="FFFF0000"/>
        <rFont val="Times New Roman"/>
        <family val="1"/>
        <charset val="204"/>
      </rPr>
      <t xml:space="preserve">+274550  </t>
    </r>
    <r>
      <rPr>
        <sz val="11"/>
        <color rgb="FF00B050"/>
        <rFont val="Times New Roman"/>
        <family val="1"/>
        <charset val="204"/>
      </rPr>
      <t xml:space="preserve">                           </t>
    </r>
    <r>
      <rPr>
        <sz val="11"/>
        <color rgb="FFFF0000"/>
        <rFont val="Times New Roman"/>
        <family val="1"/>
        <charset val="204"/>
      </rPr>
      <t xml:space="preserve"> +181800                                    +380000</t>
    </r>
  </si>
  <si>
    <t>от 09.06.2023</t>
  </si>
  <si>
    <t>Акт КС от 23.05.2023</t>
  </si>
  <si>
    <t xml:space="preserve">комплекс работ по поставке лифтового оборудования (лифт 630кг.), монтажные , пусконаладочные работы и полное техническое освидетельствование лифтового оборудования по адресу: г. Москва, Смоленская площадь, дом 6, строение  3 , </t>
  </si>
  <si>
    <t xml:space="preserve">                                                         от 10.04.23</t>
  </si>
  <si>
    <t>от 27.06.2023</t>
  </si>
  <si>
    <r>
      <rPr>
        <sz val="11"/>
        <color rgb="FF7030A0"/>
        <rFont val="Times New Roman"/>
        <family val="1"/>
        <charset val="204"/>
      </rPr>
      <t>хранение</t>
    </r>
    <r>
      <rPr>
        <sz val="11"/>
        <rFont val="Times New Roman"/>
        <family val="1"/>
        <charset val="204"/>
      </rPr>
      <t xml:space="preserve">                               УПД на 65835000</t>
    </r>
  </si>
  <si>
    <t xml:space="preserve">ООО СП Союзлифтсервис                        Дог.№ 230213 от 31.01.2023          </t>
  </si>
  <si>
    <t xml:space="preserve"> Монтаж и пусконаладка лифта SODIMAS г/п 1050 кг на 4 остановки по адресу: МО Одинцовский р-н Нговое Николино уч.701</t>
  </si>
  <si>
    <t>Акты в папке выполнение 2 кв.</t>
  </si>
  <si>
    <r>
      <t xml:space="preserve">31.01.2023                               24.04.2023                                     </t>
    </r>
    <r>
      <rPr>
        <sz val="11"/>
        <color rgb="FF7030A0"/>
        <rFont val="Times New Roman"/>
        <family val="1"/>
        <charset val="204"/>
      </rPr>
      <t xml:space="preserve"> 23.05.23                          05.06.23</t>
    </r>
  </si>
  <si>
    <r>
      <t xml:space="preserve">Дог.№ ТЛ/ЭПМ-01 от 01.08.2022 </t>
    </r>
    <r>
      <rPr>
        <sz val="11"/>
        <color rgb="FFFF0000"/>
        <rFont val="Times New Roman"/>
        <family val="1"/>
        <charset val="204"/>
      </rPr>
      <t>(268/23) на спец-ции нет подп. ДС №3 от 01.03.2023               ДС №4 от 05.06.2023</t>
    </r>
  </si>
  <si>
    <t>АО "Почта России"                -  РАСТОРГНУТ</t>
  </si>
  <si>
    <t>АО "Мосгорбумторг "</t>
  </si>
  <si>
    <r>
      <t xml:space="preserve">монтаж
диспетчерского комплекса «ОБЬ» в количестве 5 штук по адресу: г.Москва, ул.Уральская, д.21 </t>
    </r>
    <r>
      <rPr>
        <sz val="10"/>
        <color rgb="FFFF0000"/>
        <rFont val="Times New Roman"/>
        <family val="1"/>
        <charset val="204"/>
      </rPr>
      <t xml:space="preserve"> (скан)</t>
    </r>
  </si>
  <si>
    <r>
      <t>c 01.03.22 г. - 31.12.22 г. - 1470802,80                         c 01.01.23г. - 28.02.25</t>
    </r>
    <r>
      <rPr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4475036,64 (в мес. 172117)</t>
    </r>
  </si>
  <si>
    <t>Дог.№ 273/2023 от 26.06.23</t>
  </si>
  <si>
    <r>
      <t>с «</t>
    </r>
    <r>
      <rPr>
        <sz val="10"/>
        <rFont val="Times New Roman"/>
        <family val="1"/>
        <charset val="204"/>
      </rPr>
      <t xml:space="preserve">01» июля 2023 </t>
    </r>
    <r>
      <rPr>
        <sz val="10"/>
        <rFont val="Times New Roman"/>
        <family val="1"/>
        <charset val="204"/>
      </rPr>
      <t xml:space="preserve">г. по </t>
    </r>
    <r>
      <rPr>
        <sz val="10"/>
        <color rgb="FFFF0000"/>
        <rFont val="Times New Roman"/>
        <family val="1"/>
        <charset val="204"/>
      </rPr>
      <t xml:space="preserve">«30» июня 2025 г.  </t>
    </r>
  </si>
  <si>
    <t>3 063 056,04 руб.  (в мес. 127627,335)</t>
  </si>
  <si>
    <t xml:space="preserve">ГБОУ г.Москвы «Школа Перспектива"                  
</t>
  </si>
  <si>
    <t xml:space="preserve">ГБОУ Школа №1474                  
</t>
  </si>
  <si>
    <t>2 371 484,31 руб.  (в мес. 98 811,846)</t>
  </si>
  <si>
    <t xml:space="preserve">ГБОУ г.Москвы "Школа № 158"                
</t>
  </si>
  <si>
    <t xml:space="preserve">                                                                                                Гражданско-правовой договор бюджетного учреждения 
№ 0873500000823000580-158
</t>
  </si>
  <si>
    <t>от 31.07.23</t>
  </si>
  <si>
    <t>от 28.06.2023</t>
  </si>
  <si>
    <t>ООО АРТ_ ЛИФТ"                  дог.№М7-07-23 от 20.07.2023</t>
  </si>
  <si>
    <t>Монтаж двух пасс-х лифтов г/п 1000кг модели "SJEC" и сдаче вс эксп-ю</t>
  </si>
  <si>
    <t>от 24.06.23</t>
  </si>
  <si>
    <t>Дог.№2304/ТО от 13.06.23</t>
  </si>
  <si>
    <t>Прохоров Лев Львович</t>
  </si>
  <si>
    <t>от 30.06.23      от 34.07.23</t>
  </si>
  <si>
    <t>Хуторецкая (Саядян)</t>
  </si>
  <si>
    <t>ИП "ШПЕНГЛЕР КОНСТАНТИН ОТТОВИЧ "</t>
  </si>
  <si>
    <t xml:space="preserve">разработка ПД установки лифта  производства « SODIMAS GROUP SJEC» - Китай   по адресу: г. Москва, ул. Усачева, д.62,стр.1. </t>
  </si>
  <si>
    <t>Дог.№264/22 от 25.07.2023</t>
  </si>
  <si>
    <r>
      <t xml:space="preserve">№ 6.12-21/04.11-301122-2 от 30.11.2022             </t>
    </r>
    <r>
      <rPr>
        <b/>
        <sz val="10"/>
        <color rgb="FFFF0000"/>
        <rFont val="Arial"/>
        <family val="2"/>
        <charset val="204"/>
      </rPr>
      <t xml:space="preserve"> ДС №1  о 10.01.23</t>
    </r>
  </si>
  <si>
    <r>
      <rPr>
        <sz val="11"/>
        <color rgb="FF7030A0"/>
        <rFont val="Times New Roman"/>
        <family val="1"/>
        <charset val="204"/>
      </rPr>
      <t xml:space="preserve">от 16.03.2022     </t>
    </r>
    <r>
      <rPr>
        <sz val="11"/>
        <color rgb="FFFF0000"/>
        <rFont val="Times New Roman"/>
        <family val="1"/>
        <charset val="204"/>
      </rPr>
      <t xml:space="preserve">                              </t>
    </r>
    <r>
      <rPr>
        <sz val="11"/>
        <rFont val="Times New Roman"/>
        <family val="1"/>
        <charset val="204"/>
      </rPr>
      <t xml:space="preserve">от 16.05.2022                                    от 19.07.22 </t>
    </r>
    <r>
      <rPr>
        <sz val="11"/>
        <color rgb="FFFF0000"/>
        <rFont val="Times New Roman"/>
        <family val="1"/>
        <charset val="204"/>
      </rPr>
      <t xml:space="preserve">                          </t>
    </r>
    <r>
      <rPr>
        <sz val="11"/>
        <color rgb="FF7030A0"/>
        <rFont val="Times New Roman"/>
        <family val="1"/>
        <charset val="204"/>
      </rPr>
      <t xml:space="preserve">   от 08.09.22 </t>
    </r>
    <r>
      <rPr>
        <sz val="11"/>
        <color rgb="FFFF0000"/>
        <rFont val="Times New Roman"/>
        <family val="1"/>
        <charset val="204"/>
      </rPr>
      <t xml:space="preserve">нетКС-3   </t>
    </r>
  </si>
  <si>
    <r>
      <t>ООО ПРОТИВОПАЖАР            НЫЕ СИСТЕМЫ (</t>
    </r>
    <r>
      <rPr>
        <b/>
        <sz val="10"/>
        <rFont val="Times New Roman"/>
        <family val="1"/>
        <charset val="204"/>
      </rPr>
      <t>ооо "ппс")                          Дог.№38-А от 11.04.2023</t>
    </r>
  </si>
  <si>
    <t>Посреднические услуги по сопровождению поставки 18-ти ед.подъемно-транспортного  оборудования по  проекту Лианозово (Lianozovo); техническое  сопровождение процесса изготовления     и
согласования   установочных   чертежей  Оборудования;   перевод  установочных  чертежей Оборудования</t>
  </si>
  <si>
    <t>Мостоотряд -47 ООО "ФСК"</t>
  </si>
  <si>
    <t>Монтаж 3-х пассажирских лифтов г/п 1000 кг модели "Mitsubishi" по адресу г.Москва, платформа транспортного пересадочного узла "Белорусская"</t>
  </si>
  <si>
    <t>Монтаж 3-х пассажирских лифтов г/п 1000 кг модели "Mitsubishi" по адресу г.Москва, платформа транспортного пересадочного узла "Белорусская" срок - 90 кал.дн.</t>
  </si>
  <si>
    <t>срок - 90 кал.дн.</t>
  </si>
  <si>
    <t>ООО "АРТ_ЛИФТ" дог.№ М-09-23 от 25.08.2023</t>
  </si>
  <si>
    <t>Монтаж 7- пассажирских лифтов г/п 1000 кг модели "SJEC" по адресу г.Москва, платформа "Лианозово" срок - 90 кал.дн.</t>
  </si>
  <si>
    <t>Акты КС №1 от 10.03.2023</t>
  </si>
  <si>
    <t>перенести</t>
  </si>
  <si>
    <t>11/22, 12/22</t>
  </si>
  <si>
    <t>2023г -Волков</t>
  </si>
  <si>
    <t>ООО   "Природа Инвест"</t>
  </si>
  <si>
    <t>Винокуров</t>
  </si>
  <si>
    <t>поставка оборудования, монтаж и пуско-наладочные работы системы диспетчеризации вертиального транспорта</t>
  </si>
  <si>
    <t>Монтаж системы электроснабжения вертикального транспорта</t>
  </si>
  <si>
    <r>
      <rPr>
        <b/>
        <sz val="11"/>
        <rFont val="Times New Roman"/>
        <family val="1"/>
        <charset val="204"/>
      </rPr>
      <t>Дог.№4325/22</t>
    </r>
    <r>
      <rPr>
        <sz val="11"/>
        <rFont val="Times New Roman"/>
        <family val="1"/>
        <charset val="204"/>
      </rPr>
      <t xml:space="preserve">              </t>
    </r>
    <r>
      <rPr>
        <b/>
        <sz val="11"/>
        <rFont val="Times New Roman"/>
        <family val="1"/>
        <charset val="204"/>
      </rPr>
      <t xml:space="preserve"> от 23.12.2022</t>
    </r>
    <r>
      <rPr>
        <sz val="11"/>
        <color rgb="FFFF0000"/>
        <rFont val="Times New Roman"/>
        <family val="1"/>
        <charset val="204"/>
      </rPr>
      <t xml:space="preserve"> (267/23)                          </t>
    </r>
    <r>
      <rPr>
        <sz val="11"/>
        <rFont val="Times New Roman"/>
        <family val="1"/>
        <charset val="204"/>
      </rPr>
      <t xml:space="preserve">        ДС №1 от 14.02.23                             ДС №2 от 28.02.23                           ДС №3 от 29.03.23г.                   ДС №4 от 20.07.23</t>
    </r>
  </si>
  <si>
    <t>АО "ЩЛЗ"  поставка 5-ти лифтов Дог.№16950-16951, 62461-62463</t>
  </si>
  <si>
    <t xml:space="preserve">Поставка 5-ти лифтов </t>
  </si>
  <si>
    <t>акты подписаны</t>
  </si>
  <si>
    <t>СМР -60 раб.дн. После приемки обор-я (п.6.3. Дог.)+30 раб.дн п/н</t>
  </si>
  <si>
    <r>
      <rPr>
        <b/>
        <sz val="11"/>
        <rFont val="Times New Roman"/>
        <family val="1"/>
        <charset val="204"/>
      </rPr>
      <t>Контракт № 22 ТО-582</t>
    </r>
    <r>
      <rPr>
        <sz val="11"/>
        <rFont val="Times New Roman"/>
        <family val="1"/>
        <charset val="204"/>
      </rPr>
      <t xml:space="preserve">  от 30.12.2022                                           ДС №1 от 15.08.23</t>
    </r>
  </si>
  <si>
    <t>ООО "СОДИМАС ГРУПП</t>
  </si>
  <si>
    <t>Дог.№276/23                 от 12.10.23</t>
  </si>
  <si>
    <t>Разработка рабочей документации на замену шести пассажирских лифтов производства "SODIMAS GROUP SJEC" - (Киртай) по адресу: ква ул. 1-я Тверская Ямская д.23 стр.1</t>
  </si>
  <si>
    <t>срок -25 кал.дн.</t>
  </si>
  <si>
    <t>ПИУНОВ</t>
  </si>
  <si>
    <t>5580867,4             в мес. 465072</t>
  </si>
  <si>
    <t xml:space="preserve">Договор № ВТ/Т/10-23  от 19.10.2023 </t>
  </si>
  <si>
    <t>монтажные и пусконаладочные работы подъемной платформы БК 320 по объекту:  г.Москва о.п. Тимирязевская
Этап 5.6 «Реконструкция остановочного пункта Лианозово»</t>
  </si>
  <si>
    <r>
      <rPr>
        <sz val="11"/>
        <rFont val="Times New Roman"/>
        <family val="1"/>
        <charset val="204"/>
      </rPr>
      <t xml:space="preserve">ДС №1 </t>
    </r>
    <r>
      <rPr>
        <sz val="11"/>
        <rFont val="Times New Roman"/>
        <family val="1"/>
        <charset val="204"/>
      </rPr>
      <t xml:space="preserve">от 05.10.2022,                </t>
    </r>
    <r>
      <rPr>
        <sz val="11"/>
        <rFont val="Times New Roman"/>
        <family val="1"/>
        <charset val="204"/>
      </rPr>
      <t xml:space="preserve">    ДС №2 </t>
    </r>
    <r>
      <rPr>
        <sz val="11"/>
        <rFont val="Times New Roman"/>
        <family val="1"/>
        <charset val="204"/>
      </rPr>
      <t xml:space="preserve">от 25.04.2023,                        </t>
    </r>
    <r>
      <rPr>
        <sz val="11"/>
        <rFont val="Times New Roman"/>
        <family val="1"/>
        <charset val="204"/>
      </rPr>
      <t xml:space="preserve">  ДС №3</t>
    </r>
    <r>
      <rPr>
        <sz val="11"/>
        <rFont val="Times New Roman"/>
        <family val="1"/>
        <charset val="204"/>
      </rPr>
      <t xml:space="preserve"> от 20.10.2023</t>
    </r>
  </si>
  <si>
    <t>Монтаж системы видеонаблюдения вертикального транспорта по Объекту: г.Москва, Кадашевская набережная, вл.№10 12/2 М, Толмачевский пер., вл. №1-3 5-7</t>
  </si>
  <si>
    <t>Дог.№0995400000221000060/4709_23 от 02.10.23</t>
  </si>
  <si>
    <t>Дог.№2400/23 от 27.06.2023</t>
  </si>
  <si>
    <t>до 31.03.2024 г.</t>
  </si>
  <si>
    <t xml:space="preserve">Хранение товара          (Эскалатор SJEC  тип FES302-1000-4500 - 4шт. </t>
  </si>
  <si>
    <t xml:space="preserve"> Эскалатор SJEC  тип FES302-1000-4500 - 4шт. 28806718,84                                            Эскалатор SJEC  тип FES303-1000-9000 -2шт. 30879581,52</t>
  </si>
  <si>
    <t>Дог.№ 4728/23 от 01.11.2023 9 вместе с актом на хранение</t>
  </si>
  <si>
    <t>ООО "ОТК"</t>
  </si>
  <si>
    <t>до 31.08.2024</t>
  </si>
  <si>
    <t>86520,00 дол.-об.,                                     270 000 обсл-е,                180 000 ПД</t>
  </si>
  <si>
    <t>Дог. №269.23 от 02.11.23</t>
  </si>
  <si>
    <r>
      <t xml:space="preserve">АО "НПК "НИИДАР" оборонзаказ        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4"/>
        <color rgb="FFFF0000"/>
        <rFont val="Times New Roman"/>
        <family val="1"/>
        <charset val="204"/>
      </rPr>
      <t>закрыт</t>
    </r>
  </si>
  <si>
    <t>05/23-09/23</t>
  </si>
  <si>
    <t>Поставка Малого   грузового лифта грузоподъемностью 250 кг  ПАРНАС ЛМП</t>
  </si>
  <si>
    <r>
      <rPr>
        <sz val="11"/>
        <color rgb="FFFF0000"/>
        <rFont val="Times New Roman"/>
        <family val="1"/>
        <charset val="204"/>
      </rPr>
      <t>Дог.№0995400000221000060/4112</t>
    </r>
    <r>
      <rPr>
        <sz val="11"/>
        <rFont val="Times New Roman"/>
        <family val="1"/>
        <charset val="204"/>
      </rPr>
      <t>_23 от 09/10/2023</t>
    </r>
    <r>
      <rPr>
        <sz val="11"/>
        <color rgb="FFFF0000"/>
        <rFont val="Times New Roman"/>
        <family val="1"/>
        <charset val="204"/>
      </rPr>
      <t xml:space="preserve"> (275/23) </t>
    </r>
    <r>
      <rPr>
        <sz val="11"/>
        <rFont val="Times New Roman"/>
        <family val="1"/>
        <charset val="204"/>
      </rPr>
      <t xml:space="preserve">          </t>
    </r>
  </si>
  <si>
    <r>
      <rPr>
        <sz val="11"/>
        <color rgb="FF7030A0"/>
        <rFont val="Times New Roman"/>
        <family val="1"/>
        <charset val="204"/>
      </rPr>
      <t xml:space="preserve">Акт №30 на 248600            от 28.02.23,                                Акт №43 на 942400                 от 04.04.23,                                   Акт №62 на 912000                         от 29.05.23   </t>
    </r>
    <r>
      <rPr>
        <sz val="11"/>
        <rFont val="Times New Roman"/>
        <family val="1"/>
        <charset val="204"/>
      </rPr>
      <t xml:space="preserve">                                 от 20.01.2023                     </t>
    </r>
    <r>
      <rPr>
        <sz val="11"/>
        <color rgb="FF7030A0"/>
        <rFont val="Times New Roman"/>
        <family val="1"/>
        <charset val="204"/>
      </rPr>
      <t xml:space="preserve"> Акт №165 от 26.09.2023 на 1674000</t>
    </r>
  </si>
  <si>
    <t xml:space="preserve">замена домофона и электролампы в зданиях ФГБОУ ВО МГППУ по адресу: г. Москва, ул. Сретенка, дом 29; г. Москва, ул. Шелепихинская наб., дом 2а; г. Москва, ул. Архитектора Власова, дом 19, корп.2 </t>
  </si>
  <si>
    <t>Дог.№345 от 01.11.2022 (в папке на ТО-2022)</t>
  </si>
  <si>
    <t>01.01/23-06.10/23</t>
  </si>
  <si>
    <t>11/22, 12/22 ,</t>
  </si>
  <si>
    <t>01/23-05/23, 07/23,</t>
  </si>
  <si>
    <r>
      <t xml:space="preserve">07.10.2022-06.10.2023 </t>
    </r>
    <r>
      <rPr>
        <b/>
        <sz val="10"/>
        <rFont val="Times New Roman"/>
        <family val="1"/>
        <charset val="204"/>
      </rPr>
      <t xml:space="preserve"> </t>
    </r>
    <r>
      <rPr>
        <b/>
        <sz val="10"/>
        <color rgb="FFFF0000"/>
        <rFont val="Times New Roman"/>
        <family val="1"/>
        <charset val="204"/>
      </rPr>
      <t>ЗАКРЫТ</t>
    </r>
  </si>
  <si>
    <t>2023г - А.Кузнецов</t>
  </si>
  <si>
    <r>
      <rPr>
        <sz val="11"/>
        <color rgb="FF7030A0"/>
        <rFont val="Times New Roman"/>
        <family val="1"/>
        <charset val="204"/>
      </rPr>
      <t>Дог. № 20763 от 17.04.2023</t>
    </r>
    <r>
      <rPr>
        <sz val="11"/>
        <color rgb="FFFF0000"/>
        <rFont val="Times New Roman"/>
        <family val="1"/>
        <charset val="204"/>
      </rPr>
      <t xml:space="preserve"> (272/23)                  ДС</t>
    </r>
  </si>
  <si>
    <r>
      <t xml:space="preserve">22 недели </t>
    </r>
    <r>
      <rPr>
        <sz val="11"/>
        <rFont val="Times New Roman"/>
        <family val="1"/>
        <charset val="204"/>
      </rPr>
      <t xml:space="preserve">(май )                 </t>
    </r>
    <r>
      <rPr>
        <sz val="11"/>
        <color rgb="FFFF0000"/>
        <rFont val="Times New Roman"/>
        <family val="1"/>
        <charset val="204"/>
      </rPr>
      <t>(25 нед)</t>
    </r>
  </si>
  <si>
    <t>383600                        +270000                       +345500                               +445000</t>
  </si>
  <si>
    <t>13.06.2023                    21.06.23         10.08.23                                 23.11.23</t>
  </si>
  <si>
    <t>ООО "ВИЛАР"</t>
  </si>
  <si>
    <t>Разработка ПД на  размещение  лифта  в  металлокаркасную внутреннюю шахту,  изготовлению  и  монтажу  на  готовое  основание    металлокаркасной  шахты  для 
 лифта «SODIМAS  GROUP  АКЕ»  Турция  г/п  375  кг  на  две   остановки,  облицовка  шахты прозрачным  стеклом триплекс с точечным креплением  на спайдерах.</t>
  </si>
  <si>
    <t>145 000-ПД                   2 220 000 СМР</t>
  </si>
  <si>
    <t>10 нед.</t>
  </si>
  <si>
    <t>ООО "АРТ_ЛИФТ" дог.№ М-08-23 от 14.08.2023</t>
  </si>
  <si>
    <t>Дог.№357/23 -МО-47 от 08.09.23</t>
  </si>
  <si>
    <t>30.12.23</t>
  </si>
  <si>
    <t>07/23-11/23</t>
  </si>
  <si>
    <t xml:space="preserve">01/23-11/23, </t>
  </si>
  <si>
    <r>
      <t xml:space="preserve">315000                             </t>
    </r>
    <r>
      <rPr>
        <sz val="10"/>
        <color rgb="FFFF000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 xml:space="preserve"> 3240000</t>
    </r>
  </si>
  <si>
    <t>от 27.03.2023                  от 02.08.2023</t>
  </si>
  <si>
    <t xml:space="preserve"> КС1.1 от 01.06.22 на 1420000                                             КC-2/2 от 08.07.22 на 674000</t>
  </si>
  <si>
    <r>
      <t>65 060 400,00 (</t>
    </r>
    <r>
      <rPr>
        <sz val="11"/>
        <color rgb="FFFF0000"/>
        <rFont val="Times New Roman"/>
        <family val="1"/>
        <charset val="204"/>
      </rPr>
      <t>с НДС</t>
    </r>
    <r>
      <rPr>
        <sz val="11"/>
        <rFont val="Times New Roman"/>
        <family val="1"/>
        <charset val="204"/>
      </rPr>
      <t xml:space="preserve">)                                   в т.ч. Обор-е                  -54 944 400,00                  СМР                               -10 116 000,00 </t>
    </r>
  </si>
  <si>
    <t xml:space="preserve"> выполнение  комплекса  работ  по  адресу:  г.  Москва,  Кадашевская  набережная,  владения  № 10, 12/2 М.Толмачевский пер., владения  № 1 - 3, 5 - 7 (далее по тексту - «Объект»), а именно:   поставка 13 лифтов
«SODIMAS   GROUP-SJEC» Kитaй  и  выполнение механомонтажных, электромонтажных, пусконаладочных работ
</t>
  </si>
  <si>
    <t>"SJEC Corporation" от 19.10.22                                     ДС №1 от 10.11.2022</t>
  </si>
  <si>
    <t xml:space="preserve">9 341 000,00 (с НДС)                                   в т.ч. Обор-е                  -7 246 000,00                  СМР                               -2 095 000,00 </t>
  </si>
  <si>
    <t>выполнение комплекса работ по адресу:               г. Москва, Кадашевская набережная, владения № 10, 12/2, М.Толмачевский пер., владения № 1-  3, 5 - 7 , а именно поставка:                                         - малого грузового лифта г/п 250 кг,  производство  ЗАО «Предприятие Парнас» г Санкт -Петербург;                                              - подъемной платформы для ММГ производства «ЦРТ ИНВА» г  Брянск,                                 -подъемника в зону разгрузки  г/п  5000 кг производства  «Завод ГМ» г. Самара;                                                           -подъемной платформы в зону сцены,  производства «Завод ГМ»  г  Самара;                                                                   -консольной кран-балки в зону разгрузки, производство завода «лидер -Металлист» г.   Воронеж и выполнение механомонтажных, электромонтажных, пусконаладочных работ</t>
  </si>
  <si>
    <t>Изготовление    и    монтаж    на    готовое    основание    в существующий    приямок   с   размерами    201Ох2260 мм лифтовой  метало-каркасной  шахты на две  остановки   с внутренними   размерами   1750х2000мм,   высотой   7400 мм</t>
  </si>
  <si>
    <t>от 20.11.2023</t>
  </si>
  <si>
    <t>УПД на обор. На 54944400</t>
  </si>
  <si>
    <t>от28.04.23</t>
  </si>
  <si>
    <r>
      <rPr>
        <b/>
        <sz val="12"/>
        <rFont val="Times New Roman"/>
        <family val="1"/>
        <charset val="204"/>
      </rPr>
      <t xml:space="preserve">22594000  +3046800 по ДС №3      </t>
    </r>
    <r>
      <rPr>
        <sz val="11"/>
        <rFont val="Times New Roman"/>
        <family val="1"/>
        <charset val="204"/>
      </rPr>
      <t xml:space="preserve">                    </t>
    </r>
    <r>
      <rPr>
        <b/>
        <sz val="11"/>
        <rFont val="Times New Roman"/>
        <family val="1"/>
        <charset val="204"/>
      </rPr>
      <t xml:space="preserve">   </t>
    </r>
    <r>
      <rPr>
        <b/>
        <sz val="11"/>
        <color rgb="FFFF0000"/>
        <rFont val="Times New Roman"/>
        <family val="1"/>
        <charset val="204"/>
      </rPr>
      <t xml:space="preserve"> (25 640 800) </t>
    </r>
  </si>
  <si>
    <t>АРД                                     не пошел</t>
  </si>
  <si>
    <t>Кузнецов А.</t>
  </si>
  <si>
    <t>работы проектированию (ПД), поставка лифтов, проведение монтажных пусконаладочных работ лифтового оборудования. Г.Москва Рублевское ш. вл.54</t>
  </si>
  <si>
    <t xml:space="preserve"> "PRIМE TECNOL0GIES" Греция</t>
  </si>
  <si>
    <r>
      <t>75000(ПД)                       +835000 СМР                     +</t>
    </r>
    <r>
      <rPr>
        <sz val="11"/>
        <color rgb="FFFF0000"/>
        <rFont val="Times New Roman"/>
        <family val="1"/>
        <charset val="204"/>
      </rPr>
      <t>50840 евро</t>
    </r>
  </si>
  <si>
    <t xml:space="preserve">услуги  по регулировке  и наладке  трех лифтов производства  компании  SJEC (Китай)  под  заводскими номерами  №№ 22101015, 22101014,22101013 объекта «Остановочный     пункт    Кутузова     (Кутузовская)»  </t>
  </si>
  <si>
    <t>Дог.№ 40-2023-У от 03.11.2023</t>
  </si>
  <si>
    <t>от 27.12.2023</t>
  </si>
  <si>
    <t xml:space="preserve">Замена блока питания МN9 24В/10А Thessen </t>
  </si>
  <si>
    <t>от 10.06.23</t>
  </si>
  <si>
    <t>11/22, 12/22 , 01/23-11/23</t>
  </si>
  <si>
    <t>от 06.12.23</t>
  </si>
  <si>
    <t>ЗАДЕЛ НА ПД</t>
  </si>
  <si>
    <r>
      <rPr>
        <b/>
        <sz val="12"/>
        <rFont val="Times New Roman"/>
        <family val="1"/>
        <charset val="204"/>
      </rPr>
      <t>ЗАО "Предприятие ПАРНАС"</t>
    </r>
    <r>
      <rPr>
        <sz val="11"/>
        <rFont val="Times New Roman"/>
        <family val="1"/>
        <charset val="204"/>
      </rPr>
      <t xml:space="preserve">   Дог.№23168  от 07.07.2023</t>
    </r>
  </si>
  <si>
    <t xml:space="preserve">450000                       +25000                            </t>
  </si>
  <si>
    <t>15.11.2023                             17.11.2023</t>
  </si>
  <si>
    <r>
      <t xml:space="preserve"> Гражданско-правовой договор бюджетного учреждения 
</t>
    </r>
    <r>
      <rPr>
        <sz val="10"/>
        <color rgb="FFFF0000"/>
        <rFont val="Times New Roman"/>
        <family val="1"/>
        <charset val="204"/>
      </rPr>
      <t xml:space="preserve">№ 0580-ШП-23/25 </t>
    </r>
    <r>
      <rPr>
        <sz val="10"/>
        <rFont val="Times New Roman"/>
        <family val="1"/>
        <charset val="204"/>
      </rPr>
      <t xml:space="preserve">  от 29.08.2023
</t>
    </r>
  </si>
  <si>
    <r>
      <rPr>
        <b/>
        <sz val="9"/>
        <rFont val="Times New Roman"/>
        <family val="1"/>
        <charset val="204"/>
      </rPr>
      <t>3 139 966,46</t>
    </r>
    <r>
      <rPr>
        <sz val="9"/>
        <rFont val="Times New Roman"/>
        <family val="1"/>
        <charset val="204"/>
      </rPr>
      <t xml:space="preserve"> руб.                         </t>
    </r>
    <r>
      <rPr>
        <sz val="9"/>
        <rFont val="Times New Roman"/>
        <family val="1"/>
        <charset val="204"/>
      </rPr>
      <t>в мес.</t>
    </r>
    <r>
      <rPr>
        <sz val="9"/>
        <rFont val="Times New Roman"/>
        <family val="1"/>
        <charset val="204"/>
      </rPr>
      <t xml:space="preserve">                                       с 01.07.2023 по 31.05.2025 - </t>
    </r>
    <r>
      <rPr>
        <sz val="9"/>
        <color rgb="FFFF0000"/>
        <rFont val="Times New Roman"/>
        <family val="1"/>
        <charset val="204"/>
      </rPr>
      <t>130832,00</t>
    </r>
    <r>
      <rPr>
        <sz val="9"/>
        <rFont val="Times New Roman"/>
        <family val="1"/>
        <charset val="204"/>
      </rPr>
      <t xml:space="preserve">                         с 01.06.2025  по 30.06.2025 - </t>
    </r>
    <r>
      <rPr>
        <sz val="9"/>
        <color rgb="FFFF0000"/>
        <rFont val="Times New Roman"/>
        <family val="1"/>
        <charset val="204"/>
      </rPr>
      <t>130830,46</t>
    </r>
  </si>
  <si>
    <t xml:space="preserve"> услуги по техническому обслуживанию системы объединенных диспетчерских систем и связанного с ними лифтового и инженерного оборудования по адресу: г.Москва, Cинявинская ул. Дом 11Б и 11Г</t>
  </si>
  <si>
    <t xml:space="preserve"> услуги по техническому обслуживанию системы объединенных диспетчерских систем и связанного с ними лифтового и инженерного оборудования по адресу: г.Москва, Cестрорецкая ул. Дом 6Б и 6А</t>
  </si>
  <si>
    <r>
      <t xml:space="preserve"> Гражданско-правовой договор бюджетного учреждения 
</t>
    </r>
    <r>
      <rPr>
        <sz val="10"/>
        <color rgb="FFFF0000"/>
        <rFont val="Times New Roman"/>
        <family val="1"/>
        <charset val="204"/>
      </rPr>
      <t xml:space="preserve">№ 068-ШП-23 </t>
    </r>
    <r>
      <rPr>
        <sz val="10"/>
        <rFont val="Times New Roman"/>
        <family val="1"/>
        <charset val="204"/>
      </rPr>
      <t xml:space="preserve">  от 12.09.2023
</t>
    </r>
  </si>
  <si>
    <r>
      <t xml:space="preserve">с </t>
    </r>
    <r>
      <rPr>
        <sz val="10"/>
        <rFont val="Times New Roman"/>
        <family val="1"/>
        <charset val="204"/>
      </rPr>
      <t xml:space="preserve">12.09 2023 </t>
    </r>
    <r>
      <rPr>
        <sz val="10"/>
        <rFont val="Times New Roman"/>
        <family val="1"/>
        <charset val="204"/>
      </rPr>
      <t xml:space="preserve">г. по </t>
    </r>
    <r>
      <rPr>
        <sz val="10"/>
        <color rgb="FFFF0000"/>
        <rFont val="Times New Roman"/>
        <family val="1"/>
        <charset val="204"/>
      </rPr>
      <t xml:space="preserve">31.08.2024 г.  </t>
    </r>
  </si>
  <si>
    <t xml:space="preserve">595894,00 руб. </t>
  </si>
  <si>
    <r>
      <rPr>
        <b/>
        <sz val="11"/>
        <color rgb="FFFF0000"/>
        <rFont val="Times New Roman"/>
        <family val="1"/>
        <charset val="204"/>
      </rPr>
      <t>Клейменов</t>
    </r>
    <r>
      <rPr>
        <b/>
        <sz val="11"/>
        <color rgb="FFFF0000"/>
        <rFont val="Times New Roman"/>
        <family val="1"/>
        <charset val="204"/>
      </rPr>
      <t xml:space="preserve">     остаток Дог. перешел на 2023 г. Дог.№270/23 от 12.10.23</t>
    </r>
  </si>
  <si>
    <r>
      <rPr>
        <b/>
        <sz val="11"/>
        <rFont val="Times New Roman"/>
        <family val="1"/>
        <charset val="204"/>
      </rPr>
      <t>3419957,98</t>
    </r>
    <r>
      <rPr>
        <b/>
        <sz val="11"/>
        <rFont val="Times New Roman"/>
        <family val="1"/>
        <charset val="204"/>
      </rPr>
      <t xml:space="preserve"> прошла оплата по акту за вып. Работы -?</t>
    </r>
  </si>
  <si>
    <t>в т.ч. на10793083.72           акты подписаны</t>
  </si>
  <si>
    <t>А.Кузнецов  -    подписаны, оригиналы будут</t>
  </si>
  <si>
    <t>можно перенести на этот договор</t>
  </si>
  <si>
    <t xml:space="preserve">Хутор. </t>
  </si>
  <si>
    <t>ООО "СП Групп"</t>
  </si>
  <si>
    <t>Дог.№ 31/23-О от 05.05.2023</t>
  </si>
  <si>
    <t>выборочное инженерно-техническое обследование строительных конструкций здания ТЦ "КОРОНА" по адресу г.Москва Кронштадский б-р д.7</t>
  </si>
  <si>
    <t>Дог.№ 65/23-О от 01.12.2023</t>
  </si>
  <si>
    <t xml:space="preserve"> инженерно-техническое обследование строительных конструкций смежных лифтовых шахт здания по адресу г.Москва Лубянский пр-д, д.15, стр.2</t>
  </si>
  <si>
    <t xml:space="preserve">поставка , монтаж и пусконаладочные работы </t>
  </si>
  <si>
    <r>
      <t xml:space="preserve">№217-19                          от 22.05.19                     </t>
    </r>
    <r>
      <rPr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ДС №1    от 30.11.21   спросить сканы согл. О расторжении</t>
    </r>
  </si>
  <si>
    <t>3565500:                           обор-е 2815500,           CМР 750000</t>
  </si>
  <si>
    <t>ООО "Самарский Завод Грузоподъемных Механимщзмов" Дог.№36/46-23ПМ от 25.07.2023</t>
  </si>
  <si>
    <t>Акты у Т.А.</t>
  </si>
  <si>
    <t xml:space="preserve">ООО «СК Магистраль », </t>
  </si>
  <si>
    <t>Поставка  малого грузового лифта</t>
  </si>
  <si>
    <t xml:space="preserve">Предприятие ПАРНАС ЛМП» </t>
  </si>
  <si>
    <t>Поставка  малого грузового лифта по адресу г. Москва, остановочный пункт Кутузово</t>
  </si>
  <si>
    <t>все по 6А</t>
  </si>
  <si>
    <t>10 11 12</t>
  </si>
  <si>
    <t xml:space="preserve"> Гражданско-правовой договор бюджетного учреждения 
№ 0580/1474-2023                 март 2023
</t>
  </si>
  <si>
    <t>2024 год (С НДС)</t>
  </si>
  <si>
    <t>ТСЖ "На улице Неждановой"</t>
  </si>
  <si>
    <t>39 недель</t>
  </si>
  <si>
    <t>об.-37500 дол.                    СМР -5955000</t>
  </si>
  <si>
    <t>2024 год</t>
  </si>
  <si>
    <t>с 01.01.2024 - 31.12.2026  (1096 дн.)</t>
  </si>
  <si>
    <t>01/23-12/23</t>
  </si>
  <si>
    <t>Дог.№ 264/23 от 30 .03.2023                             ДС №1 от 15.11.2023</t>
  </si>
  <si>
    <t xml:space="preserve"> от 03.07.23                                от 26/12/23</t>
  </si>
  <si>
    <t>ремонт лифта зав. № 42553241, установленного на Большой спортивной арене «Лужники» по адресу: г. Москва, ул. Лужники, д. 24, стр. 1,</t>
  </si>
  <si>
    <t>30 кал. Дн</t>
  </si>
  <si>
    <t xml:space="preserve"> Дог.№2024/01-с от 16.01.2024 </t>
  </si>
  <si>
    <t>от 29.01.24</t>
  </si>
  <si>
    <r>
      <t xml:space="preserve">Дог.№ 279/23 от 22.11.23 </t>
    </r>
    <r>
      <rPr>
        <sz val="11"/>
        <color rgb="FFFF0000"/>
        <rFont val="Times New Roman"/>
        <family val="1"/>
        <charset val="204"/>
      </rPr>
      <t>ДС №1</t>
    </r>
  </si>
  <si>
    <t xml:space="preserve">01/23-10/23,  </t>
  </si>
  <si>
    <r>
      <rPr>
        <b/>
        <sz val="11"/>
        <rFont val="Times New Roman"/>
        <family val="1"/>
        <charset val="204"/>
      </rPr>
      <t>СОДИМАС</t>
    </r>
    <r>
      <rPr>
        <sz val="11"/>
        <rFont val="Times New Roman"/>
        <family val="1"/>
        <charset val="204"/>
      </rPr>
      <t xml:space="preserve"> Дог.№30/П-2022 от 16.08.2022                         </t>
    </r>
    <r>
      <rPr>
        <sz val="11"/>
        <rFont val="Times New Roman"/>
        <family val="1"/>
        <charset val="204"/>
      </rPr>
      <t>cогл. о расторжен6ии от 16.01.2024</t>
    </r>
  </si>
  <si>
    <r>
      <t xml:space="preserve">Договор у Филюткиной  Дог.№ 255/22                       от 16.08.2022             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- скан    </t>
    </r>
    <r>
      <rPr>
        <b/>
        <sz val="11"/>
        <rFont val="Times New Roman"/>
        <family val="1"/>
        <charset val="204"/>
      </rPr>
      <t>ДС №1 от 10.11.2022</t>
    </r>
  </si>
  <si>
    <t>ООО СОДИМАС" Дог.№6/П-2024 от 29.01.2024</t>
  </si>
  <si>
    <t>Поставка лифтаSODIMAS GROUP-SJEC</t>
  </si>
  <si>
    <t>33000 S CША</t>
  </si>
  <si>
    <t xml:space="preserve">от 14.12.23 </t>
  </si>
  <si>
    <r>
      <t xml:space="preserve">ТО-04/22 от 29.04.22  </t>
    </r>
    <r>
      <rPr>
        <sz val="9"/>
        <color rgb="FFFF0000"/>
        <rFont val="Times New Roman"/>
        <family val="1"/>
        <charset val="204"/>
      </rPr>
      <t xml:space="preserve">                         </t>
    </r>
    <r>
      <rPr>
        <sz val="9"/>
        <color rgb="FF7030A0"/>
        <rFont val="Times New Roman"/>
        <family val="1"/>
        <charset val="204"/>
      </rPr>
      <t xml:space="preserve">ДС №1 от 29.12.22  </t>
    </r>
    <r>
      <rPr>
        <sz val="9"/>
        <color rgb="FF7030A0"/>
        <rFont val="Times New Roman"/>
        <family val="1"/>
        <charset val="204"/>
      </rPr>
      <t>ДС №2 от 28.04.23 срок до 04.24г</t>
    </r>
  </si>
  <si>
    <t>Дог.№280 от 07.12.23</t>
  </si>
  <si>
    <t>от 12.02.24</t>
  </si>
  <si>
    <r>
      <t xml:space="preserve">Дог.№ 279/23 от 22.11.23 эл. Поп. </t>
    </r>
    <r>
      <rPr>
        <sz val="11"/>
        <color rgb="FFFF0000"/>
        <rFont val="Times New Roman"/>
        <family val="1"/>
        <charset val="204"/>
      </rPr>
      <t>ДС №1</t>
    </r>
  </si>
  <si>
    <t>09.01.2023                         от 23.01.24</t>
  </si>
  <si>
    <t>Акционерное общество «Олимпийский комплекс Лужники»,  НЕТ НАШЕЙ ПЕЧАТИ</t>
  </si>
  <si>
    <t xml:space="preserve">ООО "КЕСКО-М"    </t>
  </si>
  <si>
    <r>
      <rPr>
        <b/>
        <sz val="11"/>
        <rFont val="Times New Roman"/>
        <family val="1"/>
        <charset val="204"/>
      </rPr>
      <t>Контракт № 23ТО-820 от 29.12.2023г.</t>
    </r>
    <r>
      <rPr>
        <sz val="11"/>
        <rFont val="Times New Roman"/>
        <family val="1"/>
        <charset val="204"/>
      </rPr>
      <t xml:space="preserve">                                </t>
    </r>
  </si>
  <si>
    <t>Дог. № ПДП 02/23 от 18.04.2023</t>
  </si>
  <si>
    <t>Дог. № 271/23 от 05.06.2023</t>
  </si>
  <si>
    <t>от 05.12.2023                             от 05.12.2023</t>
  </si>
  <si>
    <r>
      <t xml:space="preserve">от 14.07.2023                     08.09.2023                                      от 29.12.2023      </t>
    </r>
    <r>
      <rPr>
        <sz val="11"/>
        <color rgb="FFFF0000"/>
        <rFont val="Times New Roman"/>
        <family val="1"/>
        <charset val="204"/>
      </rPr>
      <t xml:space="preserve">                                        </t>
    </r>
  </si>
  <si>
    <r>
      <t xml:space="preserve">2319182,77        </t>
    </r>
    <r>
      <rPr>
        <sz val="11"/>
        <color rgb="FFFF0000"/>
        <rFont val="Times New Roman"/>
        <family val="1"/>
        <charset val="204"/>
      </rPr>
      <t xml:space="preserve">         </t>
    </r>
    <r>
      <rPr>
        <sz val="11"/>
        <rFont val="Times New Roman"/>
        <family val="1"/>
        <charset val="204"/>
      </rPr>
      <t>+10793083,72                     +9591060,91</t>
    </r>
  </si>
  <si>
    <t>01/23-11/23</t>
  </si>
  <si>
    <t>01/23- 10/23, 12/23</t>
  </si>
  <si>
    <t>11/23</t>
  </si>
  <si>
    <t>№ ТО 207-22  от 20.09.2022                    ДС №1 от 20.09.22            ДС №2 от 21.09.23            ДС №3 от 01.06.23</t>
  </si>
  <si>
    <t>подписан Дог. и АКТ но у Заказчика</t>
  </si>
  <si>
    <r>
      <rPr>
        <b/>
        <sz val="9"/>
        <rFont val="Times New Roman"/>
        <family val="1"/>
        <charset val="204"/>
      </rPr>
      <t>с 01.03.2022 г</t>
    </r>
    <r>
      <rPr>
        <b/>
        <sz val="9"/>
        <color rgb="FFFF0000"/>
        <rFont val="Times New Roman"/>
        <family val="1"/>
        <charset val="204"/>
      </rPr>
      <t>. по</t>
    </r>
    <r>
      <rPr>
        <sz val="9"/>
        <color rgb="FFFF0000"/>
        <rFont val="Times New Roman"/>
        <family val="1"/>
        <charset val="204"/>
      </rPr>
      <t xml:space="preserve"> </t>
    </r>
    <r>
      <rPr>
        <b/>
        <sz val="9"/>
        <color rgb="FFFF0000"/>
        <rFont val="Times New Roman"/>
        <family val="1"/>
        <charset val="204"/>
      </rPr>
      <t>28.02.2025 г (ПАО СБЕРБАНК )</t>
    </r>
  </si>
  <si>
    <r>
      <t>с</t>
    </r>
    <r>
      <rPr>
        <b/>
        <sz val="10"/>
        <rFont val="Times New Roman"/>
        <family val="1"/>
        <charset val="204"/>
      </rPr>
      <t xml:space="preserve"> 01.03.2020        </t>
    </r>
  </si>
  <si>
    <r>
      <t xml:space="preserve">(8 369 853,00)              в мес.                          </t>
    </r>
    <r>
      <rPr>
        <b/>
        <sz val="12"/>
        <color rgb="FFFF0000"/>
        <rFont val="Times New Roman"/>
        <family val="1"/>
        <charset val="204"/>
      </rPr>
      <t>232 495,92</t>
    </r>
  </si>
  <si>
    <r>
      <t>c 01.03.22 г. - 31.12.22 г. - 1470802,80                         c 01.01.23г. - 28.02.25</t>
    </r>
    <r>
      <rPr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4475036,64 (в мес. 172116,79)</t>
    </r>
  </si>
  <si>
    <t>ООО ОТК                                               подписан   СБИС</t>
  </si>
  <si>
    <t>Проведение демонтажа оборудования,  ремонтных, монтажных, пусконаладочных работ, изготовление и установка обрамлений, проведение полного технического освидетельствования, оформление декларации соответствия, устройство диспетчерской связи  в здании, расположенном по адресу: г. Москва, Лубянский проезд, дом 15, строение 2 подписан  на СБИС</t>
  </si>
  <si>
    <t>Дог.№ 282/24  от 26.03.2024 г.</t>
  </si>
  <si>
    <t>ООО "Дельта" №20042023-3 от 20.04.23</t>
  </si>
  <si>
    <t>ЗАДЕЛ</t>
  </si>
  <si>
    <t xml:space="preserve">Поставка лифтового оборудования        (скан)                </t>
  </si>
  <si>
    <r>
      <rPr>
        <sz val="11"/>
        <rFont val="Times New Roman"/>
        <family val="1"/>
        <charset val="204"/>
      </rPr>
      <t xml:space="preserve">Акты КС от 15.01.24                        на 4 910000   </t>
    </r>
    <r>
      <rPr>
        <sz val="11"/>
        <color rgb="FFFF0000"/>
        <rFont val="Times New Roman"/>
        <family val="1"/>
        <charset val="204"/>
      </rPr>
      <t xml:space="preserve">                      </t>
    </r>
    <r>
      <rPr>
        <sz val="11"/>
        <rFont val="Times New Roman"/>
        <family val="1"/>
        <charset val="204"/>
      </rPr>
      <t>1004500 (хранение груж.конт-ра)                420000 (услуги по организации крановых операций0</t>
    </r>
  </si>
  <si>
    <t>ООО СОДИМАС" Дог.№</t>
  </si>
  <si>
    <t xml:space="preserve">ООО  «Альянс  Стандарт»
</t>
  </si>
  <si>
    <t>Дог.№24003 от 24.01.2024</t>
  </si>
  <si>
    <t xml:space="preserve">
 Выполнить работы(услуrи): Провести оценку соответствия и анализ рисков на восьми эскалаторах: зав. №   23J01834,  23J01835,  23J01836,   23J01837,   23J01838,  23J01842,  23J01843,  
установленных   по  адресу:
г. Москва, Остановочный пункт Лианозово (Северный вестибюль) в сроки, указанные в Договоре.</t>
  </si>
  <si>
    <t xml:space="preserve">ООО «АрхитектПроект»
</t>
  </si>
  <si>
    <t>Постаавка двух лифтов г/п 375 кг</t>
  </si>
  <si>
    <t>120 кал.дн.</t>
  </si>
  <si>
    <t>Разработка ПД на  размещение  лифта  в  металлокаркасную внутреннюю шахту,  изготовлению  и  монтажу  на  готовое  основание    металлокаркасной  шахты  для 
 лифта «SODIМAS  GROUP  АКЕ»  Турция  г/п  375  кг  на  две   остановки,  облицовка  шахты прозрачным  стеклом триплекс с точечным креплением  на спайдерах. по адресу</t>
  </si>
  <si>
    <t>Поставка лифта «SODIМAS  GROUP  АКЕ»  Турция  г/п  375  к</t>
  </si>
  <si>
    <t>Дог.№ П 277/23    от 14.11.2023</t>
  </si>
  <si>
    <r>
      <rPr>
        <b/>
        <sz val="11"/>
        <rFont val="Times New Roman"/>
        <family val="1"/>
        <charset val="204"/>
      </rPr>
      <t>Поставка</t>
    </r>
    <r>
      <rPr>
        <sz val="11"/>
        <rFont val="Times New Roman"/>
        <family val="1"/>
        <charset val="204"/>
      </rPr>
      <t xml:space="preserve">  малого грузового лифта</t>
    </r>
  </si>
  <si>
    <t xml:space="preserve"> 01/23-03/23, 05/23,06/23, 08/23-10/23,  12/23, </t>
  </si>
  <si>
    <t xml:space="preserve">04/23, 07/23,  11/23,  </t>
  </si>
  <si>
    <r>
      <t xml:space="preserve"> 01/23-03/23, </t>
    </r>
    <r>
      <rPr>
        <sz val="11"/>
        <color rgb="FFFF0000"/>
        <rFont val="Arial"/>
        <family val="2"/>
        <charset val="204"/>
      </rPr>
      <t>повторно</t>
    </r>
  </si>
  <si>
    <r>
      <t xml:space="preserve">01/23, 02/23, </t>
    </r>
    <r>
      <rPr>
        <sz val="11"/>
        <color rgb="FFFF0000"/>
        <rFont val="Arial"/>
        <family val="2"/>
        <charset val="204"/>
      </rPr>
      <t>повторно</t>
    </r>
  </si>
  <si>
    <t xml:space="preserve"> 01/23-03/23, 05/23,06/23, 08/23-10/23,  12/23,  </t>
  </si>
  <si>
    <t xml:space="preserve">04/23,  07/23, 11/23, </t>
  </si>
  <si>
    <t xml:space="preserve"> 01/23,02/23, 05/23,06/23, 08/23-10/23,  12/23,</t>
  </si>
  <si>
    <t xml:space="preserve">03/23, 04/23,  07/23, 11/23, </t>
  </si>
  <si>
    <t>ООО "Научно-производственное объединение "Телеметрия"</t>
  </si>
  <si>
    <t>135 кал.дн.</t>
  </si>
  <si>
    <t>Монтаж трех комплектов лифтов по адресу г.Калуга ул.Комсмомольская роща д.39</t>
  </si>
  <si>
    <r>
      <t xml:space="preserve">01/23-10/23, </t>
    </r>
    <r>
      <rPr>
        <sz val="10"/>
        <color rgb="FF7030A0"/>
        <rFont val="Times New Roman"/>
        <family val="1"/>
        <charset val="204"/>
      </rPr>
      <t xml:space="preserve"> 02/24-04/24</t>
    </r>
  </si>
  <si>
    <t>Разработка рабочей  документации   по разделу« Вертикальный  транспорт.  Лифты»  на объекте,  расположенном  по адресу: Жилой    комплекс    из   монолитного  железобетона    со   встроенными    торговыми помещениями  и подземным  паркингом  в объеме  1-ой  очереди  реализации  проекта (участок    №2),расположенного   по   адресу:    г.   Москва,    ЗАО,   район    Раменки, Мичуринский   проспект,   вл. 45А,в   составе   транспортного   узла                                                          « Мичуринский</t>
  </si>
  <si>
    <t>21кал.дн</t>
  </si>
  <si>
    <t>Дог.№285/24  от 26/04/2024г.</t>
  </si>
  <si>
    <t>ООО "РЕ-ФОРМА"</t>
  </si>
  <si>
    <t>Дог.№284/24 от 22.04.2024</t>
  </si>
  <si>
    <t>16.05.2024 CБИС</t>
  </si>
  <si>
    <t>Устройство проема с алмазной нарезкой, монтаж стяжки</t>
  </si>
  <si>
    <t>397000 от 13.05.24</t>
  </si>
  <si>
    <t>от 31.10.23                   15.12.2023                            29.12.23                      29.12.23</t>
  </si>
  <si>
    <t>270000                         +180000</t>
  </si>
  <si>
    <t>145000                        2 220 000</t>
  </si>
  <si>
    <t>09.01.2024                            31.01.2024</t>
  </si>
  <si>
    <t xml:space="preserve">01/23-12/23           02/24-03/24            </t>
  </si>
  <si>
    <t>01/24</t>
  </si>
  <si>
    <r>
      <t xml:space="preserve">ТО-04/22 от 29.04.22  </t>
    </r>
    <r>
      <rPr>
        <sz val="9"/>
        <color rgb="FFFF0000"/>
        <rFont val="Times New Roman"/>
        <family val="1"/>
        <charset val="204"/>
      </rPr>
      <t xml:space="preserve">                         </t>
    </r>
    <r>
      <rPr>
        <sz val="9"/>
        <color rgb="FF7030A0"/>
        <rFont val="Times New Roman"/>
        <family val="1"/>
        <charset val="204"/>
      </rPr>
      <t xml:space="preserve">ДС №1 от 29.12.22  </t>
    </r>
    <r>
      <rPr>
        <sz val="9"/>
        <color rgb="FF7030A0"/>
        <rFont val="Times New Roman"/>
        <family val="1"/>
        <charset val="204"/>
      </rPr>
      <t xml:space="preserve">ДС №2 от 28.04.23 срок до 04.24г         </t>
    </r>
    <r>
      <rPr>
        <sz val="9"/>
        <rFont val="Times New Roman"/>
        <family val="1"/>
        <charset val="204"/>
      </rPr>
      <t xml:space="preserve"> ДС №3 от 29.04.23</t>
    </r>
  </si>
  <si>
    <t>ТСЖ "АРБАТ-ТАУЭР"</t>
  </si>
  <si>
    <t>Компрлекс проектных, cтроительно-монтажных и монтажных работ по замене пяти лифтов на лифты производства «SODIMAS GROUP SJEC» (Китай)</t>
  </si>
  <si>
    <t>Дог.№ 289/24 от «10 июня» 2024 г.</t>
  </si>
  <si>
    <r>
      <t>17.05.23-</t>
    </r>
    <r>
      <rPr>
        <b/>
        <sz val="9"/>
        <color rgb="FFFF0000"/>
        <rFont val="Times New Roman"/>
        <family val="1"/>
        <charset val="204"/>
      </rPr>
      <t>31.03.2024             (8,5 мес.)</t>
    </r>
  </si>
  <si>
    <t>Акт на СМР -10116000</t>
  </si>
  <si>
    <t>от 15.01.24</t>
  </si>
  <si>
    <t>об-е 645850,00   долларов США     СМР-                                    4 910 000,0 руб.</t>
  </si>
  <si>
    <t>ООО "ЛАНИТ-ИНТЕГРАЦИЯ"</t>
  </si>
  <si>
    <t>№1930/24 от 01.04.2024 г.</t>
  </si>
  <si>
    <t>12 мес.                        - по 31.03.2025</t>
  </si>
  <si>
    <t>148000 в мес. + 1000 за час доп.работы</t>
  </si>
  <si>
    <r>
      <rPr>
        <b/>
        <sz val="11"/>
        <rFont val="Times New Roman"/>
        <family val="1"/>
        <charset val="204"/>
      </rPr>
      <t xml:space="preserve">ПИУНОВ    </t>
    </r>
    <r>
      <rPr>
        <sz val="11"/>
        <rFont val="Times New Roman"/>
        <family val="1"/>
        <charset val="204"/>
      </rPr>
      <t xml:space="preserve">                       Дог. № ПД 289/24                        от 10.06.24 </t>
    </r>
  </si>
  <si>
    <t>не обслуживаем ?</t>
  </si>
  <si>
    <t>по СБИС</t>
  </si>
  <si>
    <t>595894,00 руб.   (49658)</t>
  </si>
  <si>
    <r>
      <t xml:space="preserve">Услуги по диспетчеризации лифтового оборудования по адресу: </t>
    </r>
    <r>
      <rPr>
        <sz val="10"/>
        <color rgb="FFFF0000"/>
        <rFont val="Times New Roman"/>
        <family val="1"/>
        <charset val="204"/>
      </rPr>
      <t>г. Москва, ул. Сретенка, д. 29</t>
    </r>
  </si>
  <si>
    <t>Дог.№237/21   от 17.03.2021                             ДС №1                                                 от 02.11.2023</t>
  </si>
  <si>
    <t>07/23-12/23          01/24-06/24</t>
  </si>
  <si>
    <t xml:space="preserve"> Гражданско-правовой договор бюджетного учреждения 
№ 0580-ШП-23/25   от 29.08.2023
</t>
  </si>
  <si>
    <t>07.23-12/23             01/24-06/23</t>
  </si>
  <si>
    <t xml:space="preserve">   Акт от 06.05.24     от 03.05.2024                                          -последняя оплата (по отчету по ппроводкам за01.01.2021-07.05.2024</t>
  </si>
  <si>
    <r>
      <t xml:space="preserve">от 14.02.24                    </t>
    </r>
    <r>
      <rPr>
        <sz val="11"/>
        <color rgb="FFFF0000"/>
        <rFont val="Times New Roman"/>
        <family val="1"/>
        <charset val="204"/>
      </rPr>
      <t xml:space="preserve">             </t>
    </r>
    <r>
      <rPr>
        <sz val="11"/>
        <rFont val="Times New Roman"/>
        <family val="1"/>
        <charset val="204"/>
      </rPr>
      <t xml:space="preserve">        от 03.04.24</t>
    </r>
  </si>
  <si>
    <t xml:space="preserve"> закрыт</t>
  </si>
  <si>
    <r>
      <rPr>
        <b/>
        <sz val="11"/>
        <rFont val="Times New Roman"/>
        <family val="1"/>
        <charset val="204"/>
      </rPr>
      <t xml:space="preserve">закрыт   </t>
    </r>
    <r>
      <rPr>
        <sz val="11"/>
        <rFont val="Times New Roman"/>
        <family val="1"/>
        <charset val="204"/>
      </rPr>
      <t xml:space="preserve">                               Егор                            </t>
    </r>
  </si>
  <si>
    <t>Хранение многокомпонентного оборудования на тов. Складе по адресу МО г.Долгопрудный мкр хлебниково Цветочный проезд д.5а стр.2 к.2</t>
  </si>
  <si>
    <t>Дог.№ 288/24  от 14.05.24</t>
  </si>
  <si>
    <t>ООО "ПСК ОЛИМП"                (в папке у секретаря)</t>
  </si>
  <si>
    <t>от 01.07.24</t>
  </si>
  <si>
    <t>115000                      +260000                               +3440000                           +65000</t>
  </si>
  <si>
    <t>Поставка 2-х лифтов Prime Lift MRL "PRIМE TECNOL0GIES" Греция, изготовление и поставка 2-х металлокаркасных шахт и тамбура по адресу: г Санкт-Петербург,  Мошков переулок,  дом 2, литера  А</t>
  </si>
  <si>
    <t>25.06.2024                       19.07.24</t>
  </si>
  <si>
    <t>100000                                    +100000</t>
  </si>
  <si>
    <t>Проведение обследования, разрабртка проекта, заказ оборудования</t>
  </si>
  <si>
    <r>
      <rPr>
        <sz val="12"/>
        <color rgb="FFFF0000"/>
        <rFont val="Times New Roman"/>
        <family val="1"/>
        <charset val="204"/>
      </rPr>
      <t xml:space="preserve">09.01.2023   </t>
    </r>
    <r>
      <rPr>
        <sz val="12"/>
        <rFont val="Times New Roman"/>
        <family val="1"/>
        <charset val="204"/>
      </rPr>
      <t xml:space="preserve">                      от 23.01.24</t>
    </r>
  </si>
  <si>
    <r>
      <t xml:space="preserve">от 28.02.23                             от 24.03.23                 от 30.06.2023                          </t>
    </r>
    <r>
      <rPr>
        <sz val="11"/>
        <color rgb="FFFF0000"/>
        <rFont val="Times New Roman"/>
        <family val="1"/>
        <charset val="204"/>
      </rPr>
      <t xml:space="preserve">    09.02.2024 -? у Т,А,</t>
    </r>
  </si>
  <si>
    <t>отв.Кузнецов А.</t>
  </si>
  <si>
    <t xml:space="preserve">  01/24-06/23</t>
  </si>
  <si>
    <t>07/23-11/23                     01/24-06/23</t>
  </si>
  <si>
    <r>
      <t xml:space="preserve">25000                   +175000                      +5691462,94                      +2005000                           </t>
    </r>
    <r>
      <rPr>
        <b/>
        <sz val="11"/>
        <color rgb="FFFF0000"/>
        <rFont val="Times New Roman"/>
        <family val="1"/>
        <charset val="204"/>
      </rPr>
      <t xml:space="preserve">   +288000                              +117000</t>
    </r>
  </si>
  <si>
    <t>148000</t>
  </si>
  <si>
    <t>90 кал.дн.</t>
  </si>
  <si>
    <t xml:space="preserve"> инженерно-техническое обследование строительных конструкций  лифтовой шахты объекта культурного наследия регионального значения "Городская усадьба П.И.Демидова - А.Б.Куракина кон. Х 5Ш- 21векаб в рамках капитального ремонта здания НИУ ВШЭ по адресу г.Москва, ул.ст.Басманная, д.21/4, стр.1</t>
  </si>
  <si>
    <t>Дог.№ 20/21-О от 20.05.2021г.</t>
  </si>
  <si>
    <t>Акты у Т.А.от 03.06.21</t>
  </si>
  <si>
    <r>
      <rPr>
        <sz val="11"/>
        <rFont val="Times New Roman"/>
        <family val="1"/>
        <charset val="204"/>
      </rPr>
      <t xml:space="preserve">отв.Кузнецов и Волков </t>
    </r>
    <r>
      <rPr>
        <sz val="11"/>
        <color rgb="FF7030A0"/>
        <rFont val="Times New Roman"/>
        <family val="1"/>
        <charset val="204"/>
      </rPr>
      <t xml:space="preserve">                  от 02.12.21 скан                                </t>
    </r>
    <r>
      <rPr>
        <sz val="11"/>
        <rFont val="Times New Roman"/>
        <family val="1"/>
        <charset val="204"/>
      </rPr>
      <t xml:space="preserve">    </t>
    </r>
    <r>
      <rPr>
        <sz val="11"/>
        <color rgb="FFFF0000"/>
        <rFont val="Times New Roman"/>
        <family val="1"/>
        <charset val="204"/>
      </rPr>
      <t xml:space="preserve"> от 30/09/2022                               </t>
    </r>
    <r>
      <rPr>
        <b/>
        <sz val="11"/>
        <color rgb="FFFF0000"/>
        <rFont val="Times New Roman"/>
        <family val="1"/>
        <charset val="204"/>
      </rPr>
      <t xml:space="preserve">от 03.07.232                                         от 04.07.23  </t>
    </r>
    <r>
      <rPr>
        <b/>
        <sz val="11"/>
        <rFont val="Times New Roman"/>
        <family val="1"/>
        <charset val="204"/>
      </rPr>
      <t xml:space="preserve">                                   </t>
    </r>
    <r>
      <rPr>
        <b/>
        <sz val="11"/>
        <color rgb="FFFF0000"/>
        <rFont val="Times New Roman"/>
        <family val="1"/>
        <charset val="204"/>
      </rPr>
      <t xml:space="preserve"> -</t>
    </r>
    <r>
      <rPr>
        <b/>
        <sz val="11"/>
        <color rgb="FFFF0000"/>
        <rFont val="Times New Roman"/>
        <family val="1"/>
        <charset val="204"/>
      </rPr>
      <t xml:space="preserve">у Н.Н.24.10.23 для суда              </t>
    </r>
    <r>
      <rPr>
        <b/>
        <sz val="11"/>
        <color rgb="FF0070C0"/>
        <rFont val="Times New Roman"/>
        <family val="1"/>
        <charset val="204"/>
      </rPr>
      <t xml:space="preserve">  (хранение) от 31.05.24</t>
    </r>
  </si>
  <si>
    <r>
      <t xml:space="preserve">780000                                     </t>
    </r>
    <r>
      <rPr>
        <sz val="11"/>
        <rFont val="Times New Roman"/>
        <family val="1"/>
        <charset val="204"/>
      </rPr>
      <t xml:space="preserve">  +14189055,00                                        +836310                                 +195000 </t>
    </r>
    <r>
      <rPr>
        <sz val="11"/>
        <rFont val="Times New Roman"/>
        <family val="1"/>
        <charset val="204"/>
      </rPr>
      <t xml:space="preserve">       </t>
    </r>
    <r>
      <rPr>
        <sz val="11"/>
        <color rgb="FF0070C0"/>
        <rFont val="Times New Roman"/>
        <family val="1"/>
        <charset val="204"/>
      </rPr>
      <t xml:space="preserve">                103500 -?</t>
    </r>
  </si>
  <si>
    <t>ТСЖ  «Старопетровский двор"</t>
  </si>
  <si>
    <t>Дог.№ ТО-13/24 от 25.07.202</t>
  </si>
  <si>
    <t xml:space="preserve">275 895,0                 в мес.22 991,26               в т.ч.НДС
</t>
  </si>
  <si>
    <r>
      <t xml:space="preserve">r. москва., ул. Старопетровский проезд., д. 12, ко  
</t>
    </r>
    <r>
      <rPr>
        <b/>
        <sz val="10"/>
        <rFont val="Times New Roman"/>
        <family val="1"/>
        <charset val="204"/>
      </rPr>
      <t xml:space="preserve">    </t>
    </r>
  </si>
  <si>
    <t>ООО "Северный  город ХХ1"</t>
  </si>
  <si>
    <r>
      <rPr>
        <b/>
        <sz val="11"/>
        <color rgb="FF7030A0"/>
        <rFont val="Times New Roman"/>
        <family val="1"/>
        <charset val="204"/>
      </rPr>
      <t>24.09.21</t>
    </r>
    <r>
      <rPr>
        <b/>
        <sz val="11"/>
        <color rgb="FFFF0000"/>
        <rFont val="Times New Roman"/>
        <family val="1"/>
        <charset val="204"/>
      </rPr>
      <t xml:space="preserve">     </t>
    </r>
    <r>
      <rPr>
        <b/>
        <sz val="11"/>
        <rFont val="Times New Roman"/>
        <family val="1"/>
        <charset val="204"/>
      </rPr>
      <t xml:space="preserve">                                     от 16.02.21                                 от 17.11.21                             </t>
    </r>
    <r>
      <rPr>
        <b/>
        <sz val="11"/>
        <color rgb="FFFF0000"/>
        <rFont val="Times New Roman"/>
        <family val="1"/>
        <charset val="204"/>
      </rPr>
      <t xml:space="preserve">   </t>
    </r>
    <r>
      <rPr>
        <b/>
        <sz val="11"/>
        <color rgb="FF7030A0"/>
        <rFont val="Times New Roman"/>
        <family val="1"/>
        <charset val="204"/>
      </rPr>
      <t xml:space="preserve">от 10.12.2021                                   </t>
    </r>
    <r>
      <rPr>
        <b/>
        <sz val="11"/>
        <color rgb="FFFF0000"/>
        <rFont val="Times New Roman"/>
        <family val="1"/>
        <charset val="204"/>
      </rPr>
      <t xml:space="preserve"> 01</t>
    </r>
    <r>
      <rPr>
        <b/>
        <sz val="11"/>
        <color rgb="FF7030A0"/>
        <rFont val="Times New Roman"/>
        <family val="1"/>
        <charset val="204"/>
      </rPr>
      <t>.01.2024                                   от 28.06.24</t>
    </r>
  </si>
  <si>
    <t>Изготовление металлических     элементов     в    разборном     виде,    предназначенные        для    устройства разделительных  стенок  в  бетонных  лифтовых  шахтах    на Объекте  по  адресу:  г.Москва, Мичуринский проспект, вл. 45 А (башня А и Б) в составе транспортного узла« Мичуринский проспект».</t>
  </si>
  <si>
    <t>Дог.№290/24  от 22/07/2024г.</t>
  </si>
  <si>
    <t>30 раб.дн</t>
  </si>
  <si>
    <r>
      <rPr>
        <sz val="10"/>
        <rFont val="Times New Roman"/>
        <family val="1"/>
        <charset val="204"/>
      </rPr>
      <t>с «01»сентября 2024 г. по «31»авгуса 2025 г</t>
    </r>
    <r>
      <rPr>
        <sz val="10"/>
        <rFont val="Times New Roman"/>
        <family val="1"/>
        <charset val="204"/>
      </rPr>
      <t xml:space="preserve">.  </t>
    </r>
  </si>
  <si>
    <t xml:space="preserve">Дог.№36/12-2023/291 от 21.12.2023 </t>
  </si>
  <si>
    <r>
      <t>Дог. №</t>
    </r>
    <r>
      <rPr>
        <sz val="11"/>
        <color rgb="FFFF0000"/>
        <rFont val="Times New Roman"/>
        <family val="1"/>
        <charset val="204"/>
      </rPr>
      <t>260/22</t>
    </r>
    <r>
      <rPr>
        <sz val="11"/>
        <rFont val="Times New Roman"/>
        <family val="1"/>
        <charset val="204"/>
      </rPr>
      <t xml:space="preserve"> от 22.09.2022 </t>
    </r>
  </si>
  <si>
    <r>
      <t>Дог.№</t>
    </r>
    <r>
      <rPr>
        <sz val="11"/>
        <color rgb="FFFF0000"/>
        <rFont val="Times New Roman"/>
        <family val="1"/>
        <charset val="204"/>
      </rPr>
      <t>2400/23</t>
    </r>
    <r>
      <rPr>
        <sz val="11"/>
        <rFont val="Times New Roman"/>
        <family val="1"/>
        <charset val="204"/>
      </rPr>
      <t xml:space="preserve"> от 27.06.2023</t>
    </r>
  </si>
  <si>
    <r>
      <t>Дог.№0995400000221000060/</t>
    </r>
    <r>
      <rPr>
        <sz val="11"/>
        <color rgb="FFFF0000"/>
        <rFont val="Times New Roman"/>
        <family val="1"/>
        <charset val="204"/>
      </rPr>
      <t>4709</t>
    </r>
    <r>
      <rPr>
        <sz val="11"/>
        <rFont val="Times New Roman"/>
        <family val="1"/>
        <charset val="204"/>
      </rPr>
      <t>_23 от 02.10.23</t>
    </r>
  </si>
  <si>
    <r>
      <rPr>
        <b/>
        <sz val="11"/>
        <rFont val="Times New Roman"/>
        <family val="1"/>
        <charset val="204"/>
      </rPr>
      <t>Дог.№0995400000221000060/</t>
    </r>
    <r>
      <rPr>
        <b/>
        <sz val="11"/>
        <color rgb="FFFF0000"/>
        <rFont val="Times New Roman"/>
        <family val="1"/>
        <charset val="204"/>
      </rPr>
      <t>4162/22</t>
    </r>
    <r>
      <rPr>
        <b/>
        <sz val="11"/>
        <rFont val="Times New Roman"/>
        <family val="1"/>
        <charset val="204"/>
      </rPr>
      <t xml:space="preserve"> от 23/12/2022</t>
    </r>
    <r>
      <rPr>
        <sz val="11"/>
        <rFont val="Times New Roman"/>
        <family val="1"/>
        <charset val="204"/>
      </rPr>
      <t xml:space="preserve"> </t>
    </r>
    <r>
      <rPr>
        <sz val="11"/>
        <color rgb="FFFF0000"/>
        <rFont val="Times New Roman"/>
        <family val="1"/>
        <charset val="204"/>
      </rPr>
      <t xml:space="preserve">(266/23)                            </t>
    </r>
    <r>
      <rPr>
        <sz val="11"/>
        <rFont val="Times New Roman"/>
        <family val="1"/>
        <charset val="204"/>
      </rPr>
      <t>ДС №1 от 20.02.2023                  ДС №2 от 02.05.2023                 ДС №3 от 23.11.23</t>
    </r>
  </si>
  <si>
    <r>
      <t>Дог.№0995400000221000060/</t>
    </r>
    <r>
      <rPr>
        <sz val="11"/>
        <color rgb="FFFF0000"/>
        <rFont val="Times New Roman"/>
        <family val="1"/>
        <charset val="204"/>
      </rPr>
      <t>4110_2</t>
    </r>
    <r>
      <rPr>
        <sz val="11"/>
        <rFont val="Times New Roman"/>
        <family val="1"/>
        <charset val="204"/>
      </rPr>
      <t>3 от 09/10/2023</t>
    </r>
    <r>
      <rPr>
        <sz val="11"/>
        <color rgb="FFFF0000"/>
        <rFont val="Times New Roman"/>
        <family val="1"/>
        <charset val="204"/>
      </rPr>
      <t xml:space="preserve"> (274/23)  </t>
    </r>
    <r>
      <rPr>
        <sz val="11"/>
        <rFont val="Times New Roman"/>
        <family val="1"/>
        <charset val="204"/>
      </rPr>
      <t xml:space="preserve">               </t>
    </r>
  </si>
  <si>
    <t>техническое обслуживанию и ремонт 6-и пассажирских лифтов    г/п 630 кг и 400 кг  по адресу: г. Москва, ул. Старопетровский проезд., д. 12, корп.4</t>
  </si>
  <si>
    <t xml:space="preserve">04 05 06 07 </t>
  </si>
  <si>
    <t xml:space="preserve"> услуги по техническому обслуживанию системы объединенных диспетчерских систем и связанного с ними лифтового и инженерного оборудования  по адресу:</t>
  </si>
  <si>
    <t>ТСЖ "УСИЕВИЧА 27"</t>
  </si>
  <si>
    <t>Дог.№ ТО-10/24 от 24.07.2024 г.</t>
  </si>
  <si>
    <t>271 397,95                 в мес. 22 616,50              в т.ч.НДС</t>
  </si>
  <si>
    <t>Дог.№ ТО-11/24 от 24.07.2024 г.</t>
  </si>
  <si>
    <t>техническое обслуживание пассажирских лифтов по адресам: Москва, Петровско-Разумовская аллея д.10 корпуса 1,2,3 (18 пасс-х лифтов г/п 400 кг и 630 кг)</t>
  </si>
  <si>
    <t>595 190,88                 в мес. 49 599,24              в т.ч.НДС</t>
  </si>
  <si>
    <t>ЖСК "СОВЕТСКИЙ ПИСАТЕЛЬ"</t>
  </si>
  <si>
    <t>Дог.№ ТО-09/24 от 23.07.2024 г.</t>
  </si>
  <si>
    <t>624 090,82                 в мес. 52 007,57              в т.ч.НДС</t>
  </si>
  <si>
    <t>ЖСК "МАИ-ВИМС"</t>
  </si>
  <si>
    <t>Дог.№ ТО-08/24 от 23.07.2024 г.</t>
  </si>
  <si>
    <t>280 924,80                в мес. 23 410,40              в т.ч.НДС</t>
  </si>
  <si>
    <t>техническое обслуживание пассажирских лифтов по адресам: Москва, Контантина Симонова д.4  (5 пасс-х лифтов г/п 400 кг )</t>
  </si>
  <si>
    <t>ООО "Механика"</t>
  </si>
  <si>
    <t>техническое обслуживание пассажирских лифтов по адресам: Москва, Усиевича 24 (2 пасс-х лифтов г/п 350 кг)</t>
  </si>
  <si>
    <t>100 739,52                 в мес. 8 394,96              в т.ч.НДС</t>
  </si>
  <si>
    <t>Дог.№ ТО-12/24 от 25.07.2024 г.</t>
  </si>
  <si>
    <t>техническое обслуживание пассажирского лифта ( г/п 500 кг) по адресам: Москва, Ленинградский проспект д.80 Б корп.1( г/п 500 кг)</t>
  </si>
  <si>
    <t>Дог.№ ТО-14/24 от 29.07.2024 г.</t>
  </si>
  <si>
    <r>
      <t xml:space="preserve">25000                   +175000                      +5691462,94                      +2005000                           </t>
    </r>
    <r>
      <rPr>
        <b/>
        <sz val="11"/>
        <color rgb="FFFF0000"/>
        <rFont val="Times New Roman"/>
        <family val="1"/>
        <charset val="204"/>
      </rPr>
      <t xml:space="preserve">  </t>
    </r>
    <r>
      <rPr>
        <b/>
        <sz val="11"/>
        <rFont val="Times New Roman"/>
        <family val="1"/>
        <charset val="204"/>
      </rPr>
      <t xml:space="preserve"> +288000                              +117000</t>
    </r>
  </si>
  <si>
    <r>
      <rPr>
        <b/>
        <sz val="11"/>
        <color rgb="FF7030A0"/>
        <rFont val="Times New Roman"/>
        <family val="1"/>
        <charset val="204"/>
      </rPr>
      <t>24.09.21</t>
    </r>
    <r>
      <rPr>
        <b/>
        <sz val="11"/>
        <color rgb="FFFF0000"/>
        <rFont val="Times New Roman"/>
        <family val="1"/>
        <charset val="204"/>
      </rPr>
      <t xml:space="preserve">     </t>
    </r>
    <r>
      <rPr>
        <b/>
        <sz val="11"/>
        <rFont val="Times New Roman"/>
        <family val="1"/>
        <charset val="204"/>
      </rPr>
      <t xml:space="preserve">                                           от 16.02.21                                 от 17.11.21                             </t>
    </r>
    <r>
      <rPr>
        <b/>
        <sz val="11"/>
        <color rgb="FFFF0000"/>
        <rFont val="Times New Roman"/>
        <family val="1"/>
        <charset val="204"/>
      </rPr>
      <t xml:space="preserve">   </t>
    </r>
    <r>
      <rPr>
        <b/>
        <sz val="11"/>
        <color rgb="FF7030A0"/>
        <rFont val="Times New Roman"/>
        <family val="1"/>
        <charset val="204"/>
      </rPr>
      <t xml:space="preserve">от 10.12.2021                  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>01.02.2024                                                 от 31.07.24</t>
    </r>
  </si>
  <si>
    <t>ООО СОДИМАС ГРУП                          Дог.№1/У-2024                  от 07.06.2024</t>
  </si>
  <si>
    <t>Посреднические услуги по поставке и поставка 5-ти лифтов SODIMAS GROUP-SJEC</t>
  </si>
  <si>
    <t>Постака платформы подъмной с наклонным перемещением по сложной трассе для групп населенеия с ограниченными возможностями пепредвижения Моджель ДС-03</t>
  </si>
  <si>
    <t>ООО "Технический центр реабилитации инвалидов "Доступная среда"                   дог.№ 14062024 от 14.06.2024</t>
  </si>
  <si>
    <r>
      <t xml:space="preserve">ООО                                                                    ТД "ЭнергоПромМаш" - </t>
    </r>
    <r>
      <rPr>
        <sz val="14"/>
        <color rgb="FFFF0000"/>
        <rFont val="Times New Roman"/>
        <family val="1"/>
        <charset val="204"/>
      </rPr>
      <t>покупатель у ТОР ЛИФТ</t>
    </r>
  </si>
  <si>
    <t>298 кал.дн. 41 нед.</t>
  </si>
  <si>
    <t>Поставка мобильного подънмника Q-LIFT MOBILE г/п 250 кг</t>
  </si>
  <si>
    <r>
      <t>ООО   "Природа Инвест"</t>
    </r>
    <r>
      <rPr>
        <b/>
        <sz val="10"/>
        <color rgb="FFFF0000"/>
        <rFont val="Times New Roman"/>
        <family val="1"/>
        <charset val="204"/>
      </rPr>
      <t xml:space="preserve"> СБИС</t>
    </r>
  </si>
  <si>
    <t xml:space="preserve">  Техническое  обслуживание грузового гидравлического подъемника с электрическим  управлением  HIDRAL EH/4C,Hidral n S.A. Испания Севилья  грузоподъемностью 6000 кг   по адресу: 
г. Москва, Кадащевская  набережная,  владение №10, 12/2 М. Толмачевский переулок, владение №1-3, 5-7</t>
  </si>
  <si>
    <r>
      <t xml:space="preserve"> Гражданско-правовой договор бюджетного учреждения 
</t>
    </r>
    <r>
      <rPr>
        <sz val="10"/>
        <color rgb="FFFF0000"/>
        <rFont val="Times New Roman"/>
        <family val="1"/>
        <charset val="204"/>
      </rPr>
      <t xml:space="preserve">№ 068-ШП-23 </t>
    </r>
    <r>
      <rPr>
        <sz val="10"/>
        <rFont val="Times New Roman"/>
        <family val="1"/>
        <charset val="204"/>
      </rPr>
      <t xml:space="preserve">  от 12.09.2023 </t>
    </r>
    <r>
      <rPr>
        <sz val="10"/>
        <rFont val="Times New Roman"/>
        <family val="1"/>
        <charset val="204"/>
      </rPr>
      <t>ДС №1 от на расторжение</t>
    </r>
    <r>
      <rPr>
        <sz val="10"/>
        <rFont val="Times New Roman"/>
        <family val="1"/>
        <charset val="204"/>
      </rPr>
      <t xml:space="preserve">
</t>
    </r>
  </si>
  <si>
    <t xml:space="preserve">ГБОУ г.Москвы                                           "Школа № 158"                
</t>
  </si>
  <si>
    <t xml:space="preserve">ГБОУ г.Москвы                                            «Школа Перспектива"                  
</t>
  </si>
  <si>
    <t xml:space="preserve">ГБОУ г.Москвы                                           «Школа Перспектива"                  
</t>
  </si>
  <si>
    <r>
      <rPr>
        <sz val="11"/>
        <color rgb="FF7030A0"/>
        <rFont val="Times New Roman"/>
        <family val="1"/>
        <charset val="204"/>
      </rPr>
      <t>Дог. № 20763 от 10.04.2023</t>
    </r>
    <r>
      <rPr>
        <sz val="11"/>
        <color rgb="FFFF0000"/>
        <rFont val="Times New Roman"/>
        <family val="1"/>
        <charset val="204"/>
      </rPr>
      <t xml:space="preserve"> (272/23)                  </t>
    </r>
    <r>
      <rPr>
        <sz val="11"/>
        <rFont val="Times New Roman"/>
        <family val="1"/>
        <charset val="204"/>
      </rPr>
      <t>ДС №1 от 22 .11.23</t>
    </r>
  </si>
  <si>
    <r>
      <rPr>
        <sz val="12"/>
        <color rgb="FFFF0000"/>
        <rFont val="Times New Roman"/>
        <family val="1"/>
        <charset val="204"/>
      </rPr>
      <t xml:space="preserve">270000   </t>
    </r>
    <r>
      <rPr>
        <sz val="12"/>
        <rFont val="Times New Roman"/>
        <family val="1"/>
        <charset val="204"/>
      </rPr>
      <t xml:space="preserve">                     +180000                 </t>
    </r>
  </si>
  <si>
    <t>ЖСК "УТЕС"</t>
  </si>
  <si>
    <t>Разработка ПД, поставка обор-я 2-х лифтов, монтаж 2 (двух)  пассажирских  лифтов с  зав. №№ 16199,  П18059  (
 630 кг и 400 кг) по адресу: г. Москва, Ленинградское  шоссе, д. 120</t>
  </si>
  <si>
    <t>Дог.№ 292/24  от 30.09.2024</t>
  </si>
  <si>
    <t>64 недели</t>
  </si>
  <si>
    <t>ООО "Креатив мастер"                   дог.№15039С от 15.01.2024                 нет договора</t>
  </si>
  <si>
    <t>Постака мобильной подъемной  платформы подъмной                             Модель Q-LIFT Mechanic г/п 250 кг</t>
  </si>
  <si>
    <t>техническое обслуживание лифтов</t>
  </si>
  <si>
    <t>Ремонт пасс. Лифта №89465 по адресу : г.Москва ул. Усиевичад.27 корп. 1 п.3</t>
  </si>
  <si>
    <t>10 раб. Дн.</t>
  </si>
  <si>
    <t>ремонт 6-ти пасс-х лифтов по адресу: г.Москв, Старопетровский, проезд, д.12, корп.4 подъезды 1,2,3,1а, 2а</t>
  </si>
  <si>
    <t>Дог.№296/24 от 03.10.2024</t>
  </si>
  <si>
    <t>10 р.дн.</t>
  </si>
  <si>
    <t>Акт 1700000   №21 от 03.09.2024</t>
  </si>
  <si>
    <t>Жилищный кооператив  №3 "КИНОРАБОТНИК"</t>
  </si>
  <si>
    <t xml:space="preserve">техническое обслуживание 2-х пассажирских лифов ( г/п 400 кг и 630кг) по адресам: г.Москва, ул.Черняховского д.2 под.1 ,1а   </t>
  </si>
  <si>
    <t>Дог.№ ТО-15/24 от 22.10.2024 г.</t>
  </si>
  <si>
    <t>112 746,24                 в мес.9 395,52                в т.ч.НДС</t>
  </si>
  <si>
    <t>Дог.№ 295/24 от 03.10.2024 г.</t>
  </si>
  <si>
    <r>
      <rPr>
        <b/>
        <sz val="11"/>
        <rFont val="Times New Roman"/>
        <family val="1"/>
        <charset val="204"/>
      </rPr>
      <t xml:space="preserve">10 560 547,72                           (2 этапа) </t>
    </r>
    <r>
      <rPr>
        <sz val="11"/>
        <rFont val="Times New Roman"/>
        <family val="1"/>
        <charset val="204"/>
      </rPr>
      <t xml:space="preserve">                     в т.ч. </t>
    </r>
    <r>
      <rPr>
        <b/>
        <sz val="11"/>
        <rFont val="Times New Roman"/>
        <family val="1"/>
        <charset val="204"/>
      </rPr>
      <t>ПД-</t>
    </r>
    <r>
      <rPr>
        <sz val="11"/>
        <rFont val="Times New Roman"/>
        <family val="1"/>
        <charset val="204"/>
      </rPr>
      <t xml:space="preserve"> 200000  </t>
    </r>
    <r>
      <rPr>
        <sz val="11"/>
        <rFont val="Times New Roman"/>
        <family val="1"/>
        <charset val="204"/>
      </rPr>
      <t xml:space="preserve">                      </t>
    </r>
    <r>
      <rPr>
        <b/>
        <sz val="11"/>
        <rFont val="Times New Roman"/>
        <family val="1"/>
        <charset val="204"/>
      </rPr>
      <t xml:space="preserve">Обор-е:  </t>
    </r>
    <r>
      <rPr>
        <sz val="11"/>
        <rFont val="Times New Roman"/>
        <family val="1"/>
        <charset val="204"/>
      </rPr>
      <t xml:space="preserve">                                </t>
    </r>
    <r>
      <rPr>
        <sz val="11"/>
        <rFont val="Times New Roman"/>
        <family val="1"/>
        <charset val="204"/>
      </rPr>
      <t xml:space="preserve">3 204 346,05                                    +2 414 051,64, </t>
    </r>
    <r>
      <rPr>
        <sz val="11"/>
        <rFont val="Times New Roman"/>
        <family val="1"/>
        <charset val="204"/>
      </rPr>
      <t xml:space="preserve">                     </t>
    </r>
    <r>
      <rPr>
        <b/>
        <sz val="11"/>
        <rFont val="Times New Roman"/>
        <family val="1"/>
        <charset val="204"/>
      </rPr>
      <t xml:space="preserve"> CМР    </t>
    </r>
    <r>
      <rPr>
        <sz val="11"/>
        <rFont val="Times New Roman"/>
        <family val="1"/>
        <charset val="204"/>
      </rPr>
      <t xml:space="preserve">                         </t>
    </r>
    <r>
      <rPr>
        <sz val="11"/>
        <rFont val="Times New Roman"/>
        <family val="1"/>
        <charset val="204"/>
      </rPr>
      <t xml:space="preserve">2 661  649,73                        +2 280  500,30 </t>
    </r>
  </si>
  <si>
    <r>
      <t xml:space="preserve">ТСН "В  Петровском парке" </t>
    </r>
    <r>
      <rPr>
        <sz val="12"/>
        <color rgb="FFFF0000"/>
        <rFont val="Times New Roman"/>
        <family val="1"/>
        <charset val="204"/>
      </rPr>
      <t>отменен</t>
    </r>
  </si>
  <si>
    <r>
      <rPr>
        <b/>
        <sz val="14"/>
        <rFont val="Times New Roman"/>
        <family val="1"/>
        <charset val="204"/>
      </rPr>
      <t xml:space="preserve">закрыт      </t>
    </r>
    <r>
      <rPr>
        <b/>
        <sz val="11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 xml:space="preserve">   </t>
    </r>
    <r>
      <rPr>
        <sz val="11"/>
        <color rgb="FFFF0000"/>
        <rFont val="Times New Roman"/>
        <family val="1"/>
        <charset val="204"/>
      </rPr>
      <t xml:space="preserve">                        отв.Волков                      </t>
    </r>
  </si>
  <si>
    <t>16.05.2024                           17.06.2024                          30.10.2024 Эл.подп.</t>
  </si>
  <si>
    <t>АО "НПФ ГАЗФОНД"</t>
  </si>
  <si>
    <t xml:space="preserve">Замена лебедки  SHI30 Dual в пассажирском лифте AKRON "STAR 2000" зав.№ 510228 (рег.№153625) в здании АО "НПФ ГАЗФОНД" по адресу: г.Москва , Симферопольский б-р, д.13 </t>
  </si>
  <si>
    <t>Дог.№ 294/24 от 11.10.2024 г.</t>
  </si>
  <si>
    <t>обор. -9750 евро                  СМР -180000</t>
  </si>
  <si>
    <t>акт сдачи бух.?</t>
  </si>
  <si>
    <t>ФГБУ Культуры "Всеросийское музейное объедщинение Государственная Третьяковская галерея"</t>
  </si>
  <si>
    <t>контракт №0373100009924000158                  от 03.09.2024</t>
  </si>
  <si>
    <t>техническое обслуживание 2-х пассажирских лифов</t>
  </si>
  <si>
    <t>с 03.09.2024                  -по 31 октября 2025 года</t>
  </si>
  <si>
    <r>
      <t xml:space="preserve">20404862,88                     в мес. </t>
    </r>
    <r>
      <rPr>
        <sz val="10"/>
        <color rgb="FFFF0000"/>
        <rFont val="Times New Roman"/>
        <family val="1"/>
        <charset val="204"/>
      </rPr>
      <t>1360324</t>
    </r>
  </si>
  <si>
    <t xml:space="preserve">Дог.№2024/28-с от 20.09.2024 </t>
  </si>
  <si>
    <t>ремонт лифта зав. № Е2NA7591, № Е2NA7592, № Е2NA7593 установленных по адресу: г. Москва, ул. Лужники, д. 24, стр. 18,</t>
  </si>
  <si>
    <t>от 22.10.2024</t>
  </si>
  <si>
    <t>ремонт пассажирского лифта "THYSSENKRUPP" зав.№298418293 установленного по адресу: г. Москва, ул. Лужники, д. 24, стр. 4,</t>
  </si>
  <si>
    <t>Дог.№2024/572-п от 07.11.2024 г.</t>
  </si>
  <si>
    <t>5 раб.дн</t>
  </si>
  <si>
    <r>
      <t>Дог.№35П/12-2023 от 22.12.2023 /</t>
    </r>
    <r>
      <rPr>
        <sz val="11"/>
        <color rgb="FFFF0000"/>
        <rFont val="Times New Roman"/>
        <family val="1"/>
        <charset val="204"/>
      </rPr>
      <t xml:space="preserve">283 </t>
    </r>
    <r>
      <rPr>
        <sz val="11"/>
        <rFont val="Times New Roman"/>
        <family val="1"/>
        <charset val="204"/>
      </rPr>
      <t xml:space="preserve"> ДС №1 28.12.2023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ДС №2 21.10.2024</t>
    </r>
  </si>
  <si>
    <t>25615312,8   +стекло 4729000,02</t>
  </si>
  <si>
    <t xml:space="preserve">Жилищно-строительный  кооперати «МАИ ВИМС
</t>
  </si>
  <si>
    <t xml:space="preserve">Замена пассажирского лифта зав.№ 28031 по адресу г. Москва, ул. Константина  Симонова,  д. 4, подъезд
</t>
  </si>
  <si>
    <t>3 828 012,25
в т.ч. ПД                  Оборудование
-1781406                                 СМР-1946606,25</t>
  </si>
  <si>
    <t>32 недели</t>
  </si>
  <si>
    <t>Наталья Митяева</t>
  </si>
  <si>
    <t>от 17.10.2024</t>
  </si>
  <si>
    <t>счет-договор №38/23 от14.12.2023</t>
  </si>
  <si>
    <t>ремонт пассажирского лифта зав.№ 02062 по адресу: по адресу: г. Москва, набережная Академика Туполева, д.17</t>
  </si>
  <si>
    <t xml:space="preserve">ремонт пассажирского лифта "MacPur S.A." зав.№ АС-2008-17093 по адресу: по адресу: г. Москва, набережная Академика Туполева, д.17; д. 15, корп. 15, </t>
  </si>
  <si>
    <t>счет-договор № 39/23 от14.12.2023</t>
  </si>
  <si>
    <t>эл.подпись -бух.</t>
  </si>
  <si>
    <t>АО  «Олимпийский комплекс Лужники»</t>
  </si>
  <si>
    <t>ЗАКРЫТ</t>
  </si>
  <si>
    <t>Есть Акт сдачи-приемки от 06.05.24</t>
  </si>
  <si>
    <t>ЗАДЕЛ НА СМР</t>
  </si>
  <si>
    <t>74550 евро                            570000+269387</t>
  </si>
  <si>
    <t>Кмриченко - ?</t>
  </si>
  <si>
    <t xml:space="preserve"> Проведение   обследования   элементов  существующей   лифтовой   шахты 
разработка   ПД   замены  лифтового   оборудования,   демонтаж   лифтового 
оборудования  , поставка  лифтового  оборудования  грузоподъемностью 370  кг  на 8 остановок  без машинного помещения    производства    «   SODIMAS    GROUP    SJEC»    -   (Китай), переделка строительной  части лифтовой  шахты, монтажные  работы  по адресу: г.Москва, Брюсов переулок, дом 2/14, строение 4</t>
  </si>
  <si>
    <t>отв.Волков нет акта1</t>
  </si>
  <si>
    <t>№ ТО 207-22  от 20.09.2022                    ДС №1 от 20.09.22            ДС №2 от 21.09.23            ДС №3 от 01.06.23               ДС №4 от 01.04.2024                        ДС 5 от 10.10.2024</t>
  </si>
  <si>
    <r>
      <rPr>
        <b/>
        <sz val="9"/>
        <rFont val="Times New Roman"/>
        <family val="1"/>
        <charset val="204"/>
      </rPr>
      <t>с 01.03.2023 г.</t>
    </r>
    <r>
      <rPr>
        <b/>
        <sz val="9"/>
        <color rgb="FFFF0000"/>
        <rFont val="Times New Roman"/>
        <family val="1"/>
        <charset val="204"/>
      </rPr>
      <t xml:space="preserve">  По май 2024 г.</t>
    </r>
  </si>
  <si>
    <t>Дог.№14/24 от 17.10.2024</t>
  </si>
  <si>
    <t>25000 в мес.</t>
  </si>
  <si>
    <r>
      <t>с 17.10.2024-</t>
    </r>
    <r>
      <rPr>
        <sz val="9"/>
        <color rgb="FFFF0000"/>
        <rFont val="Arial"/>
        <family val="2"/>
        <charset val="204"/>
      </rPr>
      <t>16.10.2025 с автом. Продлением</t>
    </r>
  </si>
  <si>
    <t>Договор №ВТ/Л-220310 от 01.08.2023  ДС.№2 от 01.12.23                   ДС.№3 от 01.10.24</t>
  </si>
  <si>
    <t xml:space="preserve">  техническое обслуживание 2-х (двух) лифтов (Лифт1 – зав.№23J01767, Лифт2 – зав.№ 23J01768) по адресу: г. Москва, Лубянский проезд, дом 15, стр. 2</t>
  </si>
  <si>
    <t>ЗАДЕЛ на 2025г</t>
  </si>
  <si>
    <t>Пусконаладочные работы</t>
  </si>
  <si>
    <t>ООО "Научно-производственное объединение "Телеметрия"  Дог.№В1154/2/17-2 от 29.07.2024</t>
  </si>
  <si>
    <t>Акт на 610000 от 16.10.2024</t>
  </si>
  <si>
    <t xml:space="preserve">498  500
</t>
  </si>
  <si>
    <t xml:space="preserve">Дог.№2024-0510/15
</t>
  </si>
  <si>
    <t>Акт №301от 03.10.24</t>
  </si>
  <si>
    <t>11/22, 12/22 ,11/22, 12/22 , 01/23-12/23</t>
  </si>
  <si>
    <t>01/24, 03/24, 04/24-10/24</t>
  </si>
  <si>
    <r>
      <rPr>
        <sz val="11"/>
        <color rgb="FF0070C0"/>
        <rFont val="Arial"/>
        <family val="2"/>
        <charset val="204"/>
      </rPr>
      <t xml:space="preserve"> 01/23,02/23, 05/23,06/23, 08/23-10/23, 12/23</t>
    </r>
    <r>
      <rPr>
        <sz val="11"/>
        <rFont val="Arial"/>
        <family val="2"/>
        <charset val="204"/>
      </rPr>
      <t xml:space="preserve">, </t>
    </r>
    <r>
      <rPr>
        <sz val="11"/>
        <color rgb="FF7030A0"/>
        <rFont val="Arial"/>
        <family val="2"/>
        <charset val="204"/>
      </rPr>
      <t xml:space="preserve">              </t>
    </r>
    <r>
      <rPr>
        <sz val="11"/>
        <rFont val="Arial"/>
        <family val="2"/>
        <charset val="204"/>
      </rPr>
      <t>01/24-03/24, 06.24-11.24</t>
    </r>
  </si>
  <si>
    <r>
      <t xml:space="preserve">  </t>
    </r>
    <r>
      <rPr>
        <sz val="11"/>
        <color rgb="FF7030A0"/>
        <rFont val="Arial"/>
        <family val="2"/>
        <charset val="204"/>
      </rPr>
      <t>01/24-03/24,                   06.24-11.24</t>
    </r>
  </si>
  <si>
    <t>от 08.11.24</t>
  </si>
  <si>
    <r>
      <t xml:space="preserve">ООО АРТ_ ЛИФТ"                  </t>
    </r>
    <r>
      <rPr>
        <b/>
        <sz val="11"/>
        <color rgb="FF7030A0"/>
        <rFont val="Times New Roman"/>
        <family val="1"/>
        <charset val="204"/>
      </rPr>
      <t>дог.№М7-07-23 от 20.07.2023</t>
    </r>
  </si>
  <si>
    <t>нет скана</t>
  </si>
  <si>
    <t>Обор-е                               334 367,00 долл. США                        СМР 16 739 000 руб.</t>
  </si>
  <si>
    <t xml:space="preserve">Гражданско-правовой договор № 182-254/05-23эк           от 17.05.2023    </t>
  </si>
  <si>
    <t>ФГБОУ ВО МГППУ</t>
  </si>
  <si>
    <t>120 кал дн. (До 14.08.2023)</t>
  </si>
  <si>
    <t>34 недели (август-сентябрь) 06.08.2023</t>
  </si>
  <si>
    <t>3 880 000 (ПД 115000)</t>
  </si>
  <si>
    <t xml:space="preserve"> Договор №249/21 от 09.12.21   ДС.№1 от 30.01.2023     ДС №2 от                            ДС №3 от 30.01.2023                  ДС №4 от 17.11.23                          ДС №5 от 06.11.24 </t>
  </si>
  <si>
    <r>
      <t>№12/10-ТОР</t>
    </r>
    <r>
      <rPr>
        <b/>
        <sz val="11"/>
        <color rgb="FFFF0000"/>
        <rFont val="Times New Roman"/>
        <family val="1"/>
        <charset val="204"/>
      </rPr>
      <t xml:space="preserve"> (235/20)                             </t>
    </r>
    <r>
      <rPr>
        <b/>
        <sz val="11"/>
        <rFont val="Times New Roman"/>
        <family val="1"/>
        <charset val="204"/>
      </rPr>
      <t xml:space="preserve"> от 12.10.2020                       </t>
    </r>
    <r>
      <rPr>
        <b/>
        <sz val="11"/>
        <rFont val="Times New Roman"/>
        <family val="1"/>
        <charset val="204"/>
      </rPr>
      <t>ДС №1 от 10.02.202</t>
    </r>
    <r>
      <rPr>
        <b/>
        <sz val="11"/>
        <rFont val="Times New Roman"/>
        <family val="1"/>
        <charset val="204"/>
      </rPr>
      <t xml:space="preserve">1                     </t>
    </r>
    <r>
      <rPr>
        <b/>
        <sz val="11"/>
        <rFont val="Times New Roman"/>
        <family val="1"/>
        <charset val="204"/>
      </rPr>
      <t xml:space="preserve">ДС №2 от 18.08.2021 </t>
    </r>
    <r>
      <rPr>
        <b/>
        <sz val="11"/>
        <rFont val="Times New Roman"/>
        <family val="1"/>
        <charset val="204"/>
      </rPr>
      <t xml:space="preserve">                 </t>
    </r>
    <r>
      <rPr>
        <b/>
        <sz val="11"/>
        <rFont val="Times New Roman"/>
        <family val="1"/>
        <charset val="204"/>
      </rPr>
      <t xml:space="preserve">ДС №3 от 12.03.2024 г.                      </t>
    </r>
  </si>
  <si>
    <t>ТСН "Карамель"</t>
  </si>
  <si>
    <t>Техническое обслуживание лифтового оборудования 4-х лифтов по адресу: г.Москва Квессисская 1-я ул. д.9</t>
  </si>
  <si>
    <t>Дог.№ ТО-17/24 от 19.11.2024</t>
  </si>
  <si>
    <t>Техническое обслуживание лифтового оборудования 4-х лифтов по адресу: г.Москва Старопетровский проезд  д.12 корп.1 подъ.1, 1а, 2, 2a</t>
  </si>
  <si>
    <t>Дог.№ ТО-20/24 от 04.12.2024</t>
  </si>
  <si>
    <t>149202,57                        в мес. 12 433,46</t>
  </si>
  <si>
    <t>01.01.2025-31.12.2025</t>
  </si>
  <si>
    <t>ТСН "Старопетровский                   12-1"</t>
  </si>
  <si>
    <r>
      <t xml:space="preserve">Дог.№2022/57-п от 01.03.2022                                                        ДС №1 огт 03.02.2023                  ДС №2  от </t>
    </r>
    <r>
      <rPr>
        <b/>
        <sz val="9"/>
        <color rgb="FFFF0000"/>
        <rFont val="Arial"/>
        <family val="2"/>
        <charset val="204"/>
      </rPr>
      <t>_____</t>
    </r>
  </si>
  <si>
    <r>
      <t xml:space="preserve">Дог.№2022/56-П от 01.03.2022                                        ДС №1 от 03.02.2023              ДС №2  от _____                   </t>
    </r>
    <r>
      <rPr>
        <b/>
        <sz val="9"/>
        <color rgb="FFFF0000"/>
        <rFont val="Arial"/>
        <family val="2"/>
        <charset val="204"/>
      </rPr>
      <t>ДС №4-?</t>
    </r>
  </si>
  <si>
    <r>
      <t xml:space="preserve"> Дог.№2024/24-п от 15.01.2024                     </t>
    </r>
    <r>
      <rPr>
        <b/>
        <sz val="9"/>
        <rFont val="Arial"/>
        <family val="2"/>
        <charset val="204"/>
      </rPr>
      <t xml:space="preserve">  ДС №1</t>
    </r>
    <r>
      <rPr>
        <b/>
        <sz val="9"/>
        <color rgb="FFFF0000"/>
        <rFont val="Arial"/>
        <family val="2"/>
        <charset val="204"/>
      </rPr>
      <t xml:space="preserve">  от _____ </t>
    </r>
  </si>
  <si>
    <t>ТСН "Верхъняя масловка-25"</t>
  </si>
  <si>
    <t>Техническое обслуживание лифтового оборудования 6-и лифтов по адресу: г.Москва ул.Верхняя Масловка д.25 корп.1 подъ.1, 1а, 2, 2a, 3, 3a</t>
  </si>
  <si>
    <t>Дог.№ ТО 22/24 от 10.12.2024</t>
  </si>
  <si>
    <r>
      <rPr>
        <b/>
        <sz val="9"/>
        <color rgb="FFFF0000"/>
        <rFont val="Arial"/>
        <family val="2"/>
        <charset val="204"/>
      </rPr>
      <t>18.12.2024</t>
    </r>
    <r>
      <rPr>
        <b/>
        <sz val="9"/>
        <color rgb="FFFF0000"/>
        <rFont val="Arial"/>
        <family val="2"/>
        <charset val="204"/>
      </rPr>
      <t>-31.12.2025</t>
    </r>
  </si>
  <si>
    <t>650821,39                           в мес. 54235,12</t>
  </si>
  <si>
    <t>уточнить порядок оплаты</t>
  </si>
  <si>
    <r>
      <rPr>
        <sz val="9"/>
        <color rgb="FFFF0000"/>
        <rFont val="Arial"/>
        <family val="2"/>
        <charset val="204"/>
      </rPr>
      <t>с 01.12.2024</t>
    </r>
    <r>
      <rPr>
        <sz val="9"/>
        <rFont val="Arial"/>
        <family val="2"/>
        <charset val="204"/>
      </rPr>
      <t>-</t>
    </r>
    <r>
      <rPr>
        <sz val="9"/>
        <color rgb="FFFF0000"/>
        <rFont val="Arial"/>
        <family val="2"/>
        <charset val="204"/>
      </rPr>
      <t>30.11.2025 г.</t>
    </r>
  </si>
  <si>
    <r>
      <rPr>
        <sz val="10"/>
        <color rgb="FFFF0000"/>
        <rFont val="Times New Roman"/>
        <family val="1"/>
        <charset val="204"/>
      </rPr>
      <t xml:space="preserve">с «11»ноября 2024 </t>
    </r>
    <r>
      <rPr>
        <sz val="10"/>
        <rFont val="Times New Roman"/>
        <family val="1"/>
        <charset val="204"/>
      </rPr>
      <t>г. по «10»ноября  2025 г</t>
    </r>
    <r>
      <rPr>
        <sz val="10"/>
        <rFont val="Times New Roman"/>
        <family val="1"/>
        <charset val="204"/>
      </rPr>
      <t xml:space="preserve">.  </t>
    </r>
  </si>
  <si>
    <r>
      <t>01.01.2024 г. по</t>
    </r>
    <r>
      <rPr>
        <sz val="10"/>
        <color rgb="FFFF0000"/>
        <rFont val="Times New Roman"/>
        <family val="1"/>
        <charset val="204"/>
      </rPr>
      <t xml:space="preserve"> 31.12.2024  эл.подп.</t>
    </r>
  </si>
  <si>
    <t>Ремонт пассажирского лифта с зав.№33332 по адресу: г.Москва Старопетровский проезд  д.12 корп.1 подъ.1</t>
  </si>
  <si>
    <t>Дог.№ 21/24 от 10.12.2024</t>
  </si>
  <si>
    <t>от 25.12.24</t>
  </si>
  <si>
    <t>498  500</t>
  </si>
  <si>
    <t>от 06.12.24</t>
  </si>
  <si>
    <t>3870000  от 12.12.23</t>
  </si>
  <si>
    <r>
      <t xml:space="preserve">Дог. №269/23 от 02.11.23 </t>
    </r>
    <r>
      <rPr>
        <sz val="12"/>
        <color rgb="FFFF0000"/>
        <rFont val="Times New Roman"/>
        <family val="1"/>
        <charset val="204"/>
      </rPr>
      <t>Эл.подп</t>
    </r>
  </si>
  <si>
    <t>1409392,38                 +1060500</t>
  </si>
  <si>
    <r>
      <t xml:space="preserve">Дог.№293/24  от 01/10/2024г.             </t>
    </r>
    <r>
      <rPr>
        <sz val="11"/>
        <rFont val="Times New Roman"/>
        <family val="1"/>
        <charset val="204"/>
      </rPr>
      <t>ДС №1 от 28.10.2024 г</t>
    </r>
  </si>
  <si>
    <t xml:space="preserve">Услуги по эксплуатационно-техническому обслуживанию и содержанию объектов недвижимого и движимого имущества (включая помещения и оборудование), а также прилегающих территорий (далее по тексту – услуги), в соответствии с Техническим заданием </t>
  </si>
  <si>
    <t xml:space="preserve">Услуги по техническому обслуживанию лифтов на территории АО "Лужники" по адресам: г. Москва, ул. Лужники, д.24 ,стр.2, 3, 9, 15, 17, 18, 20, Новолужнецкий пр-д, д.15 </t>
  </si>
  <si>
    <t xml:space="preserve">Услуги технического обслуживания лифтов и подъёмных платформ на территории АО "Лужники"по адресам: г. Москва, ул. Лужники, д.24, стр.4, 6, 7, 11, 38, Новолужнецкий пр-д, д.9, стр. 4, 5, 6 </t>
  </si>
  <si>
    <r>
      <t xml:space="preserve">ООО АРТ_ ЛИФТ"                  </t>
    </r>
    <r>
      <rPr>
        <b/>
        <sz val="11"/>
        <color rgb="FF7030A0"/>
        <rFont val="Times New Roman"/>
        <family val="1"/>
        <charset val="204"/>
      </rPr>
      <t>дог.№М1-11-23 от 01.11.2023</t>
    </r>
  </si>
  <si>
    <t>Акт 700000   №22 от 03.09.2024</t>
  </si>
  <si>
    <t>01/24-08/24</t>
  </si>
  <si>
    <t>21854500                             3786300</t>
  </si>
  <si>
    <t>от 26.09.23                            от 06.12.24</t>
  </si>
  <si>
    <r>
      <t xml:space="preserve">№17592 от01.11.21                  </t>
    </r>
    <r>
      <rPr>
        <b/>
        <sz val="11"/>
        <color rgb="FF7030A0"/>
        <rFont val="Times New Roman"/>
        <family val="1"/>
        <charset val="204"/>
      </rPr>
      <t xml:space="preserve">   (ДС№1 НА Альфа банк)    ДС №2 -переход на ОСНО, </t>
    </r>
    <r>
      <rPr>
        <b/>
        <sz val="11"/>
        <color rgb="FF7030A0"/>
        <rFont val="Times New Roman"/>
        <family val="1"/>
        <charset val="204"/>
      </rPr>
      <t>дата окончания дог</t>
    </r>
    <r>
      <rPr>
        <b/>
        <sz val="11"/>
        <color rgb="FF7030A0"/>
        <rFont val="Times New Roman"/>
        <family val="1"/>
        <charset val="204"/>
      </rPr>
      <t>. ДС №3 от 8.11.2024</t>
    </r>
  </si>
  <si>
    <r>
      <t xml:space="preserve">01.11.21 - </t>
    </r>
    <r>
      <rPr>
        <b/>
        <sz val="11"/>
        <color rgb="FFFF0000"/>
        <rFont val="Times New Roman"/>
        <family val="1"/>
        <charset val="204"/>
      </rPr>
      <t>31.12.24</t>
    </r>
  </si>
  <si>
    <t>ООО «РЕАЛСТРОЙ»</t>
  </si>
  <si>
    <t>Разработка рабочей документации на установку в наружную шахту лифтового оборудования для пассажирского лифта Е3 без машинного помещения на объекте: Выявленный объект культурного наследия «Главный дом городской усадьбы XVIII - XIX вв., 1913 г., архитектор М.Ф.Бугровский, с оградой, 1913 г., архитектор М.Ф.Бугровский. Здесь в разное время жили и работали писатель И.И.Лажечников (1867-1869 гг.), писатель П.И.Мельников-Печерский (1875-1876 гг.), невропатолог А.Я.Кожевников (1893-1898 гг.), советский государственный деятель Л.Б.Красин (1918-1925 гг.)» по адресу: г. Москва, ЦАО, Поварская улица, д. 11, стр. 1.</t>
  </si>
  <si>
    <t>60 кал.дн</t>
  </si>
  <si>
    <t>Акт №29 от 29.10.2023</t>
  </si>
  <si>
    <t>2025 год (С НДС)</t>
  </si>
  <si>
    <t>2025 год</t>
  </si>
  <si>
    <t>10/09/2024                      01.10.2024 сканы</t>
  </si>
  <si>
    <t>Винокуров -закрыт</t>
  </si>
  <si>
    <r>
      <t>с 03.09.2024                  -</t>
    </r>
    <r>
      <rPr>
        <sz val="10"/>
        <color rgb="FFFF0000"/>
        <rFont val="Times New Roman"/>
        <family val="1"/>
        <charset val="204"/>
      </rPr>
      <t>по 31 октября 2025 года</t>
    </r>
  </si>
  <si>
    <r>
      <rPr>
        <sz val="10"/>
        <rFont val="Times New Roman"/>
        <family val="1"/>
        <charset val="204"/>
      </rPr>
      <t xml:space="preserve">с «11»ноября 2024 г. </t>
    </r>
    <r>
      <rPr>
        <sz val="10"/>
        <color rgb="FFFF0000"/>
        <rFont val="Times New Roman"/>
        <family val="1"/>
        <charset val="204"/>
      </rPr>
      <t>по «10»ноября  2025 г</t>
    </r>
    <r>
      <rPr>
        <sz val="10"/>
        <color rgb="FFFF0000"/>
        <rFont val="Times New Roman"/>
        <family val="1"/>
        <charset val="204"/>
      </rPr>
      <t>.</t>
    </r>
    <r>
      <rPr>
        <sz val="10"/>
        <rFont val="Times New Roman"/>
        <family val="1"/>
        <charset val="204"/>
      </rPr>
      <t xml:space="preserve">  </t>
    </r>
  </si>
  <si>
    <r>
      <rPr>
        <sz val="10"/>
        <rFont val="Times New Roman"/>
        <family val="1"/>
        <charset val="204"/>
      </rPr>
      <t xml:space="preserve">с «01»сентября 2024 г. </t>
    </r>
    <r>
      <rPr>
        <sz val="10"/>
        <color rgb="FFFF0000"/>
        <rFont val="Times New Roman"/>
        <family val="1"/>
        <charset val="204"/>
      </rPr>
      <t>по «31»авгуса 2025 г</t>
    </r>
    <r>
      <rPr>
        <sz val="10"/>
        <color rgb="FFFF0000"/>
        <rFont val="Times New Roman"/>
        <family val="1"/>
        <charset val="204"/>
      </rPr>
      <t xml:space="preserve">.  </t>
    </r>
  </si>
  <si>
    <r>
      <t>01.01.2025</t>
    </r>
    <r>
      <rPr>
        <sz val="9"/>
        <color rgb="FFFF0000"/>
        <rFont val="Arial"/>
        <family val="2"/>
        <charset val="204"/>
      </rPr>
      <t>-31.12.2025</t>
    </r>
  </si>
  <si>
    <t>09.24, 10/24, 12/24</t>
  </si>
  <si>
    <t>ФГУП «ДС в ДФО» Управления делами Президента Российской Федерации -CЛО Россия</t>
  </si>
  <si>
    <t>07/23-12/23          01/24-06/24, 12/24</t>
  </si>
  <si>
    <t>07/23-11/23                     01/24-06/23, 12.24</t>
  </si>
  <si>
    <t xml:space="preserve">  01/24-09/23, 12/24</t>
  </si>
  <si>
    <r>
      <t>14.02.2024                               03.04.2024                             05/12/24</t>
    </r>
    <r>
      <rPr>
        <sz val="11"/>
        <color rgb="FFFF0000"/>
        <rFont val="Times New Roman"/>
        <family val="1"/>
        <charset val="204"/>
      </rPr>
      <t xml:space="preserve">                               </t>
    </r>
    <r>
      <rPr>
        <sz val="11"/>
        <color rgb="FF7030A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 20.12.24        </t>
    </r>
  </si>
  <si>
    <t>470000                               +220000                           +8703495,8                             +394560</t>
  </si>
  <si>
    <r>
      <t xml:space="preserve">Волков                         </t>
    </r>
    <r>
      <rPr>
        <b/>
        <sz val="14"/>
        <rFont val="Times New Roman"/>
        <family val="1"/>
        <charset val="204"/>
      </rPr>
      <t xml:space="preserve">  закрыт</t>
    </r>
  </si>
  <si>
    <r>
      <t>Дог.№281/23 от 11.01.24                          ДС №2 от 05.10.24 -</t>
    </r>
    <r>
      <rPr>
        <sz val="11"/>
        <rFont val="Times New Roman"/>
        <family val="1"/>
        <charset val="204"/>
      </rPr>
      <t xml:space="preserve"> с актами КС</t>
    </r>
  </si>
  <si>
    <t>Дог.№ ТО-18/24 от 19.11.2024 г.</t>
  </si>
  <si>
    <t>10 раб.дн.</t>
  </si>
  <si>
    <t>01/24-02/24                далее эл.подп.</t>
  </si>
  <si>
    <t>09/24-12/24</t>
  </si>
  <si>
    <t xml:space="preserve">Договор № ЛФТ_22/23 от 07.10.2022             ДС №1 от 29.12.22  </t>
  </si>
  <si>
    <t>Ремонт  пассажирского  лифта  с  заводским  №  55589     на объекте (многоквартирный   дом)   по   адресу:   г.   Москва,   ул.   Черняховского,   д.   2</t>
  </si>
  <si>
    <t>поставка металла - КУЗНЕЦОВ</t>
  </si>
  <si>
    <t xml:space="preserve"> Разработка рабочей  документации  по установке  3 (трех)  лифтов;   механомонтажные,   электромонтажные, пусконаладочные   работы   3  (трех)  комплектны лифтов  «SODIMAS  GROUP-SJEC»/Китaй на  объекте,  расположенном  по  адресу:  Россия,  г.  Москва,  ул.  Лётная</t>
  </si>
  <si>
    <t>24ТО-738  от 27.12.2024</t>
  </si>
  <si>
    <t>№25ТР-013 от 24.01.2025</t>
  </si>
  <si>
    <t xml:space="preserve">эл.подпись    </t>
  </si>
  <si>
    <t>Ремонтные работы двух лифтов в рамках эксплуатационно-технического обслуживания систем и сетей инженерно-технического обеспечения</t>
  </si>
  <si>
    <t xml:space="preserve">01.01.2025 - 31.12.2025
</t>
  </si>
  <si>
    <t>ПИУНОВ                           Дог. № РД 09/01/25  от 09/01/2025</t>
  </si>
  <si>
    <r>
      <rPr>
        <b/>
        <sz val="12"/>
        <rFont val="Times New Roman"/>
        <family val="1"/>
        <charset val="204"/>
      </rPr>
      <t xml:space="preserve">  </t>
    </r>
    <r>
      <rPr>
        <sz val="11"/>
        <rFont val="Times New Roman"/>
        <family val="1"/>
        <charset val="204"/>
      </rPr>
      <t xml:space="preserve">                            отв.Волков</t>
    </r>
  </si>
  <si>
    <t>Техническое обслуживание 2-х лифтов (Лифт №1 зав.№298420357 Лифт №2 зав.№251770) по адресу: г.Москва, улица Солянка, д.  7, стр.  1, Таганский район, Центральный административный округ города Москвы</t>
  </si>
  <si>
    <t>Дог.№ТО-15/24 от 13.12.2024</t>
  </si>
  <si>
    <t>16.12.2024-15.12.2025</t>
  </si>
  <si>
    <t>в мес. 25000</t>
  </si>
  <si>
    <r>
      <rPr>
        <b/>
        <sz val="12"/>
        <rFont val="Times New Roman"/>
        <family val="1"/>
        <charset val="204"/>
      </rPr>
      <t xml:space="preserve">   </t>
    </r>
    <r>
      <rPr>
        <sz val="11"/>
        <rFont val="Times New Roman"/>
        <family val="1"/>
        <charset val="204"/>
      </rPr>
      <t xml:space="preserve">                            отв.Волков</t>
    </r>
  </si>
  <si>
    <t>Дог.№ 286/24 от 06.05.24                                   ДС №1 от б/lfns     ДС №2</t>
  </si>
  <si>
    <t>Поставка лифта  г/п 1000 кг Италия Moris</t>
  </si>
  <si>
    <t xml:space="preserve">Государственная  корпорация  «Агентство   по  страхованию   вкладов
</t>
  </si>
  <si>
    <t xml:space="preserve"> СБИС</t>
  </si>
  <si>
    <r>
      <t>ООО   "Природа Инвест"</t>
    </r>
    <r>
      <rPr>
        <b/>
        <sz val="10"/>
        <color rgb="FFFF0000"/>
        <rFont val="Times New Roman"/>
        <family val="1"/>
        <charset val="204"/>
      </rPr>
      <t xml:space="preserve"> </t>
    </r>
  </si>
  <si>
    <t xml:space="preserve">ООО "ОТК" </t>
  </si>
  <si>
    <t>Минюст России</t>
  </si>
  <si>
    <t>Контракт №100111746124100293       от 27.12.24</t>
  </si>
  <si>
    <r>
      <t>01.01.2025</t>
    </r>
    <r>
      <rPr>
        <sz val="9"/>
        <color rgb="FFFF0000"/>
        <rFont val="Arial"/>
        <family val="2"/>
        <charset val="204"/>
      </rPr>
      <t>-28.02.2025</t>
    </r>
  </si>
  <si>
    <t>546000,                       в мес. 273000</t>
  </si>
  <si>
    <t>Оказание услуг по проведению технического обслуживания, эксплуатации и диспетчеризациилифтов в административном здании Министерства юстиции Российской Федерации</t>
  </si>
  <si>
    <t>Дог.№21/24 от 10.12.24</t>
  </si>
  <si>
    <t>Ремонт пассажирского  лифта  с  заводским  №  33332 по адресу: г. Москва, Старопетровский пр-д, д. 12, корп.1 подъ.1</t>
  </si>
  <si>
    <t>от 24.12.2024</t>
  </si>
  <si>
    <t>16425434,4   +6767568                        + 7834038                            +11251078,8                           +3280030,8</t>
  </si>
  <si>
    <t>31.10.2023            15.12.23                                  29.12.23                                     29.12.2023                                 от 31.10.2024</t>
  </si>
  <si>
    <t>42278119,2 -2023 г            3280030,80 -2024г            всего 45558150</t>
  </si>
  <si>
    <t>Предприятие ПАРНАС ЛМП»  Дог.№23292 от 15.11.2023</t>
  </si>
  <si>
    <t>СтройЛифтСервис  Дог.№ СЛС 250/23 от 12.01.2023</t>
  </si>
  <si>
    <r>
      <t xml:space="preserve">Миносян  Дог.№ М 250/2023 от 11.01.2023 </t>
    </r>
    <r>
      <rPr>
        <b/>
        <sz val="11"/>
        <color rgb="FFFF0000"/>
        <rFont val="Times New Roman"/>
        <family val="1"/>
        <charset val="204"/>
      </rPr>
      <t>200000?</t>
    </r>
    <r>
      <rPr>
        <b/>
        <sz val="11"/>
        <rFont val="Times New Roman"/>
        <family val="1"/>
        <charset val="204"/>
      </rPr>
      <t>перенесен на СтойЛифтСервис</t>
    </r>
  </si>
  <si>
    <t>Акт №1 от 23.05.23 на 720000</t>
  </si>
  <si>
    <r>
      <t>Дог.№ ТЛ/ЭПМ-01 от 01.08.2022</t>
    </r>
    <r>
      <rPr>
        <b/>
        <sz val="11"/>
        <color rgb="FFFF0000"/>
        <rFont val="Times New Roman"/>
        <family val="1"/>
        <charset val="204"/>
      </rPr>
      <t xml:space="preserve"> (268/23) </t>
    </r>
    <r>
      <rPr>
        <b/>
        <sz val="11"/>
        <rFont val="Times New Roman"/>
        <family val="1"/>
        <charset val="204"/>
      </rPr>
      <t>Спецификация №5  ДС №7</t>
    </r>
  </si>
  <si>
    <t>Кузнецов</t>
  </si>
  <si>
    <t>Разработка  проектной документации на   замену    двух   пассажирских    лифтов    в   административном   здании  по  адресу  109240,  г. Москва, ул. Высоцкого, д. 4                                                                                                                     Сметы в ТСН</t>
  </si>
  <si>
    <t>от 29.01.24 у Маши</t>
  </si>
  <si>
    <t>выполнение по актам КС</t>
  </si>
  <si>
    <t>АО "БИЗНЕС-НЕДВИЖИМОСТЬ"</t>
  </si>
  <si>
    <t>Дог.№ ТР 23/25 от 21.01.2025</t>
  </si>
  <si>
    <t>Ремонт  пассажирского лифта с заводским № 156907, 400 кг, 14 остановок на объекте (многоквартирный дом) по адресу: Москва, Усиевича ул., д. 27, корп. 1, под. 2а</t>
  </si>
  <si>
    <t>ТР 27/25  от 26.02.2025</t>
  </si>
  <si>
    <t>03.03.2025</t>
  </si>
  <si>
    <t>28.02.2025</t>
  </si>
  <si>
    <t>Дог.№ ТО 26/25 от 25.02.2025 г.</t>
  </si>
  <si>
    <r>
      <t>от 01.03.25 -</t>
    </r>
    <r>
      <rPr>
        <sz val="10"/>
        <color rgb="FFFF0000"/>
        <rFont val="Times New Roman"/>
        <family val="1"/>
        <charset val="204"/>
      </rPr>
      <t>28.02.2026</t>
    </r>
  </si>
  <si>
    <r>
      <t xml:space="preserve">318848,26                                                 </t>
    </r>
    <r>
      <rPr>
        <sz val="10"/>
        <color rgb="FFFF0000"/>
        <rFont val="Times New Roman"/>
        <family val="1"/>
        <charset val="204"/>
      </rPr>
      <t>в т.ч. в мес.                            26 570,69</t>
    </r>
  </si>
  <si>
    <t>Обследование несущих конструкций  лифтовых шахт,  Разработка проекта замены лифта на лифт SODIMASW GROUP-SJES,  расположенном  по  адресу:   г.  Москва,  Рублевское шоссе д.10</t>
  </si>
  <si>
    <r>
      <t xml:space="preserve">Дог.№297/24  от 02/12/2024г.             </t>
    </r>
    <r>
      <rPr>
        <sz val="11"/>
        <rFont val="Times New Roman"/>
        <family val="1"/>
        <charset val="204"/>
      </rPr>
      <t>ДС №1 от 28.10.2024 г</t>
    </r>
  </si>
  <si>
    <t xml:space="preserve">Дог.№297/24  от 02/12/2024г.             </t>
  </si>
  <si>
    <t>7 нед.</t>
  </si>
  <si>
    <t>Федеральное гос.бюджетное учреждение науки Фед-й исследовательский центр "Институт общей физики им. А.М прохорова (ИОФ РАН)</t>
  </si>
  <si>
    <t>Контракт №2513 от 07.03.2025 г.</t>
  </si>
  <si>
    <t>Контракт №2512 от 07.03.2025 г.</t>
  </si>
  <si>
    <t>25 кал.дн</t>
  </si>
  <si>
    <r>
      <rPr>
        <sz val="11"/>
        <rFont val="Times New Roman"/>
        <family val="1"/>
        <charset val="204"/>
      </rPr>
      <t>5385600</t>
    </r>
    <r>
      <rPr>
        <sz val="11"/>
        <rFont val="Times New Roman"/>
        <family val="1"/>
        <charset val="204"/>
      </rPr>
      <t xml:space="preserve">                                      (в т.ч без НДС.                        ПР-165000                    Об- 2893000                      СМРиПН -1340000</t>
    </r>
  </si>
  <si>
    <t>от 23.01.2025</t>
  </si>
  <si>
    <t>Техническое обслуживание Оборудования по адресу г.Москва Фестивальная у. д.22 корп.6 п.1, 1а, 2, 2а</t>
  </si>
  <si>
    <t xml:space="preserve">Жилищно-строительный  кооператив "СКОРОСТЬ"
</t>
  </si>
  <si>
    <t xml:space="preserve">Дог.№П-298/24 </t>
  </si>
  <si>
    <r>
      <t xml:space="preserve">Акционерное общество </t>
    </r>
    <r>
      <rPr>
        <sz val="13.5"/>
        <rFont val="TimesNewRoman???????"/>
      </rPr>
      <t>«Рикор Электроникс»</t>
    </r>
  </si>
  <si>
    <t xml:space="preserve">ТСН "в Петровском парке"                  </t>
  </si>
  <si>
    <t>Дог.№ ТР 32/25 от 24.03.2025</t>
  </si>
  <si>
    <t xml:space="preserve">ремонт пассажирского  лифта  с  заводским  №  155583 грузоподъемностью 400 кг., 7 остановок,  скорость   1 м/с.
  по  адресу:  r  г.  Москва,  Петровско-Разумовска аллея,  д.10,  к.  3,  под.10  </t>
  </si>
  <si>
    <t>от 31.01.25</t>
  </si>
  <si>
    <t>452000 (на СМР)УПД</t>
  </si>
  <si>
    <t>Федеральное    государственное   бюджетное    учреждение   .культуры       «Всероссийское музейное объединение "Государётвенная  Третьяковская  галерея»</t>
  </si>
  <si>
    <t>монтаж  системы  СКУД  в  лифтахвi зданий  Государётвенной  Третьяковской  галери  по адресу: г.   Москва,Кадашевская  наб. ,д.12</t>
  </si>
  <si>
    <t xml:space="preserve">Дог.№2403/1-25              от 24.03.2025 года
</t>
  </si>
  <si>
    <r>
      <t xml:space="preserve">Разработка проектной документации на капитальный ремонт </t>
    </r>
    <r>
      <rPr>
        <sz val="12"/>
        <rFont val="Times New Roman"/>
        <family val="1"/>
        <charset val="204"/>
      </rPr>
      <t>двух пассажирских</t>
    </r>
    <r>
      <rPr>
        <sz val="12"/>
        <rFont val="Times New Roman"/>
        <family val="1"/>
        <charset val="204"/>
      </rPr>
      <t xml:space="preserve">  лифтов здании ИОФ РАН по адресу г.Москва ул.Вавилова д.38 корп.5</t>
    </r>
  </si>
  <si>
    <t>Дог.№ ТР 33/25 от 03.04.2025</t>
  </si>
  <si>
    <t>Дог.№ ТО-19/24 от 27.11.2024</t>
  </si>
  <si>
    <t>ЖСК  №3 "КИНОРАБОТНИК"</t>
  </si>
  <si>
    <t>ремон пассажирского лифта с заводским № П-34011    на
объекте  (многоквартирный  дом)  по  адресу:  г.  Москва,  улица   Усиевича,  дом  24,</t>
  </si>
  <si>
    <t>ЖСК "Советский писатель"</t>
  </si>
  <si>
    <t xml:space="preserve">ремонт пассажирского лифта с заводским № 155579, грузоподъемностью 630 кг., 10 остановок, скорость  1 м/с. по адресу: г. Москва, Петровско-Разумовская аллея, д.10, к. 1, под.3 </t>
  </si>
  <si>
    <t xml:space="preserve">90  900,72
</t>
  </si>
  <si>
    <t>Дог.№ТР25/25 от 05.02.2025</t>
  </si>
  <si>
    <t xml:space="preserve">Дог. № БН-02/2025 от 24.01.2025 г.
</t>
  </si>
  <si>
    <t>Ремонт пассажирского лифта с заводским  № 156905, грузоподъемностью  400  кг, по адресу: г. Москва, Усиевича  ул.,  д. 27, корп. 1,  под. 1a</t>
  </si>
  <si>
    <t>01.04.2025</t>
  </si>
  <si>
    <t>Дог.№31/25 от 19.03.2025</t>
  </si>
  <si>
    <t>ТСН "Верхняя масловка-25"</t>
  </si>
  <si>
    <t>Федеральное гос.бюджетное учреждение науки Фед-й исследовательский центр "Институт общей физики им. А.М Прохорова (ИОФ РАН)</t>
  </si>
  <si>
    <t>ООО "Объединенная строительная компания 1520"</t>
  </si>
  <si>
    <r>
      <t xml:space="preserve">8 100  000   в мес. 615000       -583000      </t>
    </r>
    <r>
      <rPr>
        <b/>
        <sz val="9"/>
        <color rgb="FFFF0000"/>
        <rFont val="Arial"/>
        <family val="2"/>
        <charset val="204"/>
      </rPr>
      <t xml:space="preserve">  СБИС</t>
    </r>
  </si>
  <si>
    <t xml:space="preserve"> ООО «Эпоха возрождения» </t>
  </si>
  <si>
    <t>Дог.№ 28/25 от  28.02.2025 г.</t>
  </si>
  <si>
    <t>12800 - в мес.</t>
  </si>
  <si>
    <t>Техническое обслуживание лифта (зав.№ 298409120) по адресуг.Москва Малый Новопесковский переулок д.8</t>
  </si>
  <si>
    <t>от 01.03.25 -28.02.2026</t>
  </si>
  <si>
    <t xml:space="preserve">Ремонт  пассажирских и грузопассажирских лифтов,   по адресу: г. Москва, улица Верхняя Масловка, дом 25, корпус 1, подъезд 1, подъезд 2, подъезд 3 </t>
  </si>
  <si>
    <t>Дог.№ 30/25 от 14.03.2025</t>
  </si>
  <si>
    <t>от 26.02.25</t>
  </si>
  <si>
    <t>Обор-е                               334 367,00 долл. США                        СМР 16 793 000 руб.</t>
  </si>
  <si>
    <t>эл подпись</t>
  </si>
  <si>
    <t>Дог. №ТО-16/24 от 13.11.2024</t>
  </si>
  <si>
    <r>
      <rPr>
        <sz val="10"/>
        <rFont val="Times New Roman"/>
        <family val="1"/>
        <charset val="204"/>
      </rPr>
      <t>с 01.12.2024-</t>
    </r>
    <r>
      <rPr>
        <sz val="10"/>
        <color rgb="FFFF0000"/>
        <rFont val="Times New Roman"/>
        <family val="1"/>
        <charset val="204"/>
      </rPr>
      <t>31.08.2025</t>
    </r>
  </si>
  <si>
    <t>49599,24 в мес.</t>
  </si>
  <si>
    <r>
      <rPr>
        <sz val="9"/>
        <rFont val="Arial"/>
        <family val="2"/>
        <charset val="204"/>
      </rPr>
      <t>с 01.12.2024</t>
    </r>
    <r>
      <rPr>
        <sz val="9"/>
        <rFont val="Arial"/>
        <family val="2"/>
        <charset val="204"/>
      </rPr>
      <t>-</t>
    </r>
    <r>
      <rPr>
        <sz val="9"/>
        <color rgb="FFFF0000"/>
        <rFont val="Arial"/>
        <family val="2"/>
        <charset val="204"/>
      </rPr>
      <t>30.11.2025 г.</t>
    </r>
  </si>
  <si>
    <r>
      <rPr>
        <sz val="9"/>
        <rFont val="Arial"/>
        <family val="2"/>
        <charset val="204"/>
      </rPr>
      <t>с 01.01.202</t>
    </r>
    <r>
      <rPr>
        <sz val="9"/>
        <color rgb="FFFF0000"/>
        <rFont val="Arial"/>
        <family val="2"/>
        <charset val="204"/>
      </rPr>
      <t>5</t>
    </r>
    <r>
      <rPr>
        <sz val="9"/>
        <rFont val="Arial"/>
        <family val="2"/>
        <charset val="204"/>
      </rPr>
      <t>-</t>
    </r>
    <r>
      <rPr>
        <sz val="9"/>
        <color rgb="FFFF0000"/>
        <rFont val="Arial"/>
        <family val="2"/>
        <charset val="204"/>
      </rPr>
      <t>31.12.2025 г.</t>
    </r>
  </si>
  <si>
    <t>эл.подп</t>
  </si>
  <si>
    <t>задел 199200</t>
  </si>
  <si>
    <t>399999,60           (199999,80                      в мес.)</t>
  </si>
  <si>
    <t>по Контур диадок</t>
  </si>
  <si>
    <t>Дог.№293/24  от 01/10/2024г.                 ДС №1 от 28.10.2024</t>
  </si>
  <si>
    <t>7800000             по ДС - 975000</t>
  </si>
  <si>
    <t>ЗАКРЫТ по ДС №1</t>
  </si>
  <si>
    <t>услуги по эксплуатации лифтового оборудования 27  лифтов</t>
  </si>
  <si>
    <r>
      <t>с 01.04.25</t>
    </r>
    <r>
      <rPr>
        <b/>
        <sz val="10"/>
        <color rgb="FFFF0000"/>
        <rFont val="Times New Roman"/>
        <family val="1"/>
        <charset val="204"/>
      </rPr>
      <t>-</t>
    </r>
    <r>
      <rPr>
        <b/>
        <sz val="10"/>
        <rFont val="Times New Roman"/>
        <family val="1"/>
        <charset val="204"/>
      </rPr>
      <t>30.06.25</t>
    </r>
  </si>
  <si>
    <t>ООО   «ЖелДорСтрой</t>
  </si>
  <si>
    <t>«Этап 4.7 «Реконструкция остановочного пункта Тестовская»(Код ИП:  001.2021.10002368) - комплекс строительно-монтажных работ</t>
  </si>
  <si>
    <t>Ремонт 4-х грузопассажирских лифтов с заводским № 42154067   в секции 1; с заводским   № 42154068 в секции 1; с заводским   № 42154069 в секция  2;  с  заводским  №  42154070 в секция 2 на объекте по адресу: г.  Москва, 1-я Квесисская ул., д. 9</t>
  </si>
  <si>
    <t>ЕГОР</t>
  </si>
  <si>
    <t>3959304                        +3991634                              +7527451                                        + 13158435</t>
  </si>
  <si>
    <t>Работы по ремонту лифтового оборудования по адресам:                     г. Москва, Красноармейская ул., д. 21, д.29 (многоквартирные дома)</t>
  </si>
  <si>
    <r>
      <t>обор. -</t>
    </r>
    <r>
      <rPr>
        <sz val="11"/>
        <color rgb="FFFF0000"/>
        <rFont val="Times New Roman"/>
        <family val="1"/>
        <charset val="204"/>
      </rPr>
      <t>9750 евро</t>
    </r>
    <r>
      <rPr>
        <sz val="11"/>
        <rFont val="Times New Roman"/>
        <family val="1"/>
        <charset val="204"/>
      </rPr>
      <t xml:space="preserve">  (1280000)                СМР -180000</t>
    </r>
  </si>
  <si>
    <t>07/23</t>
  </si>
  <si>
    <t>03/23-06/23, 08/23-12/23</t>
  </si>
  <si>
    <r>
      <rPr>
        <b/>
        <sz val="9"/>
        <color rgb="FF7030A0"/>
        <rFont val="Arial"/>
        <family val="2"/>
        <charset val="204"/>
      </rPr>
      <t xml:space="preserve">Дог.№2023/68-П от 13.02.2023       </t>
    </r>
    <r>
      <rPr>
        <b/>
        <sz val="9"/>
        <color rgb="FFFF0000"/>
        <rFont val="Arial"/>
        <family val="2"/>
        <charset val="204"/>
      </rPr>
      <t xml:space="preserve">   </t>
    </r>
    <r>
      <rPr>
        <b/>
        <sz val="9"/>
        <color rgb="FF002060"/>
        <rFont val="Arial"/>
        <family val="2"/>
        <charset val="204"/>
      </rPr>
      <t xml:space="preserve">ДС №1 </t>
    </r>
    <r>
      <rPr>
        <b/>
        <sz val="9"/>
        <color rgb="FFFF0000"/>
        <rFont val="Arial"/>
        <family val="2"/>
        <charset val="204"/>
      </rPr>
      <t xml:space="preserve">                                       </t>
    </r>
  </si>
  <si>
    <t>Дог.№ ТР 34/25 от 12.05.2025</t>
  </si>
  <si>
    <t>от 23.05.25</t>
  </si>
  <si>
    <t>23.04.25                         27.05.25</t>
  </si>
  <si>
    <r>
      <t xml:space="preserve"> 01/23,02/23, 05/23,06/23, 08/23-10/23,  12/23,               01/24-04/2</t>
    </r>
    <r>
      <rPr>
        <sz val="11"/>
        <color rgb="FF7030A0"/>
        <rFont val="Arial"/>
        <family val="2"/>
        <charset val="204"/>
      </rPr>
      <t xml:space="preserve">4, </t>
    </r>
    <r>
      <rPr>
        <sz val="11"/>
        <rFont val="Arial"/>
        <family val="2"/>
        <charset val="204"/>
      </rPr>
      <t>06.24-11.24</t>
    </r>
  </si>
  <si>
    <r>
      <rPr>
        <sz val="11"/>
        <color rgb="FF0070C0"/>
        <rFont val="Arial"/>
        <family val="2"/>
        <charset val="204"/>
      </rPr>
      <t xml:space="preserve"> 01/23,02/23, 05/23,06/23, 08/23-10/23, 12/23</t>
    </r>
    <r>
      <rPr>
        <sz val="11"/>
        <rFont val="Arial"/>
        <family val="2"/>
        <charset val="204"/>
      </rPr>
      <t xml:space="preserve">, </t>
    </r>
    <r>
      <rPr>
        <sz val="11"/>
        <color rgb="FF7030A0"/>
        <rFont val="Arial"/>
        <family val="2"/>
        <charset val="204"/>
      </rPr>
      <t xml:space="preserve">              </t>
    </r>
    <r>
      <rPr>
        <sz val="11"/>
        <rFont val="Arial"/>
        <family val="2"/>
        <charset val="204"/>
      </rPr>
      <t>01/24-04/24, 06.24-11.24</t>
    </r>
  </si>
  <si>
    <t xml:space="preserve"> 01/23,02/23, 05/23,06/23, 08/23-10/23,  12/23,               01/24-04/24, 06.24-11.24</t>
  </si>
  <si>
    <t>01.01.24, 04.03.24</t>
  </si>
  <si>
    <t>27.01.2025                       28.05.2025</t>
  </si>
  <si>
    <t>100000                       +150000</t>
  </si>
  <si>
    <t xml:space="preserve">03/23, 04/23, 07/23,                     05/24   </t>
  </si>
  <si>
    <t xml:space="preserve">05/24   </t>
  </si>
  <si>
    <t>от 05.05.2025</t>
  </si>
  <si>
    <t xml:space="preserve">Дог.№ 12-05-2025В          от 29.05 25г
</t>
  </si>
  <si>
    <t xml:space="preserve">     проведение оценки соответствия   лифта при вводе в эксплуатацию в форме полного технического освидетельствования и выполнение электроизмерительных работ в соответствии с требованиями технического регламента Таможенного союза  H672 лифтов» ТР ТС F670011/2011</t>
  </si>
  <si>
    <t xml:space="preserve">Замена    четырех  пассажирских  лифтов  «SODIMAS  GROUP  SJEC»  -  производств Китай,   по   адресу:                          г. Москва,   Коломенский   проезд,   д.13А   </t>
  </si>
  <si>
    <t xml:space="preserve">31.10.2023                                    15.12.2023                                 29.12.2023                                   </t>
  </si>
  <si>
    <t>16425434,4                           + 6767568                              +19085116,8</t>
  </si>
  <si>
    <t xml:space="preserve">Договор №ВТ/Л-220310 от 01.08.2023  ДС.№2 от 01.12.23                  </t>
  </si>
  <si>
    <t>уточнить проводку актов</t>
  </si>
  <si>
    <r>
      <t>Акт от 24.06. 2024 на</t>
    </r>
    <r>
      <rPr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>200000</t>
    </r>
    <r>
      <rPr>
        <b/>
        <sz val="11"/>
        <rFont val="Times New Roman"/>
        <family val="1"/>
        <charset val="204"/>
      </rPr>
      <t xml:space="preserve"> руб</t>
    </r>
    <r>
      <rPr>
        <sz val="11"/>
        <rFont val="Times New Roman"/>
        <family val="1"/>
        <charset val="204"/>
      </rPr>
      <t xml:space="preserve">.                         </t>
    </r>
    <r>
      <rPr>
        <b/>
        <sz val="11"/>
        <color rgb="FFFF0000"/>
        <rFont val="Times New Roman"/>
        <family val="1"/>
        <charset val="204"/>
      </rPr>
      <t>кор на 300000</t>
    </r>
  </si>
  <si>
    <t>100000                                   +100000                              +100000</t>
  </si>
  <si>
    <t>25.06.2024                           19.07.24                         03.10.24</t>
  </si>
  <si>
    <t>Замена лифтового оборудования пассажирского  лифта  г/п 1ООО  кг.,  на 7 остановок  в административном   здании   по адресу: г. Москва, ул. Малая Полянка, д.3</t>
  </si>
  <si>
    <t xml:space="preserve">ООО «АВРОРА»
</t>
  </si>
  <si>
    <t>Монтаж Оборудования:  двух  подъемных  платформ  БК 320  г/п 250  кг для  перемещения  инвалидов  и других маломобильных групп населения (МГН) по наклонной траектории,   получение акта  полного технического освидетельствование на оборудование на Объекте: Реконструкция  станции Мытищи</t>
  </si>
  <si>
    <t xml:space="preserve">1400000
</t>
  </si>
  <si>
    <t>ООО "АРТ_ ЛИФТ"                   Дог. № М 01-04/25                от 08.04.2025</t>
  </si>
  <si>
    <t>ООО «Клиника «Синай»</t>
  </si>
  <si>
    <t>Дог. № 297/25 от 06.05.2025</t>
  </si>
  <si>
    <t xml:space="preserve"> Замена  3  (трех)  пассажирских  лифтов  в  административной  части  здания по  адресу:  г.  Москва,  просп 
Маршала Жукова,  д.4 </t>
  </si>
  <si>
    <t>Дог. № 301/25 от 12.05.2025</t>
  </si>
  <si>
    <t xml:space="preserve">19 500 860,00              в т.ч.                                               Об.- 11 360 460                               Работы - 8 140 400
</t>
  </si>
  <si>
    <t>Луста Янина Сергеевна</t>
  </si>
  <si>
    <t xml:space="preserve">ООО «МостЛифтСтрой»
</t>
  </si>
  <si>
    <t>разработка      проектной      документации      на      замену      лифтового      оборудования,    
 комплекс  работ  по демонтажу,  монтажу,  пуско-наладке в административном зданиии Смоленского  ГОСБ №8609, по адресу: г. Смоленск, ул. Коммунистическ д. 8/5</t>
  </si>
  <si>
    <t>Дог. № 593/ПР                      от 12.03.2025</t>
  </si>
  <si>
    <t xml:space="preserve">
</t>
  </si>
  <si>
    <t>ПД - 60 000                        МОНТАЖ                            1 480 000</t>
  </si>
  <si>
    <t xml:space="preserve">ООО   «ШТЕЙН»
</t>
  </si>
  <si>
    <t>устройство настилов в шахты,  монтаж,   пуско-наладка,   полное  техническое  освидетельствование   и   декларирование 2(двух)   пассажирских(   автомобильных)   лифтов   и   3(трех)   пассажирских   лифтов   для   перевозки пожарных  на   объекте  «Многоквартирный   жилой   дом   с   помещениями свободного назначения и подземной автостоянкой» по адресу: г. Москва, Тружеников 1-й пер., вл. 12</t>
  </si>
  <si>
    <t xml:space="preserve">20 620 000,00
</t>
  </si>
  <si>
    <r>
      <t>Договор №002-25.13-M от 24.04.2025 г. Прил.№1 и №4</t>
    </r>
    <r>
      <rPr>
        <sz val="11"/>
        <color rgb="FFFF0000"/>
        <rFont val="Times New Roman"/>
        <family val="1"/>
        <charset val="204"/>
      </rPr>
      <t xml:space="preserve"> нет Прл.2,3</t>
    </r>
    <r>
      <rPr>
        <sz val="11"/>
        <rFont val="Times New Roman"/>
        <family val="1"/>
        <charset val="204"/>
      </rPr>
      <t xml:space="preserve">
</t>
    </r>
  </si>
  <si>
    <t>Прлил№2</t>
  </si>
  <si>
    <t xml:space="preserve">ООО  «ИК  «ПРАЙМТЕК»
</t>
  </si>
  <si>
    <t>ДОГ. № 09/01/25-П11.1 от 09.01.2025</t>
  </si>
  <si>
    <t xml:space="preserve">Компрлекс проектных, cтроительно-монтажных и монтажных работ по замене пяти лифтов на лифты производства «SODIMAS GROUP SJEC» (Китай) в многоквартирном  жилом  доме по адресу: г.  Москва,  улица  Новый Арбат, дом 29
</t>
  </si>
  <si>
    <t>Строительство соединительной ветви между Киевским и Смоленским направлением Московского железнодорожного узла  - монтажные и пусконаладочные работы</t>
  </si>
  <si>
    <t>Дог.№443/М-ТЛ от 01.03.2025</t>
  </si>
  <si>
    <t>Дог.№ 294/24 от 07.10.2024 г.                                  ДС. №1 от от 24.02.25</t>
  </si>
  <si>
    <t>Комплекс работ по адресу: город Москва, ул. Большая Полянка, д.54,стр.1                                               - Проведение обследования технического состояния  элементов существующей лифтовой шахты, 
- C учетом результата обследования разработка рабочей документации (стадия РД) 
по разделу« Вертикальный транспорт. Лифты»</t>
  </si>
  <si>
    <t>Дог.№ 29/25 от 14.03.2025</t>
  </si>
  <si>
    <t>забрала Манатова</t>
  </si>
  <si>
    <t>от 25.12.24 ?</t>
  </si>
  <si>
    <t>Эл.подп.</t>
  </si>
  <si>
    <t>эл.подп.</t>
  </si>
  <si>
    <t>аванс 182000 без НДС</t>
  </si>
  <si>
    <r>
      <t>комплекс  строительно-монтажных и пусконаладочных Работ по объекту:                              «Этап4.«Р</t>
    </r>
    <r>
      <rPr>
        <b/>
        <sz val="10"/>
        <rFont val="Times New Roman"/>
        <family val="1"/>
        <charset val="204"/>
      </rPr>
      <t xml:space="preserve">еконструкция  остановочного   пункта  Тестовская» </t>
    </r>
    <r>
      <rPr>
        <sz val="10"/>
        <rFont val="Times New Roman"/>
        <family val="1"/>
        <charset val="204"/>
      </rPr>
      <t xml:space="preserve">  (Код  ИП:  001.2021.10002368)                                    </t>
    </r>
    <r>
      <rPr>
        <sz val="10"/>
        <color rgb="FFFF0000"/>
        <rFont val="Times New Roman"/>
        <family val="1"/>
        <charset val="204"/>
      </rPr>
      <t>срок 01.03.2025 -28.09.2025</t>
    </r>
  </si>
  <si>
    <t>ИП Казанцев Андрей    Алексеевич              Дог. № 14/04-25
 от 14.04.2025</t>
  </si>
  <si>
    <t>комплекс работ по устройству  кровли лифтов  по адресу: Санкт-Петербург, 
Мошков переулок дом 2</t>
  </si>
  <si>
    <t>техническое обслуживание                     2-х пассажирских лифов</t>
  </si>
  <si>
    <r>
      <t xml:space="preserve">ООО "КЕСКО-М"            </t>
    </r>
    <r>
      <rPr>
        <b/>
        <sz val="11"/>
        <color rgb="FFFF0000"/>
        <rFont val="Times New Roman"/>
        <family val="1"/>
        <charset val="204"/>
      </rPr>
      <t xml:space="preserve">    закрыт</t>
    </r>
  </si>
  <si>
    <t>979296                        + 979296</t>
  </si>
  <si>
    <t>отв.Кузнезов А.</t>
  </si>
  <si>
    <r>
      <rPr>
        <sz val="11"/>
        <color rgb="FF7030A0"/>
        <rFont val="Times New Roman"/>
        <family val="1"/>
        <charset val="204"/>
      </rPr>
      <t>Дог. № 20763 от 10.04.2023</t>
    </r>
    <r>
      <rPr>
        <sz val="11"/>
        <color rgb="FFFF0000"/>
        <rFont val="Times New Roman"/>
        <family val="1"/>
        <charset val="204"/>
      </rPr>
      <t xml:space="preserve"> (272/23)                  </t>
    </r>
    <r>
      <rPr>
        <sz val="11"/>
        <rFont val="Times New Roman"/>
        <family val="1"/>
        <charset val="204"/>
      </rPr>
      <t xml:space="preserve">ДС №1 от 22 .11.23      ДС №2 от 25.10.24                           </t>
    </r>
    <r>
      <rPr>
        <sz val="11"/>
        <color rgb="FFFF0000"/>
        <rFont val="Times New Roman"/>
        <family val="1"/>
        <charset val="204"/>
      </rPr>
      <t xml:space="preserve">  ДС №3                                                         ДС №4                       </t>
    </r>
  </si>
  <si>
    <t>1460000 от 01.07.2027</t>
  </si>
  <si>
    <t>Хуторецкая Дог.№Х-443/М-ТЛ  10.03.2025</t>
  </si>
  <si>
    <t>Хуторецкая Дог.№ Х-29/25 от 17.03.2025</t>
  </si>
  <si>
    <t>Маслов</t>
  </si>
  <si>
    <t>Замена лифта (ПД, демонтажные, монтажные, пусконаладочные работы) по   адресу:   г.   Москва,   ул.   Малая   Полянка   д.3</t>
  </si>
  <si>
    <t xml:space="preserve"> Разработка рабочей  документации  по установке  3 (трех)  лифтов; подготовительные работы  на 3 (трех) лифтах, механомонтажные,   электромонтажные, монтажные работы 3  (трех)  комплектных лифтов  
«SODIMAS  GROUP-SJEC»/Китaй, пусконаладочные работы на объекте, расположенном  по  адресу: Россия, г.  Москва,                                     ул.  Лётная</t>
  </si>
  <si>
    <r>
      <t>Разработка проектной документации на капитальный ремонт</t>
    </r>
    <r>
      <rPr>
        <sz val="14"/>
        <rFont val="Times New Roman"/>
        <family val="1"/>
        <charset val="204"/>
      </rPr>
      <t xml:space="preserve"> одного пассажирского и одного грузового лифта</t>
    </r>
    <r>
      <rPr>
        <sz val="14"/>
        <rFont val="Times New Roman"/>
        <family val="1"/>
        <charset val="204"/>
      </rPr>
      <t xml:space="preserve"> в здании ИОФ РАН по адресу г.Москва ул.Вавилова д.38 корп.3</t>
    </r>
  </si>
  <si>
    <t xml:space="preserve">Замена пассажирского лифта зав.№ 28031 по адресу г. Москва, ул. Константина  Симонова,  д. 4, подъезд 1
</t>
  </si>
  <si>
    <t>07/23, 02.24</t>
  </si>
  <si>
    <t>Дог. 259-25-Е-44-2
 от 31.01.25</t>
  </si>
  <si>
    <r>
      <t>с 01.07.25</t>
    </r>
    <r>
      <rPr>
        <b/>
        <sz val="10"/>
        <color rgb="FFFF0000"/>
        <rFont val="Times New Roman"/>
        <family val="1"/>
        <charset val="204"/>
      </rPr>
      <t>-</t>
    </r>
    <r>
      <rPr>
        <b/>
        <sz val="10"/>
        <rFont val="Times New Roman"/>
        <family val="1"/>
        <charset val="204"/>
      </rPr>
      <t>30.09.25</t>
    </r>
  </si>
  <si>
    <t>АО РИКОР Электроникс</t>
  </si>
  <si>
    <t>дог.№ П-298/2025  от 14.04.2025 г.</t>
  </si>
  <si>
    <t>180000 от 10.07.2025</t>
  </si>
  <si>
    <t>Разработка проектной документации на замену пассажирского лифта грузоподъемность 400 кг на основании технического задания на проектирование (Приложение № 1 к договору) по адресу: Нижегородская область, г. Арзамас, ул. Победы, д. 9</t>
  </si>
  <si>
    <t xml:space="preserve">2 461874,48 (с к=0,95) cмета от Заказчика
</t>
  </si>
  <si>
    <t>ООО "АРТ_ ЛИФТ"                   Дог. № ТР-1-03/25                от 31.03.2025</t>
  </si>
  <si>
    <t>Ремонт двух лифтов зав.№    в административном   здании   по адресу: г. Москва, ул. Малая Полянка, д.3</t>
  </si>
  <si>
    <t>ООО "АРТ_ ЛИФТ"                   Дог. № М 01-04/25                от 08.04.2025 бизнес недв.</t>
  </si>
  <si>
    <r>
      <t xml:space="preserve">Эксплуатационно-техническое обслуживание систем и сетей инженерно-технического обеспечения, включая оборудование: </t>
    </r>
    <r>
      <rPr>
        <sz val="11"/>
        <rFont val="Times New Roman"/>
        <family val="1"/>
        <charset val="204"/>
      </rPr>
      <t>- лифтовое оборудование</t>
    </r>
    <r>
      <rPr>
        <sz val="11"/>
        <rFont val="Times New Roman"/>
        <family val="1"/>
        <charset val="204"/>
      </rPr>
      <t xml:space="preserve"> - лифт г/п 630 кг зав. №24971 в здании Ангарный комплекс (с предангарной площадью (инв. № к/ос 00013889)) по адресу: г. Москва, Заводское шоссе, д.15, стр.43;                                              </t>
    </r>
    <r>
      <rPr>
        <sz val="11"/>
        <rFont val="Times New Roman"/>
        <family val="1"/>
        <charset val="204"/>
      </rPr>
      <t>лифтовое оборудование:</t>
    </r>
    <r>
      <rPr>
        <sz val="11"/>
        <rFont val="Times New Roman"/>
        <family val="1"/>
        <charset val="204"/>
      </rPr>
      <t xml:space="preserve">                                   - лифт г/п 630 кг зав. №24972 в здании Ангарный комплекс (с предангарной  площадью (инв. № к/ос 00013889) по адресу: г.Москва, Заводское шоссе, д.15, с    .43.</t>
    </r>
  </si>
  <si>
    <t>аванс 700000 от 16.04.25</t>
  </si>
  <si>
    <t>ООО "АРТ_ ЛИФТ"                   Дог. № ТР-1-03/25              от 11.03.2025</t>
  </si>
  <si>
    <t xml:space="preserve">Ремонт 2-х лифтов зав.№ 24971,24972 </t>
  </si>
  <si>
    <t>от 14.07.2025</t>
  </si>
  <si>
    <t>Дог.№ 289/24 от «10 июня» 2024 г.                                  ДС №1 от 14.06.24,                            ДС №2 от 14.02.25,                             ДС №3 от 17.02.25,                                  ДС №4 от 24.03.25,                                           ДС №5 от 25.03.25</t>
  </si>
  <si>
    <r>
      <t xml:space="preserve">ТСЖ "АРБАТ-ТАУЭР"               </t>
    </r>
    <r>
      <rPr>
        <b/>
        <sz val="11"/>
        <color rgb="FFFF0000"/>
        <rFont val="Times New Roman"/>
        <family val="1"/>
        <charset val="204"/>
      </rPr>
      <t xml:space="preserve">  ЗАКРЫТЬ</t>
    </r>
  </si>
  <si>
    <t>03/23, 04/23,  07/23, 11.23           05/24   12/24</t>
  </si>
  <si>
    <t>2661649,73                         2280500,30</t>
  </si>
  <si>
    <t>от 16.05.2025                         03.07.2025</t>
  </si>
  <si>
    <t xml:space="preserve"> Замена 1   (одного)  пассажирского  лифта с рег. № 78153, г/п 400 кг на9   остановок скорость О,lм/с по адресу: г. Москва, Константина  Симонова, д. 4, подъезд 3</t>
  </si>
  <si>
    <t>Дог.№ 300/25 от 02.06.2025</t>
  </si>
  <si>
    <t>30 недель</t>
  </si>
  <si>
    <t xml:space="preserve">5029000                      +480000                            450000            </t>
  </si>
  <si>
    <r>
      <t xml:space="preserve">02.10.2024                      29.11.2024                           </t>
    </r>
    <r>
      <rPr>
        <sz val="12"/>
        <rFont val="Times New Roman"/>
        <family val="1"/>
        <charset val="204"/>
      </rPr>
      <t>29.11.2024-Егор</t>
    </r>
  </si>
  <si>
    <t>отв.Маслов</t>
  </si>
  <si>
    <t>Корюгов</t>
  </si>
  <si>
    <t>НПФ ГАЗФОНД</t>
  </si>
  <si>
    <t>Карюгов Егор</t>
  </si>
  <si>
    <t>Проектное бюро  "АрКо"</t>
  </si>
  <si>
    <t>разработка проектной и рабочей документацию для  объекта культурного наследия регионального значения "Центральный Московский ипподром, кон. XIX в. - сер. XX в., архитекторы И.Т.Барютин, С.Ф.Кулагин, И.В.Жолтовский, скульпторы С.М.Волнухин, К.А.Клодт : - главный корпус, 1898-1899 гг., 1951-1955 гг.  Центральный Московский  ипподром в г. Москве, ул. Беговая, д. 22  для трех единиц подъемного оборудования</t>
  </si>
  <si>
    <t xml:space="preserve">800 000,00 </t>
  </si>
  <si>
    <r>
      <t xml:space="preserve">100000                               </t>
    </r>
    <r>
      <rPr>
        <sz val="11"/>
        <rFont val="Times New Roman"/>
        <family val="1"/>
        <charset val="204"/>
      </rPr>
      <t xml:space="preserve">   431280                    3728012,25</t>
    </r>
  </si>
  <si>
    <r>
      <t xml:space="preserve">04.12.2024                                   </t>
    </r>
    <r>
      <rPr>
        <sz val="11"/>
        <rFont val="Times New Roman"/>
        <family val="1"/>
        <charset val="204"/>
      </rPr>
      <t>от 26.03.25                        от 27.03.25</t>
    </r>
  </si>
  <si>
    <t>ЖСК «СКОРОСТЬ»</t>
  </si>
  <si>
    <t xml:space="preserve">ремонт 4 (четырех) пассажирских  лифтов: с зав. № 64216; с зав. № 22079; с зав. № 64201,  с зав. № 22084  на объекте по адресу:  г. Москва, Фестивальная ул., д. 22 </t>
  </si>
  <si>
    <t>Дог.№ ТР 36/25 от 19.08.2025</t>
  </si>
  <si>
    <t>от 20.08.25</t>
  </si>
  <si>
    <t xml:space="preserve">ремонт  4 (четырех)лифтов: с зав.№ 42154067 ; с зав/ № 42154068; с зав.  № 42154069 ,  с зав. № 42154070 на объекте по адресу:  г. Москва, ул. 1-я Квесисская, дом 9 </t>
  </si>
  <si>
    <t>Дог.№ ТР 35/25 от 19.08.2025</t>
  </si>
  <si>
    <t>Дог.№ 294/24 от 07.10.2024 г.                        ДС №1 от 24.02.25</t>
  </si>
  <si>
    <t>ООО Красные ворота</t>
  </si>
  <si>
    <t xml:space="preserve">Замена пассажирского лифта  в административной части здания по адресу: г. Москва: г. Москва, район Сокольники, ул. 4-я Сокольническая,  д.1 </t>
  </si>
  <si>
    <t>Дог.№ 25-16395-ПМ от 27.08.2025</t>
  </si>
  <si>
    <t xml:space="preserve">6657700                         в т.ч. ПД - 16000                 СМР - 2 597 700                     Оборудование -                   3 900 000 </t>
  </si>
  <si>
    <t>ГКУ «Дирекция ОДОТСЗН г. Москвы»</t>
  </si>
  <si>
    <r>
      <t xml:space="preserve">ТО-04/22 от 29.04.22  </t>
    </r>
    <r>
      <rPr>
        <sz val="10"/>
        <color rgb="FFFF0000"/>
        <rFont val="Times New Roman"/>
        <family val="1"/>
        <charset val="204"/>
      </rPr>
      <t xml:space="preserve">                         </t>
    </r>
    <r>
      <rPr>
        <sz val="10"/>
        <color rgb="FF7030A0"/>
        <rFont val="Times New Roman"/>
        <family val="1"/>
        <charset val="204"/>
      </rPr>
      <t xml:space="preserve">ДС №1 от 29.12.22  </t>
    </r>
    <r>
      <rPr>
        <sz val="10"/>
        <color rgb="FF7030A0"/>
        <rFont val="Times New Roman"/>
        <family val="1"/>
        <charset val="204"/>
      </rPr>
      <t xml:space="preserve">ДС №2 от 28.04.23 срок до 04.24г         </t>
    </r>
    <r>
      <rPr>
        <sz val="10"/>
        <rFont val="Times New Roman"/>
        <family val="1"/>
        <charset val="204"/>
      </rPr>
      <t xml:space="preserve"> ДС №3 от 29.04.23</t>
    </r>
  </si>
  <si>
    <r>
      <t xml:space="preserve"> Дог.№2024/24-п от 15.01.2024                     </t>
    </r>
    <r>
      <rPr>
        <b/>
        <sz val="10"/>
        <rFont val="Arial"/>
        <family val="2"/>
        <charset val="204"/>
      </rPr>
      <t xml:space="preserve">  ДС №1</t>
    </r>
    <r>
      <rPr>
        <b/>
        <sz val="10"/>
        <color rgb="FFFF0000"/>
        <rFont val="Arial"/>
        <family val="2"/>
        <charset val="204"/>
      </rPr>
      <t xml:space="preserve">  от _____ </t>
    </r>
  </si>
  <si>
    <r>
      <rPr>
        <b/>
        <sz val="10"/>
        <rFont val="Times New Roman"/>
        <family val="1"/>
        <charset val="204"/>
      </rPr>
      <t>№ ТО-4/17</t>
    </r>
    <r>
      <rPr>
        <sz val="10"/>
        <rFont val="Times New Roman"/>
        <family val="1"/>
        <charset val="204"/>
      </rPr>
      <t xml:space="preserve"> от 01.11.2017 г.    ДС нет                           (ДС№2 НА Альфа банк) </t>
    </r>
    <r>
      <rPr>
        <sz val="10"/>
        <color rgb="FFFF0000"/>
        <rFont val="Times New Roman"/>
        <family val="1"/>
        <charset val="204"/>
      </rPr>
      <t>ДС №3 - с НДС с 2023г.</t>
    </r>
  </si>
  <si>
    <t xml:space="preserve">ГК № 0373200041525000964        от
</t>
  </si>
  <si>
    <t>01.09-2025 по 31.08.2026                   в дек.                     с 01-12 по 24.12 с 25.12 по 31.25</t>
  </si>
  <si>
    <t>231430,56                             (с к. тенд. 0,565)</t>
  </si>
  <si>
    <r>
      <t xml:space="preserve">Дог.№CMP-2025-01 от  24.02.2025                                          </t>
    </r>
    <r>
      <rPr>
        <sz val="12"/>
        <rFont val="Times New Roman"/>
        <family val="1"/>
        <charset val="204"/>
      </rPr>
      <t xml:space="preserve">
</t>
    </r>
  </si>
  <si>
    <t>поставщик АО "ЭПСИЛОН" на 4 компл. Эскалатора</t>
  </si>
  <si>
    <t xml:space="preserve"> Протокол разногласий от 28.07.25 г. на поставку                     Соглашение о передаче прав на поставку</t>
  </si>
  <si>
    <t>Агентство  «Роспечать»</t>
  </si>
  <si>
    <t xml:space="preserve">ООО   «ЖелДорСтрой
</t>
  </si>
  <si>
    <t>Дог.№СМР-2025-14 от 28.07.2025</t>
  </si>
  <si>
    <t>Дог.№ ТР 37/25 от 09.09.2025</t>
  </si>
  <si>
    <t>от 10.09.25</t>
  </si>
  <si>
    <t xml:space="preserve">ремонт 1 (одного ) грузопассажирского  лифта: с заводским № 42154067 г/п 1000кг, 20 остановок , по адресу:  г. Москва, ул. 1-я Квесисская, дом 9 , секция 1 </t>
  </si>
  <si>
    <t>2 соглашения               (о зачете встречных однородных требований) и передаче прав и обязанностей</t>
  </si>
  <si>
    <t>87129001,48                           3 468 000</t>
  </si>
  <si>
    <t xml:space="preserve">Монтаж  2-х эскалаторов в  павильоне выхода с тоннельной частью из Южного вестибюля,  2-х эскалаторов  в подземном переходе с эскалатрным сходом к Северному вестибюлю </t>
  </si>
  <si>
    <t>ТСЖ "КРАСНОПРОЛЕТАРКАЯ -9-2"</t>
  </si>
  <si>
    <r>
      <t xml:space="preserve">по </t>
    </r>
    <r>
      <rPr>
        <sz val="14"/>
        <rFont val="Times New Roman"/>
        <family val="1"/>
        <charset val="204"/>
      </rPr>
      <t>19 декабря 2025 г</t>
    </r>
  </si>
  <si>
    <t>33 нед.</t>
  </si>
  <si>
    <t>Дог.№ 305/25 от 02.09.2025</t>
  </si>
  <si>
    <r>
      <rPr>
        <sz val="12"/>
        <rFont val="Times New Roman"/>
        <family val="1"/>
        <charset val="204"/>
      </rPr>
      <t xml:space="preserve">13 571 605,50 </t>
    </r>
    <r>
      <rPr>
        <sz val="12"/>
        <rFont val="Times New Roman"/>
        <family val="1"/>
        <charset val="204"/>
      </rPr>
      <t xml:space="preserve">                    в т.ч. ПД -175000+190000                 СМР - 2 597 700                     Оборудование -                 5 996 605,50 </t>
    </r>
  </si>
  <si>
    <t>1 798 981,65-ОБ                2272500 - раб.</t>
  </si>
  <si>
    <t>Проведение обследования, разрабртка проекта на замену автомобильного лифта, СМР по переделке лифтовой шахты,  монтажные и пусконаладочные работы по адресу: г.Москва ул.Краснопролетарская д.9.корп.2</t>
  </si>
  <si>
    <t>ООО "СОДИМАС ГРУПП"                                  Дог.№ 21-П-2025                от 02.09.2025.</t>
  </si>
  <si>
    <t>Поставка лифта" SODIMAS GROUP-HSEE"</t>
  </si>
  <si>
    <t>58000 ДОЛ. США</t>
  </si>
  <si>
    <t>Дог. № БН-02/2025 от 24.01.2025 г.</t>
  </si>
  <si>
    <t>5385600                                      (в т.ч без НДС.                        ПР-165000                    Об- 2893000                      СМРиПН -1340000</t>
  </si>
  <si>
    <t xml:space="preserve">Дог.№ 307/25  от 08/09/2025г.             </t>
  </si>
  <si>
    <t xml:space="preserve">Разработка проектной
 документации на замену одного пассажирского лифта производства « SODIMAS GROUP SJEC» - Китай   по адресу: г. Москва, улица Усачева, д.3  </t>
  </si>
  <si>
    <t xml:space="preserve">Дог.№ 306/25  от 08/09/2025г.             </t>
  </si>
  <si>
    <t>25 дн.</t>
  </si>
  <si>
    <t>от 22.08.2025</t>
  </si>
  <si>
    <r>
      <t xml:space="preserve">механомонтажные и пусконаладочные работы трех электрических пассажирских лифтов для перевозки пожарных подразделений   ( L3,  L4, L5) г/п 1000 кг каждый на  6,17,18 остановок соответственно, с проходной кабиной  по адресу: Москва, 1-й пер-к Тружеников, вл. 12                                                         </t>
    </r>
    <r>
      <rPr>
        <b/>
        <sz val="11"/>
        <rFont val="Times New Roman"/>
        <family val="1"/>
        <charset val="204"/>
      </rPr>
      <t xml:space="preserve"> Дог.№298/25 от 29.04.25</t>
    </r>
  </si>
  <si>
    <t>эл подпись АИС портал поставщиков</t>
  </si>
  <si>
    <t>ПАО «ОАК»</t>
  </si>
  <si>
    <t>95794261,48                            в т.ч. Обор.                87 129 001,48                      смр                     8 665 260</t>
  </si>
  <si>
    <t>работы по замене малых грузовых лифтов по адресу: 603035, г. Нижний Новгород, ул. Чаадаева, д. 1, территория филиала ПАО «ОАК» - НАЗ «Сокол», корпус 12-1, столовая</t>
  </si>
  <si>
    <t>150 раб.дн.</t>
  </si>
  <si>
    <t xml:space="preserve">  07/23,      05/24,    12/24, 01/25, 02/25  </t>
  </si>
  <si>
    <t xml:space="preserve">03/23, 04/23, 07/23,                    05/24, 12/24, 01/25, 02/25  </t>
  </si>
  <si>
    <t>ТСЖ "Красно                                 пролетарская -9-2"</t>
  </si>
  <si>
    <t>Дог.№ ТО 38/25 от 11.09.2025</t>
  </si>
  <si>
    <t>497224,56                              в мес. 41435,38</t>
  </si>
  <si>
    <t xml:space="preserve">Разработка рабочей
 документации "Вертикальный транспорт"на установку одного пассажирского лифта производства « SODIMAS GROUP SJEC» - Китай   по адресу: г. Москва, улица Усачева, д.3  </t>
  </si>
  <si>
    <t>Дог. 149-25-Е-44-2
 от 01.04.25</t>
  </si>
  <si>
    <r>
      <rPr>
        <sz val="10"/>
        <rFont val="Times New Roman"/>
        <family val="1"/>
        <charset val="204"/>
      </rPr>
      <t>199999,80</t>
    </r>
    <r>
      <rPr>
        <sz val="10"/>
        <color rgb="FFFF0000"/>
        <rFont val="Times New Roman"/>
        <family val="1"/>
        <charset val="204"/>
      </rPr>
      <t xml:space="preserve">                         199999,80                      199999,80</t>
    </r>
  </si>
  <si>
    <r>
      <rPr>
        <sz val="10"/>
        <rFont val="Times New Roman"/>
        <family val="1"/>
        <charset val="204"/>
      </rPr>
      <t>04/2025</t>
    </r>
    <r>
      <rPr>
        <sz val="10"/>
        <color rgb="FFFF0000"/>
        <rFont val="Times New Roman"/>
        <family val="1"/>
        <charset val="204"/>
      </rPr>
      <t xml:space="preserve">                         05/2025                                06/2025</t>
    </r>
  </si>
  <si>
    <t>Техническое обслуживание                  3-х лифтов  (2-х пассажирских и одного грузового) по адресу: Краснопролетарская д.9 корп.2</t>
  </si>
  <si>
    <t>Оказание услуг по техническому обслуживанию лифта в учреждении, подведомственном ДТСЗН г.Москвы по адресу: Город Москва, переулок Скорняжный, дом 4</t>
  </si>
  <si>
    <r>
      <rPr>
        <b/>
        <sz val="11"/>
        <rFont val="Times New Roman"/>
        <family val="1"/>
        <charset val="204"/>
      </rPr>
      <t>ПИУНОВ</t>
    </r>
    <r>
      <rPr>
        <sz val="11"/>
        <rFont val="Times New Roman"/>
        <family val="1"/>
        <charset val="204"/>
      </rPr>
      <t xml:space="preserve">                           Дог. № ПД- 25-16395                    от  11.09.2025</t>
    </r>
  </si>
  <si>
    <r>
      <rPr>
        <b/>
        <sz val="11"/>
        <rFont val="Times New Roman"/>
        <family val="1"/>
        <charset val="204"/>
      </rPr>
      <t>ПИУНОВ</t>
    </r>
    <r>
      <rPr>
        <sz val="11"/>
        <rFont val="Times New Roman"/>
        <family val="1"/>
        <charset val="204"/>
      </rPr>
      <t xml:space="preserve">                           Дог. № ПД-305/25                    от 11.09.25</t>
    </r>
    <r>
      <rPr>
        <sz val="12"/>
        <rFont val="Times New Roman"/>
        <family val="1"/>
        <charset val="204"/>
      </rPr>
      <t xml:space="preserve">       </t>
    </r>
    <r>
      <rPr>
        <b/>
        <sz val="12"/>
        <color rgb="FFFF0000"/>
        <rFont val="Times New Roman"/>
        <family val="1"/>
        <charset val="204"/>
      </rPr>
      <t xml:space="preserve"> </t>
    </r>
    <r>
      <rPr>
        <b/>
        <sz val="14"/>
        <color rgb="FFFF0000"/>
        <rFont val="Times New Roman"/>
        <family val="1"/>
        <charset val="204"/>
      </rPr>
      <t xml:space="preserve">  ИП</t>
    </r>
  </si>
  <si>
    <t xml:space="preserve">ООО    «ПодъемТрансМаш» </t>
  </si>
  <si>
    <t>Дог.№ 25-504                      от 10.10.2025</t>
  </si>
  <si>
    <t xml:space="preserve">Поставка подъемного оборудования, монтаж, пуско-наладка и полное техническое освидетельствование по адресу: г. Москва, улица Трифоновская, дом 57, стр.2. </t>
  </si>
  <si>
    <t xml:space="preserve">2 461 874,48                            (с к=0,95)
</t>
  </si>
  <si>
    <t xml:space="preserve">  01/24-04/24,                   06.24-11.24                         03.25-08.25</t>
  </si>
  <si>
    <t xml:space="preserve">05/24, 12/24, 01/25,02/25  </t>
  </si>
  <si>
    <r>
      <rPr>
        <sz val="11"/>
        <rFont val="Times New Roman"/>
        <family val="1"/>
        <charset val="204"/>
      </rPr>
      <t xml:space="preserve">10/09/2024   </t>
    </r>
    <r>
      <rPr>
        <sz val="11"/>
        <color rgb="FF7030A0"/>
        <rFont val="Times New Roman"/>
        <family val="1"/>
        <charset val="204"/>
      </rPr>
      <t xml:space="preserve">                   01.10.2024 сканы                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color rgb="FF7030A0"/>
        <rFont val="Times New Roman"/>
        <family val="1"/>
        <charset val="204"/>
      </rPr>
      <t xml:space="preserve">31.05.25                       </t>
    </r>
    <r>
      <rPr>
        <sz val="11"/>
        <color rgb="FFFF0000"/>
        <rFont val="Times New Roman"/>
        <family val="1"/>
        <charset val="204"/>
      </rPr>
      <t xml:space="preserve"> 15.10.25</t>
    </r>
  </si>
  <si>
    <t>0т 09.10.2025</t>
  </si>
  <si>
    <t xml:space="preserve">ООО "Инженерный центр  «Европейская Электротехника»
</t>
  </si>
  <si>
    <t>ПД -250000              СМР -1 650 000                     Оборудование -                 260 000,00 евро</t>
  </si>
  <si>
    <t xml:space="preserve">Поставка пассажирского лифта PRIME  TECHNOLOGIES» (ГРЕЦИЯ) на три остановки, скорость движения -0,63м/сек,  г/п 1200 кг; Разработка ПД, монтаж, пусконаладка лифта по адресу: Московская область,                                       Барвиха  72Б </t>
  </si>
  <si>
    <t>Дог.№ 294/24 от 11.10.2024 г.                                  ДС. №1 от  15.10.25</t>
  </si>
  <si>
    <t xml:space="preserve">Замена лебёдки  SICOR  SН130  Dual  в пассажирском  лифте  AКRON
«STAR  2000»  зав.  №  510.228  (per.  №  153625)  по адресу: r. Москва, Симферопольский 6-р, д.13
</t>
  </si>
  <si>
    <t>Дог. №304/2025
 от 19.08.2025</t>
  </si>
  <si>
    <t xml:space="preserve">Комплекс работ  на установку лифтового оборудованя  по адресу: город  Москва  Успенское  шоссе,  КП "Довиль"
</t>
  </si>
  <si>
    <r>
      <t xml:space="preserve">Об.-  74 900 дол.США                             Работы - </t>
    </r>
    <r>
      <rPr>
        <sz val="11"/>
        <rFont val="Times New Roman"/>
        <family val="1"/>
        <charset val="204"/>
      </rPr>
      <t>4 790 000</t>
    </r>
    <r>
      <rPr>
        <sz val="11"/>
        <rFont val="Times New Roman"/>
        <family val="1"/>
        <charset val="204"/>
      </rPr>
      <t>:                ПД -350000                СМР 2 650 000                  М и ПН- 1 790 000</t>
    </r>
  </si>
  <si>
    <t>45 дн.</t>
  </si>
  <si>
    <t>СДЕЛАТЬ АКТ</t>
  </si>
  <si>
    <t>Разработка проектной документации  на установку пассажирского лифт в жилом доме по адресу: МО, г.Одинцово, Озерная ул. д.61</t>
  </si>
  <si>
    <t xml:space="preserve">ООО  "Мраморстрой"
</t>
  </si>
  <si>
    <t>Укладку каменных полов в трёх лифтах:                      - Лифт пассажирский, модель S 830, производитель  «SODIMAS GROUP SJEC», внутренние габариты по полу 1100 мм х 2100 мм, заводской №24j02879. - Лифт пассажирский, модель S 830, производитель«SODIMASGROUP SJEC», внутренние габариты по полу 1100 мм х 1700 мм, заводской  №24j02880.
-   Лифт   пассажирский,   модель   М   300,   производитель    «SODIMAS    GROUP   SJEC», внутренние габариты по полу 1100 мм х 2100 мм, заводской №24j02883.  многоквартирного дома,  расположенного  по  адресу:  город  Москва,  улица  Новый  Арбат, д.29</t>
  </si>
  <si>
    <t>Дог.№    б/н                        от 16.07.2025 г.</t>
  </si>
  <si>
    <t>до 31.07.2025</t>
  </si>
  <si>
    <t xml:space="preserve">521 636,25
</t>
  </si>
  <si>
    <t>ООО  "Мраморстрой"         Дог.№    б/н                        от 16.07.2025 г.</t>
  </si>
  <si>
    <t xml:space="preserve">Укладку каменных полов в трёх лифтах:                   </t>
  </si>
  <si>
    <t>Закрыт УПД</t>
  </si>
  <si>
    <t>спецификация №6</t>
  </si>
  <si>
    <t>8 эск. И 6 лифтов</t>
  </si>
  <si>
    <t>Обследование и выдача заключения для элементов существующей лифтовой шахты: перекрытия над шахтой, стен машинного помещения в зоне опирания подлебедочных балок,  стен шахты, разработка рабочей документацию (стадия РД)  по разделу  «Вертикальный транспорт. Замена лифта на  на лифт «SODIMAS GROUP-SJEC», лифты электрические, г/п 1000 кг на 8 остановок   с верхнем машинным помещением в  здании по адресу: г. Москва, ул. Долгоруковская,д.15, стр.4-5</t>
  </si>
  <si>
    <t xml:space="preserve">Дог.№ 308/25  от 16/10/2025г.             </t>
  </si>
  <si>
    <t>Дог.№14/24 от 17.10.2024 ДС №1  от 22.09.2025 зл.подп</t>
  </si>
  <si>
    <r>
      <t>с 17.10.2024-</t>
    </r>
    <r>
      <rPr>
        <sz val="9"/>
        <color rgb="FFFF0000"/>
        <rFont val="Arial"/>
        <family val="2"/>
        <charset val="204"/>
      </rPr>
      <t>16.10.2025 с  Продлением</t>
    </r>
  </si>
  <si>
    <r>
      <t xml:space="preserve">          </t>
    </r>
    <r>
      <rPr>
        <sz val="9"/>
        <color rgb="FFFF0000"/>
        <rFont val="Arial"/>
        <family val="2"/>
        <charset val="204"/>
      </rPr>
      <t xml:space="preserve">       </t>
    </r>
    <r>
      <rPr>
        <b/>
        <sz val="9"/>
        <color rgb="FFFF0000"/>
        <rFont val="Arial"/>
        <family val="2"/>
        <charset val="204"/>
      </rPr>
      <t xml:space="preserve"> СБИС</t>
    </r>
  </si>
  <si>
    <t>от 01.10.25</t>
  </si>
  <si>
    <r>
      <t xml:space="preserve">Дог.№ ТЛ/ЭПМ-01 от 01.08.2022 </t>
    </r>
    <r>
      <rPr>
        <sz val="11"/>
        <color rgb="FFFF0000"/>
        <rFont val="Times New Roman"/>
        <family val="1"/>
        <charset val="204"/>
      </rPr>
      <t xml:space="preserve">(268/23) на спец-ции нет подп. ДС №3 от 01.03.2023               ДС №4 от 05.06.2023              </t>
    </r>
    <r>
      <rPr>
        <sz val="11"/>
        <rFont val="Times New Roman"/>
        <family val="1"/>
        <charset val="204"/>
      </rPr>
      <t>ДС №7 от 09.01.2025 г.</t>
    </r>
  </si>
  <si>
    <r>
      <t>Эл. Подпись оплаты есть</t>
    </r>
    <r>
      <rPr>
        <sz val="11"/>
        <color rgb="FFFF0000"/>
        <rFont val="Times New Roman"/>
        <family val="1"/>
        <charset val="204"/>
      </rPr>
      <t xml:space="preserve"> уточнить </t>
    </r>
  </si>
  <si>
    <t>Эл.подпись - уточнить, проведены оплаты</t>
  </si>
  <si>
    <t>от 29.08.25</t>
  </si>
  <si>
    <t>Замена лифта (в рамках проведения капитального ремонта) в здании МПГУ по адресу: г. Москва, ул. Кибальчича, д. 6, корп. 2</t>
  </si>
  <si>
    <t>Федеральное государственное бюджетное образовательное учреждение высшего образования «Московский педагогический государственный университет» МПГУ</t>
  </si>
  <si>
    <t>от 17/10/25</t>
  </si>
  <si>
    <t>135 кал.дн. Окончание в 2026 г.</t>
  </si>
  <si>
    <t>Договор № 32514897410/25/А                               от 20.06.2025 кор.реквизиты письмо от 27.10.25</t>
  </si>
  <si>
    <r>
      <t xml:space="preserve">АО «Эстейт Менеджмент » </t>
    </r>
    <r>
      <rPr>
        <b/>
        <sz val="11"/>
        <color rgb="FFFF0000"/>
        <rFont val="Times New Roman"/>
        <family val="1"/>
        <charset val="204"/>
      </rPr>
      <t>расторгнут с 08.2025</t>
    </r>
  </si>
  <si>
    <r>
      <rPr>
        <sz val="10"/>
        <rFont val="Times New Roman"/>
        <family val="1"/>
        <charset val="204"/>
      </rPr>
      <t xml:space="preserve">с «01»сентября 2024 г. </t>
    </r>
    <r>
      <rPr>
        <sz val="10"/>
        <color rgb="FFFF0000"/>
        <rFont val="Times New Roman"/>
        <family val="1"/>
        <charset val="204"/>
      </rPr>
      <t>по «31»авгуса 2025 г</t>
    </r>
    <r>
      <rPr>
        <sz val="10"/>
        <color rgb="FFFF0000"/>
        <rFont val="Times New Roman"/>
        <family val="1"/>
        <charset val="204"/>
      </rPr>
      <t xml:space="preserve">.  - </t>
    </r>
    <r>
      <rPr>
        <b/>
        <sz val="10"/>
        <color rgb="FFFF0000"/>
        <rFont val="Times New Roman"/>
        <family val="1"/>
        <charset val="204"/>
      </rPr>
      <t>автоматическое продление</t>
    </r>
  </si>
  <si>
    <r>
      <rPr>
        <sz val="10"/>
        <rFont val="Arial"/>
        <family val="2"/>
        <charset val="204"/>
      </rPr>
      <t xml:space="preserve"> с 01.10.2025 по </t>
    </r>
    <r>
      <rPr>
        <sz val="10"/>
        <color rgb="FFFF0000"/>
        <rFont val="Arial"/>
        <family val="2"/>
        <charset val="204"/>
      </rPr>
      <t>30.09.2026</t>
    </r>
    <r>
      <rPr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 xml:space="preserve">                (c автоматическим продлением на дальнейшие сроки)</t>
    </r>
  </si>
  <si>
    <t>200000                      +550000                              +180000                       +550000                         +140000                               +450000                             +1083000</t>
  </si>
  <si>
    <t>от 15.05.25                               от 13.08.25                             от 13.08.25                            от 03.09.25                                  от 03.10.25                               от 08.10.25                          22.10.25</t>
  </si>
  <si>
    <t>проведен у Т.А. (сдеданы сч.ф.)</t>
  </si>
  <si>
    <r>
      <t xml:space="preserve">ООО "Легенда" </t>
    </r>
    <r>
      <rPr>
        <b/>
        <sz val="12"/>
        <color rgb="FFFF0000"/>
        <rFont val="Times New Roman"/>
        <family val="1"/>
        <charset val="204"/>
      </rPr>
      <t xml:space="preserve"> закрыт</t>
    </r>
  </si>
  <si>
    <t>10.25</t>
  </si>
  <si>
    <t>10.2025</t>
  </si>
  <si>
    <r>
      <t xml:space="preserve">Дог.№2022/56-П от 01.03.2022          </t>
    </r>
    <r>
      <rPr>
        <b/>
        <sz val="10"/>
        <color rgb="FFFF0000"/>
        <rFont val="Arial"/>
        <family val="2"/>
        <charset val="204"/>
      </rPr>
      <t xml:space="preserve">Эл.подп. </t>
    </r>
    <r>
      <rPr>
        <b/>
        <sz val="10"/>
        <rFont val="Arial"/>
        <family val="2"/>
        <charset val="204"/>
      </rPr>
      <t xml:space="preserve">                             ДС №1 от 03.02.2023              ДС №2  от _____                   </t>
    </r>
    <r>
      <rPr>
        <b/>
        <sz val="10"/>
        <color rgb="FFFF0000"/>
        <rFont val="Arial"/>
        <family val="2"/>
        <charset val="204"/>
      </rPr>
      <t>ДС №4-?</t>
    </r>
  </si>
  <si>
    <r>
      <t xml:space="preserve">Дог.№2022/57-п от 01.03.2022            </t>
    </r>
    <r>
      <rPr>
        <b/>
        <sz val="10"/>
        <color rgb="FFFF0000"/>
        <rFont val="Arial"/>
        <family val="2"/>
        <charset val="204"/>
      </rPr>
      <t>Эл.подп.</t>
    </r>
    <r>
      <rPr>
        <b/>
        <sz val="10"/>
        <rFont val="Arial"/>
        <family val="2"/>
        <charset val="204"/>
      </rPr>
      <t xml:space="preserve">                                            ДС №1 огт 03.02.2023                  ДС №2  от </t>
    </r>
    <r>
      <rPr>
        <b/>
        <sz val="10"/>
        <color rgb="FFFF0000"/>
        <rFont val="Arial"/>
        <family val="2"/>
        <charset val="204"/>
      </rPr>
      <t>_____</t>
    </r>
  </si>
  <si>
    <t>от 11.11.2025</t>
  </si>
  <si>
    <t xml:space="preserve"> от  10.11.2025</t>
  </si>
  <si>
    <t>от 18.09.25 (№1)                       от 24.10.25 (№2)</t>
  </si>
  <si>
    <t>проведен у Т.А. (сдедана сч.ф. на Акт №1) - эл.подп.</t>
  </si>
  <si>
    <r>
      <t>ИП Ерофеенков Дмитрий Николаевич                   Дог. № 298/25 от 29.04.2025</t>
    </r>
    <r>
      <rPr>
        <b/>
        <sz val="13"/>
        <color rgb="FFFF0000"/>
        <rFont val="Times New Roman"/>
        <family val="1"/>
        <charset val="204"/>
      </rPr>
      <t xml:space="preserve"> эл.подп.</t>
    </r>
  </si>
  <si>
    <t>10.25 на 8933,50</t>
  </si>
  <si>
    <t>600000 от 17.11.2025</t>
  </si>
  <si>
    <r>
      <t xml:space="preserve">Дог.№302 /25  от 05.06.2025                    </t>
    </r>
    <r>
      <rPr>
        <sz val="14"/>
        <color rgb="FFFF0000"/>
        <rFont val="Times New Roman"/>
        <family val="1"/>
        <charset val="204"/>
      </rPr>
      <t>ДС №1  от 10.11.25</t>
    </r>
  </si>
  <si>
    <r>
      <t xml:space="preserve">Отв.Света  </t>
    </r>
    <r>
      <rPr>
        <sz val="14"/>
        <color rgb="FFFF0000"/>
        <rFont val="Times New Roman"/>
        <family val="1"/>
        <charset val="204"/>
      </rPr>
      <t>акт у Маши</t>
    </r>
  </si>
  <si>
    <t xml:space="preserve">Дог.№ 6.12-21/04.11-080925-5 от 08.09.2025
</t>
  </si>
  <si>
    <t xml:space="preserve">Разработка проектной документации на замену тротуарного лифта грузоподъемностью 500 кг с двумя остановками: пандус, минус первый этаж, на грузовой подъёмник грузоподъемностью 500 кг. с тремя остановками: пандус, минус первый этаж, первый этаж, расположенного по адресу:                         г. Москва, ул. Трифоновская, д.57, стр.2, </t>
  </si>
  <si>
    <t>200000                                    от 10.10.2025 г.</t>
  </si>
  <si>
    <t>Выполнение работ по замене лифтового оборудования, расположенного по адресу: г. Москва, Триумфальная площадь д. 1 (далее - Работы).</t>
  </si>
  <si>
    <t>Комитет по архитектуре и градостроительству города Москвы</t>
  </si>
  <si>
    <t>ГК № № 0173200001425001195 от 10.10.2025</t>
  </si>
  <si>
    <t xml:space="preserve">56 990 000,00
</t>
  </si>
  <si>
    <t xml:space="preserve">ПАО   «ГИПРОСВЯЗЬ»
</t>
  </si>
  <si>
    <t>Обследование  шахты  лифта  для установки  лифтового  оборудования,  разработка  проектной  документации  установки лифтового  оборудования,  поставка  лифтового  оборудования  грузоподъемностью  1000 кг без машинного помещения, демонтажные и монтажные работы, пусконаладочные работы,  проведение  технического освидетельствования  лифтового оборудования</t>
  </si>
  <si>
    <t xml:space="preserve">21 815 375,00
</t>
  </si>
  <si>
    <t>Дог.№299/25                             от 19.06.2025</t>
  </si>
  <si>
    <t xml:space="preserve">Дог.№ 01/06/1349/25                                от 17.10.2025
</t>
  </si>
  <si>
    <t>по 19 декабря 2025 г</t>
  </si>
  <si>
    <t>ООО "ЛИДСТРОЙ"</t>
  </si>
  <si>
    <t>Дог. № ТР 39/25 от 24.11.2025 г.</t>
  </si>
  <si>
    <t xml:space="preserve">Работы по ремонту пассажирского лифта с заводским № 33332 , грузоподъемностью 630 кг, 14 остановок , скоростью 1м/с   на объекте ( многоквартирный дом) по адресу:  г. Москва, Старопетровский пр-д, д. 12, корп. 1, под.1, </t>
  </si>
  <si>
    <t>14 дн</t>
  </si>
  <si>
    <r>
      <t xml:space="preserve">Дог.№ П-299/2025  от 10.04.2025 </t>
    </r>
    <r>
      <rPr>
        <sz val="11"/>
        <color rgb="FFFF0000"/>
        <rFont val="Times New Roman"/>
        <family val="1"/>
        <charset val="204"/>
      </rPr>
      <t>нет подписи</t>
    </r>
    <r>
      <rPr>
        <sz val="11"/>
        <rFont val="Times New Roman"/>
        <family val="1"/>
        <charset val="204"/>
      </rPr>
      <t xml:space="preserve">
</t>
    </r>
  </si>
  <si>
    <t xml:space="preserve">ИП Ерофеенков     Дмитрий·  Николаевич                                 Дог. №182/25 от 05.03.2025 </t>
  </si>
  <si>
    <t xml:space="preserve"> Акт №1 на 910000                          от 18.06.2025 (Нет акта КС-3)                             Акт №2 на 910000  от 12.11.2025  </t>
  </si>
  <si>
    <t>Акты на ПД и СМР шахты - ?</t>
  </si>
  <si>
    <t>есть счет на окончат .оплату за шахту ?</t>
  </si>
  <si>
    <t xml:space="preserve">Дог.№  РСК7058330 от 08.10.2025 </t>
  </si>
  <si>
    <r>
      <t xml:space="preserve">выполнение    механомонтажных    и    пусконаладочных    работ    Оборудования    –    двух   электрических автомобильных лифтов грузоподъемностью 5000 кг каждый на 5 остановок на объекте по адресу Москва, 1-й переулок Тружеников, владение 12             </t>
    </r>
    <r>
      <rPr>
        <b/>
        <sz val="11"/>
        <rFont val="Times New Roman"/>
        <family val="1"/>
        <charset val="204"/>
      </rPr>
      <t xml:space="preserve">   Дог. № 25-007 от 29.04.25 Ч                       ДС №1  от 08.08.25         Стоимость работ </t>
    </r>
    <r>
      <rPr>
        <b/>
        <sz val="12"/>
        <rFont val="Times New Roman"/>
        <family val="1"/>
        <charset val="204"/>
      </rPr>
      <t xml:space="preserve">4 700 000                   ДС.№2 кор.стоим. 4 941 500                   ДС №3  кор.стоим. </t>
    </r>
    <r>
      <rPr>
        <b/>
        <sz val="12"/>
        <color rgb="FFFF0000"/>
        <rFont val="Times New Roman"/>
        <family val="1"/>
        <charset val="204"/>
      </rPr>
      <t>5431500</t>
    </r>
  </si>
  <si>
    <t xml:space="preserve">ООО «РЕАЛСТРОЙ»
</t>
  </si>
  <si>
    <t>ДОГ.Р № 09/01/25-П11.1 от 09.01.2025</t>
  </si>
  <si>
    <r>
      <rPr>
        <sz val="12"/>
        <rFont val="Times New Roman"/>
        <family val="1"/>
        <charset val="204"/>
      </rPr>
      <t>Разарботка рабочей документации</t>
    </r>
    <r>
      <rPr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Выявленный объект культурного наследия «Главный дом городской усадьбы XVIII
- XIX вв.,    1913 г., архитектор М.Ф.Бугровский, с оградой,    1913 г.,архитектор М.Ф.Бугровский. 
Здесь в разное время жили и работали писатель И.И.Лажечников  (1867- 1869 гг.), писатель 
П.И.Мельников-Печерский (1875-1876 гг.), невропатолог А.Я.Кожевников (1893-1898 гг.), советский 
государственный деятель Л.Б.Красин (1918-1925 гг.)» по адресу: г.
Москва, ЦАО, Поварская улица, д. 11, стр. 1.
</t>
    </r>
  </si>
  <si>
    <r>
      <t xml:space="preserve">Эл.подпись                     Акт №1 от 29.09.2025              </t>
    </r>
    <r>
      <rPr>
        <sz val="11"/>
        <rFont val="Times New Roman"/>
        <family val="1"/>
        <charset val="204"/>
      </rPr>
      <t xml:space="preserve"> на 1911250</t>
    </r>
    <r>
      <rPr>
        <sz val="11"/>
        <rFont val="Times New Roman"/>
        <family val="1"/>
        <charset val="204"/>
      </rPr>
      <t xml:space="preserve">            Акт №2 от 07.11.2025               </t>
    </r>
    <r>
      <rPr>
        <sz val="11"/>
        <rFont val="Times New Roman"/>
        <family val="1"/>
        <charset val="204"/>
      </rPr>
      <t>на 506250</t>
    </r>
    <r>
      <rPr>
        <sz val="11"/>
        <rFont val="Times New Roman"/>
        <family val="1"/>
        <charset val="204"/>
      </rPr>
      <t xml:space="preserve">            </t>
    </r>
  </si>
  <si>
    <r>
      <rPr>
        <b/>
        <sz val="10"/>
        <color rgb="FFFF0000"/>
        <rFont val="Times New Roman"/>
        <family val="1"/>
        <charset val="204"/>
      </rPr>
      <t xml:space="preserve">Эл. подпись      </t>
    </r>
    <r>
      <rPr>
        <sz val="10"/>
        <color rgb="FFFF000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 xml:space="preserve">                 </t>
    </r>
    <r>
      <rPr>
        <sz val="10"/>
        <rFont val="Times New Roman"/>
        <family val="1"/>
        <charset val="204"/>
      </rPr>
      <t xml:space="preserve">   Акт КС №1 от  13.08.25                  </t>
    </r>
    <r>
      <rPr>
        <sz val="10"/>
        <rFont val="Times New Roman"/>
        <family val="1"/>
        <charset val="204"/>
      </rPr>
      <t xml:space="preserve">  на 180000 </t>
    </r>
    <r>
      <rPr>
        <sz val="10"/>
        <rFont val="Times New Roman"/>
        <family val="1"/>
        <charset val="204"/>
      </rPr>
      <t xml:space="preserve">                      Акт КС №2 от  24.09.25                        </t>
    </r>
    <r>
      <rPr>
        <sz val="10"/>
        <rFont val="Times New Roman"/>
        <family val="1"/>
        <charset val="204"/>
      </rPr>
      <t>на 1 440 000</t>
    </r>
    <r>
      <rPr>
        <sz val="10"/>
        <rFont val="Times New Roman"/>
        <family val="1"/>
        <charset val="204"/>
      </rPr>
      <t xml:space="preserve">                                Акт КС №3 от  07.10.25                   </t>
    </r>
    <r>
      <rPr>
        <sz val="10"/>
        <rFont val="Times New Roman"/>
        <family val="1"/>
        <charset val="204"/>
      </rPr>
      <t>на 450 000</t>
    </r>
    <r>
      <rPr>
        <sz val="10"/>
        <rFont val="Times New Roman"/>
        <family val="1"/>
        <charset val="204"/>
      </rPr>
      <t xml:space="preserve">                               Акт КС №4 от  22.10.25                   </t>
    </r>
    <r>
      <rPr>
        <sz val="10"/>
        <rFont val="Times New Roman"/>
        <family val="1"/>
        <charset val="204"/>
      </rPr>
      <t xml:space="preserve">на 1 083 000                           </t>
    </r>
    <r>
      <rPr>
        <sz val="10"/>
        <rFont val="Times New Roman"/>
        <family val="1"/>
        <charset val="204"/>
      </rPr>
      <t xml:space="preserve">Акт КС №5 от  24.10.25 </t>
    </r>
    <r>
      <rPr>
        <sz val="10"/>
        <rFont val="Times New Roman"/>
        <family val="1"/>
        <charset val="204"/>
      </rPr>
      <t xml:space="preserve">                 </t>
    </r>
    <r>
      <rPr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 xml:space="preserve">на 135 000                      Акт КС №6  от  19.11.25                   на 727 500    </t>
    </r>
  </si>
  <si>
    <t>403252,8                    от 12.12.25</t>
  </si>
  <si>
    <t xml:space="preserve">Министерство Юстиции Российской Федерации </t>
  </si>
  <si>
    <t>Дог.№ 100111746124100293 от ё13.01.2025</t>
  </si>
  <si>
    <t>01.01.25-28.02.25</t>
  </si>
  <si>
    <t>546000                              по 273000 два мес.</t>
  </si>
  <si>
    <t>акты эл.версия</t>
  </si>
  <si>
    <r>
      <t xml:space="preserve">Саядян Дог.№ С.Т0- 293 от 01.01.2025                                       </t>
    </r>
    <r>
      <rPr>
        <sz val="9"/>
        <color rgb="FFFF0000"/>
        <rFont val="Arial"/>
        <family val="2"/>
        <charset val="204"/>
      </rPr>
      <t xml:space="preserve"> </t>
    </r>
    <r>
      <rPr>
        <b/>
        <sz val="11"/>
        <color rgb="FFFF0000"/>
        <rFont val="Arial"/>
        <family val="2"/>
        <charset val="204"/>
      </rPr>
      <t xml:space="preserve"> ПОДПИСАТЬ</t>
    </r>
  </si>
  <si>
    <t>205000                           205000</t>
  </si>
  <si>
    <t xml:space="preserve">ИП Ерофеенков     Дмитрий·  Николаевич                                 Дог. №298/25 от 29.04.2025 </t>
  </si>
  <si>
    <t>техническое и диспетчерское (операторское) обслуживание лифтов в  административном здании Министерства юстиции Российской Федерации по адресу: г. Москва, ул. Житная, д.14 ,стр. 1</t>
  </si>
  <si>
    <t xml:space="preserve">Автономная некоммерческая организация «Развитие человеческого капитала» </t>
  </si>
  <si>
    <t xml:space="preserve">услуги по техническому обслуживанию лифтов для нужд ЦДП по адресу: г. Москва, улица Покровка, дом 47, здание Цифровое Деловое Пространство </t>
  </si>
  <si>
    <t>2026 год</t>
  </si>
  <si>
    <t>Комплексное  техническое  обслуживание  лифтов,  грузовых  подъемников,  подъемных платформ  для  инвалидов  и  систем  лифтовой  диспетчерской  сигнализации  и  связи  в  зданиях НИУ ВШЭ в г. Москве</t>
  </si>
  <si>
    <t>01.01.2026- 31.12.2028</t>
  </si>
  <si>
    <r>
      <t xml:space="preserve">всего                            </t>
    </r>
    <r>
      <rPr>
        <b/>
        <u/>
        <sz val="10"/>
        <rFont val="Arial"/>
        <family val="2"/>
        <charset val="204"/>
      </rPr>
      <t xml:space="preserve">46 800 000,00
</t>
    </r>
    <r>
      <rPr>
        <b/>
        <sz val="10"/>
        <rFont val="Arial"/>
        <family val="2"/>
        <charset val="204"/>
      </rPr>
      <t xml:space="preserve"> в год                              </t>
    </r>
    <r>
      <rPr>
        <b/>
        <u/>
        <sz val="10"/>
        <rFont val="Arial"/>
        <family val="2"/>
        <charset val="204"/>
      </rPr>
      <t xml:space="preserve">15 600 000,00
</t>
    </r>
    <r>
      <rPr>
        <b/>
        <sz val="10"/>
        <rFont val="Arial"/>
        <family val="2"/>
        <charset val="204"/>
      </rPr>
      <t>в мес.                               1 300 000,00</t>
    </r>
  </si>
  <si>
    <t>2026 год (С НДС)</t>
  </si>
  <si>
    <r>
      <t xml:space="preserve"> Договор №249/21 от 09.12.21   ДС.№1 от 30.01.2023     ДС №2 от                            ДС №3 от 30.01.2023                  ДС №4 от 17.11.23                          ДС №5 от 06.11.24 на продление срока до </t>
    </r>
    <r>
      <rPr>
        <b/>
        <sz val="11"/>
        <color rgb="FFFF0000"/>
        <rFont val="Times New Roman"/>
        <family val="1"/>
        <charset val="204"/>
      </rPr>
      <t>07.10.25                                                           ДС №6</t>
    </r>
  </si>
  <si>
    <t>нет акта на вып. Раб.</t>
  </si>
  <si>
    <t xml:space="preserve">разработка проектной документации на замену пассажирского лифта в административном здании Акционерное общество «Рикор Электроникс»,  по адресу, г. Арзамас, ул. Победы д.9 </t>
  </si>
  <si>
    <t>от 29.08.25                        от 11.12.2025</t>
  </si>
  <si>
    <r>
      <rPr>
        <sz val="9"/>
        <rFont val="Arial"/>
        <family val="2"/>
        <charset val="204"/>
      </rPr>
      <t xml:space="preserve">273300     </t>
    </r>
    <r>
      <rPr>
        <sz val="9"/>
        <color rgb="FFFF0000"/>
        <rFont val="Arial"/>
        <family val="2"/>
        <charset val="204"/>
      </rPr>
      <t xml:space="preserve">           273300</t>
    </r>
  </si>
  <si>
    <r>
      <rPr>
        <sz val="9"/>
        <rFont val="Arial"/>
        <family val="2"/>
        <charset val="204"/>
      </rPr>
      <t xml:space="preserve">31.01.25 </t>
    </r>
    <r>
      <rPr>
        <sz val="9"/>
        <color rgb="FFFF0000"/>
        <rFont val="Arial"/>
        <family val="2"/>
        <charset val="204"/>
      </rPr>
      <t xml:space="preserve">                       28.02.25</t>
    </r>
  </si>
  <si>
    <t>Контракт №ЛФТ_22/23 от 07.10.2022                                   ДС №1 от 29.12.22                    ДС №3 от 28.08.23</t>
  </si>
  <si>
    <t>485369,45                         612103,32</t>
  </si>
  <si>
    <t>Ремонтные работы лифтового оборудования Лифт                    Зав. №114948 по адресу: г.Москва, Cтаропетровский  пр-д, д.12, корп.4 под.2</t>
  </si>
  <si>
    <t>Дог.№ТР 41/25 от 16.12.1025</t>
  </si>
  <si>
    <t>от 23.12.2025</t>
  </si>
  <si>
    <t>Ремонт автомобильного  лифта с зав. № 40007 по адресу: г.Москва                        ул. Краснопролетарская, д.9, корпус 2</t>
  </si>
  <si>
    <t>Дог.№ТР 40/25  от16.12.2025</t>
  </si>
  <si>
    <t>от 30.12.2025</t>
  </si>
  <si>
    <t>Дог.№  ЦДП_У-213/25                    от 29.12.2025                ДС №1 от _____________</t>
  </si>
  <si>
    <t>СБИС - закрыта (банкроты)</t>
  </si>
  <si>
    <t>Дог.№ 294/24 от 11.10.2024г.                                                        ДС №1 от 15.10.2024 г.</t>
  </si>
  <si>
    <t xml:space="preserve">ЖСК "СКОРОСТЬ"
</t>
  </si>
  <si>
    <t>831000            19260674,45                        913376                          1772203,39                        18285625,23                                             6874188,22</t>
  </si>
  <si>
    <r>
      <rPr>
        <sz val="11"/>
        <color rgb="FF7030A0"/>
        <rFont val="Times New Roman"/>
        <family val="1"/>
        <charset val="204"/>
      </rPr>
      <t xml:space="preserve">от 17.01.25                        25.03.2025                         26.03.25       </t>
    </r>
    <r>
      <rPr>
        <sz val="11"/>
        <color rgb="FFFF0000"/>
        <rFont val="Times New Roman"/>
        <family val="1"/>
        <charset val="204"/>
      </rPr>
      <t xml:space="preserve">                           </t>
    </r>
    <r>
      <rPr>
        <sz val="11"/>
        <rFont val="Times New Roman"/>
        <family val="1"/>
        <charset val="204"/>
      </rPr>
      <t xml:space="preserve">   от  15/05/2025   </t>
    </r>
    <r>
      <rPr>
        <sz val="11"/>
        <color rgb="FFFF0000"/>
        <rFont val="Times New Roman"/>
        <family val="1"/>
        <charset val="204"/>
      </rPr>
      <t xml:space="preserve">                 </t>
    </r>
    <r>
      <rPr>
        <sz val="11"/>
        <rFont val="Times New Roman"/>
        <family val="1"/>
        <charset val="204"/>
      </rPr>
      <t xml:space="preserve">  18/07/25                              30/07/2025</t>
    </r>
  </si>
  <si>
    <r>
      <rPr>
        <sz val="11"/>
        <rFont val="Times New Roman"/>
        <family val="1"/>
        <charset val="204"/>
      </rPr>
      <t xml:space="preserve">180000 </t>
    </r>
    <r>
      <rPr>
        <sz val="11"/>
        <color rgb="FFFF0000"/>
        <rFont val="Times New Roman"/>
        <family val="1"/>
        <charset val="204"/>
      </rPr>
      <t xml:space="preserve">                         100000</t>
    </r>
  </si>
  <si>
    <r>
      <rPr>
        <sz val="11"/>
        <rFont val="Times New Roman"/>
        <family val="1"/>
        <charset val="204"/>
      </rPr>
      <t xml:space="preserve">от 04.12.2025 </t>
    </r>
    <r>
      <rPr>
        <sz val="11"/>
        <color rgb="FFFF0000"/>
        <rFont val="Times New Roman"/>
        <family val="1"/>
        <charset val="204"/>
      </rPr>
      <t xml:space="preserve">                            от 24.12.2025</t>
    </r>
  </si>
  <si>
    <t>от 27.03.2023                  от 02.08.2023            от 01.12.2025</t>
  </si>
  <si>
    <r>
      <t xml:space="preserve">315000                             </t>
    </r>
    <r>
      <rPr>
        <sz val="10"/>
        <color rgb="FFFF000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 xml:space="preserve"> 3240000              145033,64 (компенсация затрат по БГ) </t>
    </r>
  </si>
  <si>
    <r>
      <t xml:space="preserve">от 27.03.2023                  от 02.08.2023                           </t>
    </r>
    <r>
      <rPr>
        <b/>
        <sz val="10"/>
        <color rgb="FFFF0000"/>
        <rFont val="Times New Roman"/>
        <family val="1"/>
        <charset val="204"/>
      </rPr>
      <t xml:space="preserve">от 26.01.2026 </t>
    </r>
  </si>
  <si>
    <r>
      <rPr>
        <sz val="11"/>
        <rFont val="Times New Roman"/>
        <family val="1"/>
        <charset val="204"/>
      </rPr>
      <t>Акт КС-2 .1 на 16513536,50 от 29.08.25</t>
    </r>
    <r>
      <rPr>
        <sz val="11"/>
        <color rgb="FFFF0000"/>
        <rFont val="Times New Roman"/>
        <family val="1"/>
        <charset val="204"/>
      </rPr>
      <t xml:space="preserve"> (</t>
    </r>
    <r>
      <rPr>
        <b/>
        <sz val="11"/>
        <color rgb="FFFF0000"/>
        <rFont val="Times New Roman"/>
        <family val="1"/>
        <charset val="204"/>
      </rPr>
      <t>с учетом ГАР СНИЖ</t>
    </r>
    <r>
      <rPr>
        <sz val="11"/>
        <color rgb="FFFF0000"/>
        <rFont val="Times New Roman"/>
        <family val="1"/>
        <charset val="204"/>
      </rPr>
      <t xml:space="preserve">. 15687859,68)         </t>
    </r>
    <r>
      <rPr>
        <sz val="11"/>
        <rFont val="Times New Roman"/>
        <family val="1"/>
        <charset val="204"/>
      </rPr>
      <t xml:space="preserve">  Акт КС-2.2                           на 2 305 957,50 от 11.12.25                </t>
    </r>
    <r>
      <rPr>
        <sz val="11"/>
        <color rgb="FFFF0000"/>
        <rFont val="Times New Roman"/>
        <family val="1"/>
        <charset val="204"/>
      </rPr>
      <t>(с учетом ГАР СНИЖ.                             2 190 659,62)                                   Акт КС №3              на 2424000 от 15.01.2026 г.</t>
    </r>
  </si>
  <si>
    <t xml:space="preserve">Жилищно-строительный  кооператив «МАИ ВИМС"
</t>
  </si>
  <si>
    <t>1409392,38               +1060500                      +1757148,22                             +1527202,64</t>
  </si>
  <si>
    <t xml:space="preserve">Федеральное государственное бюджетное учреждение «Информационно-аналитический центр поддержки ГАС «Правосудие» (ФГБУ ИАЦ Судебного департамента), </t>
  </si>
  <si>
    <t>Контракт № 778-ЕД/3-С25/25 от 03.12.2025</t>
  </si>
  <si>
    <t xml:space="preserve">Комплексное техническое обслуживание лифтов, регистрационный номер № 25833, 120288, 120294 по адресу:  г. Москва, ул. Гиляровского, д. 31, стр.1, </t>
  </si>
  <si>
    <t>03.12.2025 - 27.02.2026, С даты заключения контракта  по 31 декабря 2025 г. стр.14</t>
  </si>
  <si>
    <t xml:space="preserve">ГБУЗ "ГП № 45 ДЗМ"
Государственное бюджетное учреждение здравоохранения города Москвы  Городская поликлиника № 45 Департамента здравоохранения города Москвы»,
</t>
  </si>
  <si>
    <t xml:space="preserve">1 325 809,00
</t>
  </si>
  <si>
    <t xml:space="preserve">Гражданско-правовой договор бюджетного учреждения № 91/25
</t>
  </si>
  <si>
    <t xml:space="preserve">№6.12-21/04.11-241225-8 от 25.12.2025                        </t>
  </si>
  <si>
    <t>от 01.01.26 -31.12.2026 ДС №1 от 20.01.2026</t>
  </si>
  <si>
    <t xml:space="preserve">Оказание  услуг  по  эксплуатации  и техническому  обслуживанию                                                      ской  связи  с  лифтами  
и диспетчерского контр                                                          рудования «Объ», на 
объектах
ГБУЗ "ГП № 45 ДЗМ"
</t>
  </si>
  <si>
    <t>НИУ МГСУ</t>
  </si>
  <si>
    <t>нарочным</t>
  </si>
  <si>
    <t>25ТО-776 от «30» декабря 2025г.</t>
  </si>
  <si>
    <t xml:space="preserve">01.01.2026 - 31.12.2028
</t>
  </si>
  <si>
    <t>01.26</t>
  </si>
  <si>
    <r>
      <rPr>
        <sz val="10"/>
        <rFont val="Times New Roman"/>
        <family val="1"/>
        <charset val="204"/>
      </rPr>
      <t xml:space="preserve">Акт КС №1  от </t>
    </r>
    <r>
      <rPr>
        <u/>
        <sz val="10"/>
        <rFont val="Times New Roman"/>
        <family val="1"/>
        <charset val="204"/>
      </rPr>
      <t xml:space="preserve">18.09.25 на </t>
    </r>
    <r>
      <rPr>
        <b/>
        <u/>
        <sz val="10"/>
        <rFont val="Times New Roman"/>
        <family val="1"/>
        <charset val="204"/>
      </rPr>
      <t>54920112, 32</t>
    </r>
    <r>
      <rPr>
        <sz val="10"/>
        <rFont val="Times New Roman"/>
        <family val="1"/>
        <charset val="204"/>
      </rPr>
      <t xml:space="preserve"> -50072112,32    </t>
    </r>
    <r>
      <rPr>
        <sz val="10"/>
        <color rgb="FFFF0000"/>
        <rFont val="Times New Roman"/>
        <family val="1"/>
        <charset val="204"/>
      </rPr>
      <t xml:space="preserve">            </t>
    </r>
    <r>
      <rPr>
        <sz val="10"/>
        <rFont val="Times New Roman"/>
        <family val="1"/>
        <charset val="204"/>
      </rPr>
      <t xml:space="preserve">  (4 848 000) </t>
    </r>
    <r>
      <rPr>
        <sz val="10"/>
        <color rgb="FFFF0000"/>
        <rFont val="Times New Roman"/>
        <family val="1"/>
        <charset val="204"/>
      </rPr>
      <t xml:space="preserve">  </t>
    </r>
    <r>
      <rPr>
        <sz val="10"/>
        <rFont val="Times New Roman"/>
        <family val="1"/>
        <charset val="204"/>
      </rPr>
      <t xml:space="preserve"> Акт КС №2 от 24.10.25 на </t>
    </r>
    <r>
      <rPr>
        <b/>
        <u/>
        <sz val="10"/>
        <rFont val="Times New Roman"/>
        <family val="1"/>
        <charset val="204"/>
      </rPr>
      <t>38750308,16</t>
    </r>
    <r>
      <rPr>
        <sz val="10"/>
        <rFont val="Times New Roman"/>
        <family val="1"/>
        <charset val="204"/>
      </rPr>
      <t xml:space="preserve">-37046889,16  </t>
    </r>
    <r>
      <rPr>
        <sz val="10"/>
        <color rgb="FFFF0000"/>
        <rFont val="Times New Roman"/>
        <family val="1"/>
        <charset val="204"/>
      </rPr>
      <t xml:space="preserve">              (1 693419,00)        Акт КС №3 на   2424000 от 15.01.2026 г.</t>
    </r>
  </si>
  <si>
    <r>
      <rPr>
        <u/>
        <sz val="10"/>
        <color rgb="FFFF0000"/>
        <rFont val="Times New Roman"/>
        <family val="1"/>
        <charset val="204"/>
      </rPr>
      <t>Акт КС-2.1 на 16513536,50 (</t>
    </r>
    <r>
      <rPr>
        <b/>
        <u/>
        <sz val="10"/>
        <color rgb="FFFF0000"/>
        <rFont val="Times New Roman"/>
        <family val="1"/>
        <charset val="204"/>
      </rPr>
      <t>с ГУ</t>
    </r>
    <r>
      <rPr>
        <u/>
        <sz val="10"/>
        <color rgb="FFFF0000"/>
        <rFont val="Times New Roman"/>
        <family val="1"/>
        <charset val="204"/>
      </rPr>
      <t>. 15 687 859,68) от 29.08.25</t>
    </r>
    <r>
      <rPr>
        <sz val="10"/>
        <color rgb="FFFF0000"/>
        <rFont val="Times New Roman"/>
        <family val="1"/>
        <charset val="204"/>
      </rPr>
      <t xml:space="preserve">                   Акт КС -2.2 от 11.12.2025               на </t>
    </r>
    <r>
      <rPr>
        <u/>
        <sz val="10"/>
        <color rgb="FFFF0000"/>
        <rFont val="Times New Roman"/>
        <family val="1"/>
        <charset val="204"/>
      </rPr>
      <t>2 305 957,50</t>
    </r>
    <r>
      <rPr>
        <sz val="10"/>
        <color rgb="FFFF0000"/>
        <rFont val="Times New Roman"/>
        <family val="1"/>
        <charset val="204"/>
      </rPr>
      <t xml:space="preserve"> (c ГУ 2 190  659,63)                         Акт КС-3 на </t>
    </r>
    <r>
      <rPr>
        <u/>
        <sz val="10"/>
        <color rgb="FFFF0000"/>
        <rFont val="Times New Roman"/>
        <family val="1"/>
        <charset val="204"/>
      </rPr>
      <t xml:space="preserve">2 424 000,00 от 15.01.2026 </t>
    </r>
  </si>
  <si>
    <t xml:space="preserve">разработка проектной документации на замену пассажирского лифта грузоподъемностью 320 кг,  в административном здании ИППИ РАН,  по адресу: Москва, Большой Каретный переулок, д. 19, </t>
  </si>
  <si>
    <t>акты</t>
  </si>
  <si>
    <t>Поставщик  обязуется    передать  в  собственность  Покупателю  в  обусловленный  договорора а Покупатель   принять  и оплатить  Товары</t>
  </si>
  <si>
    <t>Акты  ?</t>
  </si>
  <si>
    <t xml:space="preserve">Капитальный ремонт   (обследование,разработка Рабочей документации, поставка и замена) лифтового оборудования в здании по адресу: г. Москва, ул. Щепкина, д.  40, стр.1 </t>
  </si>
  <si>
    <t xml:space="preserve">ООО  «АГОРА»
</t>
  </si>
  <si>
    <t xml:space="preserve">ДОГ. № 312/26                                 от 03.02. 2026 г.                           по 31 декабря 2026г. </t>
  </si>
  <si>
    <t xml:space="preserve">13 498 000, 00 р
</t>
  </si>
  <si>
    <r>
      <t xml:space="preserve">315000                             </t>
    </r>
    <r>
      <rPr>
        <sz val="10"/>
        <color rgb="FFFF000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 xml:space="preserve"> 3240000                                       </t>
    </r>
    <r>
      <rPr>
        <sz val="10"/>
        <color rgb="FFFF0000"/>
        <rFont val="Times New Roman"/>
        <family val="1"/>
        <charset val="204"/>
      </rPr>
      <t>6 643 386,53</t>
    </r>
  </si>
  <si>
    <t>рем.работы</t>
  </si>
  <si>
    <t>как считается</t>
  </si>
  <si>
    <r>
      <t>Дог.№ 295/24 от 10.12.2024 .</t>
    </r>
    <r>
      <rPr>
        <sz val="11"/>
        <color rgb="FF7030A0"/>
        <rFont val="Times New Roman"/>
        <family val="1"/>
        <charset val="204"/>
      </rPr>
      <t xml:space="preserve">Приложение №1 </t>
    </r>
    <r>
      <rPr>
        <sz val="11"/>
        <color rgb="FFFF0000"/>
        <rFont val="Times New Roman"/>
        <family val="1"/>
        <charset val="204"/>
      </rPr>
      <t>(нет нашей подп.) ДС №1 от 14.01.2025, ДС №" от 12.12.2025</t>
    </r>
  </si>
  <si>
    <t>Дог.№40/25 от 16.12.2025</t>
  </si>
  <si>
    <t>Ремонт автомобильного лифта с Зав.№ 40007 по адресу г.Москва ул. Краснопролетарская 9 корп.2</t>
  </si>
  <si>
    <t>от 3012.2025</t>
  </si>
  <si>
    <t xml:space="preserve">95 829 658,83
</t>
  </si>
  <si>
    <r>
      <rPr>
        <sz val="12"/>
        <rFont val="Times New Roman"/>
        <family val="1"/>
        <charset val="204"/>
      </rPr>
      <t xml:space="preserve">Акт КС №1  на 54920112, 32 -50072112,32    </t>
    </r>
    <r>
      <rPr>
        <sz val="12"/>
        <color rgb="FFFF0000"/>
        <rFont val="Times New Roman"/>
        <family val="1"/>
        <charset val="204"/>
      </rPr>
      <t xml:space="preserve">            </t>
    </r>
    <r>
      <rPr>
        <sz val="12"/>
        <rFont val="Times New Roman"/>
        <family val="1"/>
        <charset val="204"/>
      </rPr>
      <t xml:space="preserve">  (4 848 000) </t>
    </r>
    <r>
      <rPr>
        <sz val="12"/>
        <color rgb="FFFF0000"/>
        <rFont val="Times New Roman"/>
        <family val="1"/>
        <charset val="204"/>
      </rPr>
      <t xml:space="preserve">  </t>
    </r>
    <r>
      <rPr>
        <sz val="12"/>
        <rFont val="Times New Roman"/>
        <family val="1"/>
        <charset val="204"/>
      </rPr>
      <t xml:space="preserve"> Акт КС №2 от 24.10.25 на 38750308,16 </t>
    </r>
    <r>
      <rPr>
        <sz val="12"/>
        <color rgb="FFFF0000"/>
        <rFont val="Times New Roman"/>
        <family val="1"/>
        <charset val="204"/>
      </rPr>
      <t xml:space="preserve">                                               Акт КС №3              на 2424000 от 15.01.2026 г.</t>
    </r>
  </si>
  <si>
    <r>
      <t>95 829 658,83                         в</t>
    </r>
    <r>
      <rPr>
        <sz val="12"/>
        <color rgb="FFFF0000"/>
        <rFont val="Times New Roman"/>
        <family val="1"/>
        <charset val="204"/>
      </rPr>
      <t xml:space="preserve"> т.ч. Обор.                 87 129 001,48                      смр                     8 665 260</t>
    </r>
  </si>
  <si>
    <t>ООО СОДИМАС</t>
  </si>
  <si>
    <t>Дог. № 1/У-2026 от 09.02.2026</t>
  </si>
  <si>
    <t>799100 руб.</t>
  </si>
  <si>
    <t xml:space="preserve">услуги соппровождения поставки двух лифтов </t>
  </si>
  <si>
    <r>
      <t>Договор №002-25.13-M от 24.04.2025 г. Прил.№1 и №4</t>
    </r>
    <r>
      <rPr>
        <sz val="11"/>
        <color rgb="FFFF0000"/>
        <rFont val="Times New Roman"/>
        <family val="1"/>
        <charset val="204"/>
      </rPr>
      <t xml:space="preserve"> нет Прл.2,3 </t>
    </r>
    <r>
      <rPr>
        <sz val="11"/>
        <rFont val="Times New Roman"/>
        <family val="1"/>
        <charset val="204"/>
      </rPr>
      <t>ДС №1</t>
    </r>
    <r>
      <rPr>
        <sz val="11"/>
        <color rgb="FFFF0000"/>
        <rFont val="Times New Roman"/>
        <family val="1"/>
        <charset val="204"/>
      </rPr>
      <t xml:space="preserve"> прил -?</t>
    </r>
    <r>
      <rPr>
        <sz val="11"/>
        <rFont val="Times New Roman"/>
        <family val="1"/>
        <charset val="204"/>
      </rPr>
      <t xml:space="preserve">
</t>
    </r>
  </si>
  <si>
    <t>Выполнение работ по замене лифтового оборудования, расположенного по адресу:                                            г. Москва, Триумфальная площадь д. 1 (далее - Работы).</t>
  </si>
  <si>
    <r>
      <t xml:space="preserve">ПД, Поставка оборудоания - 2 лифта, СМР шахт,мон таж и пусконадладка                                     по адресу: г. Москва, Колпачный переулок,  дом 7, стр.2 </t>
    </r>
    <r>
      <rPr>
        <sz val="11"/>
        <color rgb="FFFF0000"/>
        <rFont val="Times New Roman"/>
        <family val="1"/>
        <charset val="204"/>
      </rPr>
      <t xml:space="preserve">  13 817 000 </t>
    </r>
  </si>
  <si>
    <r>
      <t xml:space="preserve"> Договор №249/21 от 09.12.21   ДС.№1 от 30.01.2023     ДС №2 от                            ДС №3 от 30.01.2023                  ДС №4 от 17.11.23                          ДС №5 от 06.11.24 на продление срока до </t>
    </r>
    <r>
      <rPr>
        <b/>
        <sz val="11"/>
        <color rgb="FFFF0000"/>
        <rFont val="Times New Roman"/>
        <family val="1"/>
        <charset val="204"/>
      </rPr>
      <t xml:space="preserve">07.10.25                                               </t>
    </r>
    <r>
      <rPr>
        <b/>
        <sz val="11"/>
        <rFont val="Times New Roman"/>
        <family val="1"/>
        <charset val="204"/>
      </rPr>
      <t xml:space="preserve"> ДС №6 от 06.05.2025</t>
    </r>
  </si>
  <si>
    <r>
      <t>165 580,00   евро и 13817000,00                                       +173 001,10 (26 год)                (</t>
    </r>
    <r>
      <rPr>
        <sz val="11"/>
        <color rgb="FFFF0000"/>
        <rFont val="Times New Roman"/>
        <family val="1"/>
        <charset val="204"/>
      </rPr>
      <t>8 955 000</t>
    </r>
    <r>
      <rPr>
        <sz val="11"/>
        <rFont val="Times New Roman"/>
        <family val="1"/>
        <charset val="204"/>
      </rPr>
      <t>- СМР)</t>
    </r>
  </si>
  <si>
    <t xml:space="preserve"> от 05.12.25                  от 10.12.2025                  от 22.12.2025</t>
  </si>
  <si>
    <t>Дог.№ ТО-13/24 от 25.07.202 ДС.№1 от 29.12.2024</t>
  </si>
  <si>
    <t>с «01»сентября 2024 г. по «31»авгуса 2025 г.  Автом. продл.</t>
  </si>
  <si>
    <r>
      <t xml:space="preserve">275 895,0                 в мес.22 991,26               в т.ч.НДС от 01.20206 г. ежем обсл.  </t>
    </r>
    <r>
      <rPr>
        <u/>
        <sz val="10"/>
        <rFont val="Times New Roman"/>
        <family val="1"/>
        <charset val="204"/>
      </rPr>
      <t>23 374 ,44</t>
    </r>
    <r>
      <rPr>
        <sz val="10"/>
        <rFont val="Times New Roman"/>
        <family val="1"/>
        <charset val="204"/>
      </rPr>
      <t xml:space="preserve">
</t>
    </r>
  </si>
  <si>
    <t>Губанов Николай Витальевич ИП Дог.№ 314/26 от 27.01.2026</t>
  </si>
  <si>
    <t>подготоовка для перевозки 3-х пожарных поразделений г/п 1000кг к пусвконал. работам и сдаче в экспл-ю</t>
  </si>
  <si>
    <t>535000 - услуги</t>
  </si>
  <si>
    <t>Петросян Роберт Варужанович Дог.№ 318/26 от 26.01.2026</t>
  </si>
  <si>
    <r>
      <t xml:space="preserve">СМР по замене лифтового оборудования </t>
    </r>
    <r>
      <rPr>
        <u/>
        <sz val="14"/>
        <rFont val="Times New Roman"/>
        <family val="1"/>
        <charset val="204"/>
      </rPr>
      <t>срок вып. 27.01.2026-15.03.2026</t>
    </r>
  </si>
  <si>
    <t>Петросян Мушет Варужанович Дог.№ 316/26 от 26.01.2026</t>
  </si>
  <si>
    <t xml:space="preserve">Петросян Мушет и Робнрт </t>
  </si>
  <si>
    <t xml:space="preserve">Соколов Виталий Юрьевич </t>
  </si>
  <si>
    <t>СМР по замене лифтового оборудования срок вып. 19.01.2026-17.04.2026</t>
  </si>
  <si>
    <r>
      <t xml:space="preserve">Обследование  шахты  лифта  для установки  лифтового  оборудования,  разработка  проектной  документации  установки лифтового  оборудования,  поставка  лифтового  оборудования  грузоподъемностью  1000 кг без машинного помещения, демонтажные и монтажные работы, пусконаладочные работы,  проведение  технического освидетельствования  лифтового оборудования - </t>
    </r>
    <r>
      <rPr>
        <u/>
        <sz val="11"/>
        <rFont val="Times New Roman"/>
        <family val="1"/>
        <charset val="204"/>
      </rPr>
      <t>г.Москва 3-я Хорошевская улица д.11</t>
    </r>
  </si>
  <si>
    <t>05.12.2025                        10.12.2025                              22.12.2025</t>
  </si>
  <si>
    <t xml:space="preserve">420000                           700000                                       1800000           </t>
  </si>
  <si>
    <r>
      <t>Федеральное государственное бюджетное учреждение науки  Институт проблем передачи информации им. А.А.Харкевича Российской академии наук</t>
    </r>
    <r>
      <rPr>
        <b/>
        <sz val="11"/>
        <rFont val="Times New Roman"/>
        <family val="1"/>
        <charset val="204"/>
      </rPr>
      <t xml:space="preserve"> ИППИ РАН</t>
    </r>
  </si>
  <si>
    <t>от 31.07.2025                               30.09.25                      20.10.25                          11/12/2025</t>
  </si>
  <si>
    <r>
      <t xml:space="preserve">4341316 </t>
    </r>
    <r>
      <rPr>
        <sz val="11"/>
        <rFont val="Times New Roman"/>
        <family val="1"/>
        <charset val="204"/>
      </rPr>
      <t xml:space="preserve">                    в т.ч.                   Оборудование
-1860000                               СМР - 1897600         материалы             583716</t>
    </r>
  </si>
  <si>
    <r>
      <t xml:space="preserve">12.08.2025                            </t>
    </r>
    <r>
      <rPr>
        <sz val="11"/>
        <rFont val="Times New Roman"/>
        <family val="1"/>
        <charset val="204"/>
      </rPr>
      <t xml:space="preserve"> 05.12.2025                                    16.12.2025</t>
    </r>
  </si>
  <si>
    <t xml:space="preserve"> 2564320                                        + 4733580                                + 4936650                   + 2238640                             +1842260                         +402400</t>
  </si>
  <si>
    <t>от 31.07.2025                               30.09.25                      20.10.25                          11/12/2025                              30.12.2025                          29.12.2025(Услуги)</t>
  </si>
  <si>
    <t xml:space="preserve">535000  Акты КС от 25.02.2026 г. </t>
  </si>
  <si>
    <t>от 12.02.2026</t>
  </si>
  <si>
    <r>
      <rPr>
        <sz val="11"/>
        <rFont val="Times New Roman"/>
        <family val="1"/>
        <charset val="204"/>
      </rPr>
      <t xml:space="preserve">600000 от 17.11.2025    </t>
    </r>
    <r>
      <rPr>
        <sz val="11"/>
        <color rgb="FFFF0000"/>
        <rFont val="Times New Roman"/>
        <family val="1"/>
        <charset val="204"/>
      </rPr>
      <t xml:space="preserve">                     200000              от 15.01.2026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</si>
</sst>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yy"/>
    <numFmt numFmtId="165" formatCode="#,##0.00_ ;\-#,##0.00\ "/>
    <numFmt numFmtId="166" formatCode="0.000"/>
    <numFmt numFmtId="167" formatCode="_(\$* #,##0.00_);_(\$* \(#,##0.00\);_(\$* \-??_);_(@_)"/>
    <numFmt numFmtId="168" formatCode="0.00;[Red]0.00"/>
    <numFmt numFmtId="169" formatCode="#,##0.00\ &quot;₽&quot;"/>
  </numFmts>
  <fonts count="212"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9"/>
      <color rgb="FFFFFFFF"/>
      <name val="Calibri"/>
      <family val="2"/>
      <charset val="204"/>
    </font>
    <font>
      <sz val="9"/>
      <name val="Arial"/>
      <family val="2"/>
      <charset val="204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color rgb="FF339966"/>
      <name val="Times New Roman"/>
      <family val="1"/>
      <charset val="204"/>
    </font>
    <font>
      <sz val="9"/>
      <color rgb="FFFF00FF"/>
      <name val="Times New Roman"/>
      <family val="1"/>
      <charset val="204"/>
    </font>
    <font>
      <b/>
      <sz val="9"/>
      <color rgb="FFFF0000"/>
      <name val="Arial"/>
      <family val="2"/>
      <charset val="204"/>
    </font>
    <font>
      <sz val="9"/>
      <color rgb="FFFF0000"/>
      <name val="Arial"/>
      <family val="2"/>
      <charset val="204"/>
    </font>
    <font>
      <sz val="9"/>
      <color rgb="FF339966"/>
      <name val="Arial"/>
      <family val="2"/>
      <charset val="204"/>
    </font>
    <font>
      <sz val="9"/>
      <color rgb="FF0000FF"/>
      <name val="Arial"/>
      <family val="2"/>
      <charset val="204"/>
    </font>
    <font>
      <sz val="9"/>
      <color rgb="FF008000"/>
      <name val="Times New Roman"/>
      <family val="1"/>
      <charset val="204"/>
    </font>
    <font>
      <sz val="9"/>
      <color rgb="FF0000FF"/>
      <name val="Times New Roman"/>
      <family val="1"/>
      <charset val="204"/>
    </font>
    <font>
      <b/>
      <sz val="10"/>
      <color rgb="FFFF0000"/>
      <name val="Arial"/>
      <family val="2"/>
      <charset val="204"/>
    </font>
    <font>
      <b/>
      <sz val="9"/>
      <color rgb="FFFF0000"/>
      <name val="Times New Roman"/>
      <family val="1"/>
      <charset val="204"/>
    </font>
    <font>
      <b/>
      <sz val="9"/>
      <color rgb="FF339966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9"/>
      <color rgb="FF008080"/>
      <name val="Times New Roman"/>
      <family val="1"/>
      <charset val="204"/>
    </font>
    <font>
      <b/>
      <u/>
      <sz val="9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9"/>
      <color rgb="FF008000"/>
      <name val="Times New Roman"/>
      <family val="1"/>
      <charset val="204"/>
    </font>
    <font>
      <u/>
      <sz val="9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9"/>
      <color rgb="FF008080"/>
      <name val="Arial"/>
      <family val="2"/>
      <charset val="204"/>
    </font>
    <font>
      <b/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1"/>
      <name val="Arial"/>
      <family val="2"/>
      <charset val="204"/>
    </font>
    <font>
      <b/>
      <sz val="14"/>
      <color rgb="FFFF0000"/>
      <name val="Arial"/>
      <family val="2"/>
      <charset val="204"/>
    </font>
    <font>
      <sz val="9"/>
      <color rgb="FF008000"/>
      <name val="Arial"/>
      <family val="2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sz val="11"/>
      <color rgb="FF0000FF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4"/>
      <color rgb="FFFF0000"/>
      <name val="Arial"/>
      <family val="2"/>
      <charset val="204"/>
    </font>
    <font>
      <b/>
      <i/>
      <sz val="9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0"/>
      <color rgb="FF0000FF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rgb="FF993366"/>
      <name val="Times New Roman"/>
      <family val="1"/>
      <charset val="204"/>
    </font>
    <font>
      <sz val="9"/>
      <color rgb="FF800000"/>
      <name val="Arial"/>
      <family val="2"/>
      <charset val="204"/>
    </font>
    <font>
      <sz val="12"/>
      <color rgb="FFFF0000"/>
      <name val="Arial"/>
      <family val="2"/>
      <charset val="204"/>
    </font>
    <font>
      <b/>
      <sz val="11"/>
      <name val="Times New Roman"/>
      <family val="1"/>
      <charset val="204"/>
    </font>
    <font>
      <sz val="9"/>
      <color rgb="FF99330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9"/>
      <color rgb="FF33CCCC"/>
      <name val="Times New Roman"/>
      <family val="1"/>
      <charset val="204"/>
    </font>
    <font>
      <b/>
      <sz val="11"/>
      <color rgb="FFFF0000"/>
      <name val="Arial"/>
      <family val="2"/>
      <charset val="204"/>
    </font>
    <font>
      <sz val="9"/>
      <color rgb="FF993300"/>
      <name val="Times New Roman"/>
      <family val="1"/>
      <charset val="204"/>
    </font>
    <font>
      <u/>
      <sz val="9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4"/>
      <color rgb="FF000000"/>
      <name val="Arial"/>
      <family val="2"/>
      <charset val="204"/>
    </font>
    <font>
      <sz val="9"/>
      <color rgb="FF99CC00"/>
      <name val="Times New Roman"/>
      <family val="1"/>
      <charset val="204"/>
    </font>
    <font>
      <sz val="9"/>
      <color rgb="FF333399"/>
      <name val="Arial"/>
      <family val="2"/>
      <charset val="204"/>
    </font>
    <font>
      <sz val="11"/>
      <color rgb="FFFF0000"/>
      <name val="Arial"/>
      <family val="2"/>
      <charset val="204"/>
    </font>
    <font>
      <sz val="9"/>
      <color rgb="FF000000"/>
      <name val="Times New Roman"/>
      <family val="1"/>
      <charset val="204"/>
    </font>
    <font>
      <sz val="9"/>
      <color rgb="FF0066CC"/>
      <name val="Arial"/>
      <family val="2"/>
      <charset val="204"/>
    </font>
    <font>
      <sz val="9"/>
      <color rgb="FF800080"/>
      <name val="Arial"/>
      <family val="2"/>
      <charset val="204"/>
    </font>
    <font>
      <sz val="9"/>
      <color rgb="FF003366"/>
      <name val="Arial"/>
      <family val="2"/>
      <charset val="204"/>
    </font>
    <font>
      <b/>
      <sz val="9"/>
      <color rgb="FF008000"/>
      <name val="Arial"/>
      <family val="2"/>
      <charset val="204"/>
    </font>
    <font>
      <b/>
      <u/>
      <sz val="10"/>
      <name val="Times New Roman"/>
      <family val="1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sz val="9"/>
      <color rgb="FF80008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800080"/>
      <name val="Times New Roman"/>
      <family val="1"/>
      <charset val="204"/>
    </font>
    <font>
      <sz val="10"/>
      <color rgb="FF008000"/>
      <name val="Times New Roman"/>
      <family val="1"/>
      <charset val="204"/>
    </font>
    <font>
      <b/>
      <sz val="10"/>
      <color rgb="FF800080"/>
      <name val="Times New Roman"/>
      <family val="1"/>
      <charset val="204"/>
    </font>
    <font>
      <b/>
      <sz val="10"/>
      <color rgb="FF008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rgb="FF000000"/>
      <name val="Arial"/>
      <family val="2"/>
      <charset val="204"/>
    </font>
    <font>
      <b/>
      <u/>
      <sz val="9"/>
      <name val="Arial"/>
      <family val="2"/>
      <charset val="204"/>
    </font>
    <font>
      <b/>
      <sz val="10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u/>
      <sz val="10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1"/>
      <color rgb="FF0000FF"/>
      <name val="Times New Roman"/>
      <family val="1"/>
      <charset val="204"/>
    </font>
    <font>
      <b/>
      <sz val="11"/>
      <color rgb="FF0066CC"/>
      <name val="Times New Roman"/>
      <family val="1"/>
      <charset val="204"/>
    </font>
    <font>
      <sz val="12"/>
      <name val="Times New Roman"/>
      <family val="1"/>
      <charset val="204"/>
    </font>
    <font>
      <u/>
      <sz val="11"/>
      <color rgb="FFFF0000"/>
      <name val="Times New Roman"/>
      <family val="1"/>
      <charset val="204"/>
    </font>
    <font>
      <sz val="10"/>
      <name val="Arial"/>
      <family val="2"/>
      <charset val="204"/>
    </font>
    <font>
      <sz val="9"/>
      <color rgb="FF0070C0"/>
      <name val="Arial"/>
      <family val="2"/>
      <charset val="204"/>
    </font>
    <font>
      <sz val="9"/>
      <color rgb="FF7030A0"/>
      <name val="Arial"/>
      <family val="2"/>
      <charset val="204"/>
    </font>
    <font>
      <b/>
      <sz val="10"/>
      <color rgb="FF7030A0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10"/>
      <color rgb="FF00B050"/>
      <name val="Times New Roman"/>
      <family val="1"/>
      <charset val="204"/>
    </font>
    <font>
      <sz val="9"/>
      <color rgb="FF00B050"/>
      <name val="Arial"/>
      <family val="2"/>
      <charset val="204"/>
    </font>
    <font>
      <sz val="14"/>
      <name val="Arial"/>
      <family val="2"/>
      <charset val="204"/>
    </font>
    <font>
      <sz val="10"/>
      <color rgb="FF00B050"/>
      <name val="Times New Roman"/>
      <family val="1"/>
      <charset val="204"/>
    </font>
    <font>
      <sz val="9"/>
      <color rgb="FFFFC000"/>
      <name val="Arial"/>
      <family val="2"/>
      <charset val="204"/>
    </font>
    <font>
      <sz val="12"/>
      <color rgb="FF00B050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9"/>
      <color rgb="FF00B050"/>
      <name val="Times New Roman"/>
      <family val="1"/>
      <charset val="204"/>
    </font>
    <font>
      <b/>
      <sz val="10"/>
      <color rgb="FF008000"/>
      <name val="Arial"/>
      <family val="2"/>
      <charset val="204"/>
    </font>
    <font>
      <b/>
      <u/>
      <sz val="11"/>
      <name val="Arial"/>
      <family val="2"/>
      <charset val="204"/>
    </font>
    <font>
      <sz val="11"/>
      <color rgb="FF0066CC"/>
      <name val="Arial"/>
      <family val="2"/>
      <charset val="204"/>
    </font>
    <font>
      <b/>
      <sz val="9"/>
      <color rgb="FF7030A0"/>
      <name val="Arial"/>
      <family val="2"/>
      <charset val="204"/>
    </font>
    <font>
      <b/>
      <sz val="9"/>
      <color rgb="FF00B050"/>
      <name val="Times New Roman"/>
      <family val="1"/>
      <charset val="204"/>
    </font>
    <font>
      <sz val="9"/>
      <color theme="1"/>
      <name val="Arial"/>
      <family val="2"/>
      <charset val="204"/>
    </font>
    <font>
      <sz val="9"/>
      <color theme="1"/>
      <name val="Times New Roman"/>
      <family val="1"/>
      <charset val="204"/>
    </font>
    <font>
      <sz val="9"/>
      <color rgb="FF92D050"/>
      <name val="Arial"/>
      <family val="2"/>
      <charset val="204"/>
    </font>
    <font>
      <b/>
      <sz val="11"/>
      <color theme="1"/>
      <name val="Times New Roman"/>
      <family val="1"/>
      <charset val="204"/>
    </font>
    <font>
      <b/>
      <sz val="11"/>
      <color rgb="FF7030A0"/>
      <name val="Arial"/>
      <family val="2"/>
      <charset val="204"/>
    </font>
    <font>
      <sz val="9"/>
      <color rgb="FFC00000"/>
      <name val="Arial"/>
      <family val="2"/>
      <charset val="204"/>
    </font>
    <font>
      <u/>
      <sz val="11"/>
      <name val="Times New Roman"/>
      <family val="1"/>
      <charset val="204"/>
    </font>
    <font>
      <sz val="11"/>
      <color rgb="FF333399"/>
      <name val="Arial"/>
      <family val="2"/>
      <charset val="204"/>
    </font>
    <font>
      <sz val="11"/>
      <color rgb="FF0070C0"/>
      <name val="Times New Roman"/>
      <family val="1"/>
      <charset val="204"/>
    </font>
    <font>
      <b/>
      <sz val="9"/>
      <color rgb="FF00B050"/>
      <name val="Arial"/>
      <family val="2"/>
      <charset val="204"/>
    </font>
    <font>
      <sz val="10"/>
      <color rgb="FF00B050"/>
      <name val="Arial"/>
      <family val="2"/>
      <charset val="204"/>
    </font>
    <font>
      <b/>
      <sz val="11"/>
      <color rgb="FF00B050"/>
      <name val="Times New Roman"/>
      <family val="1"/>
      <charset val="204"/>
    </font>
    <font>
      <b/>
      <sz val="11"/>
      <color rgb="FF7030A0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9"/>
      <color rgb="FF002060"/>
      <name val="Arial"/>
      <family val="2"/>
      <charset val="204"/>
    </font>
    <font>
      <u/>
      <sz val="9"/>
      <color rgb="FFFF0000"/>
      <name val="Arial"/>
      <family val="2"/>
      <charset val="204"/>
    </font>
    <font>
      <b/>
      <sz val="11"/>
      <color rgb="FFFF00FF"/>
      <name val="Times New Roman"/>
      <family val="1"/>
      <charset val="204"/>
    </font>
    <font>
      <b/>
      <sz val="11"/>
      <color rgb="FF008000"/>
      <name val="Times New Roman"/>
      <family val="1"/>
      <charset val="204"/>
    </font>
    <font>
      <b/>
      <sz val="11"/>
      <color rgb="FF99CC00"/>
      <name val="Times New Roman"/>
      <family val="1"/>
      <charset val="204"/>
    </font>
    <font>
      <sz val="11"/>
      <color rgb="FF99CC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i/>
      <u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color rgb="FF00CCFF"/>
      <name val="Times New Roman"/>
      <family val="1"/>
      <charset val="204"/>
    </font>
    <font>
      <sz val="11"/>
      <color rgb="FF339966"/>
      <name val="Times New Roman"/>
      <family val="1"/>
      <charset val="204"/>
    </font>
    <font>
      <sz val="11"/>
      <color rgb="FFCC99FF"/>
      <name val="Times New Roman"/>
      <family val="1"/>
      <charset val="204"/>
    </font>
    <font>
      <sz val="11"/>
      <color rgb="FF800000"/>
      <name val="Times New Roman"/>
      <family val="1"/>
      <charset val="204"/>
    </font>
    <font>
      <b/>
      <sz val="11"/>
      <color rgb="FF00FF00"/>
      <name val="Times New Roman"/>
      <family val="1"/>
      <charset val="204"/>
    </font>
    <font>
      <sz val="11"/>
      <color rgb="FFFFFFFF"/>
      <name val="Times New Roman"/>
      <family val="1"/>
      <charset val="204"/>
    </font>
    <font>
      <b/>
      <sz val="11"/>
      <color rgb="FF800000"/>
      <name val="Times New Roman"/>
      <family val="1"/>
      <charset val="204"/>
    </font>
    <font>
      <b/>
      <sz val="11"/>
      <color rgb="FF3366FF"/>
      <name val="Times New Roman"/>
      <family val="1"/>
      <charset val="204"/>
    </font>
    <font>
      <sz val="11"/>
      <color rgb="FF333333"/>
      <name val="Times New Roman"/>
      <family val="1"/>
      <charset val="204"/>
    </font>
    <font>
      <sz val="11"/>
      <color rgb="FF993366"/>
      <name val="Times New Roman"/>
      <family val="1"/>
      <charset val="204"/>
    </font>
    <font>
      <b/>
      <sz val="11"/>
      <color rgb="FF339966"/>
      <name val="Times New Roman"/>
      <family val="1"/>
      <charset val="204"/>
    </font>
    <font>
      <sz val="11"/>
      <color rgb="FF00FF00"/>
      <name val="Times New Roman"/>
      <family val="1"/>
      <charset val="204"/>
    </font>
    <font>
      <sz val="11"/>
      <color rgb="FF008080"/>
      <name val="Times New Roman"/>
      <family val="1"/>
      <charset val="204"/>
    </font>
    <font>
      <sz val="11"/>
      <color rgb="FF3366FF"/>
      <name val="Times New Roman"/>
      <family val="1"/>
      <charset val="204"/>
    </font>
    <font>
      <b/>
      <sz val="11"/>
      <color rgb="FF008080"/>
      <name val="Times New Roman"/>
      <family val="1"/>
      <charset val="204"/>
    </font>
    <font>
      <sz val="11"/>
      <color rgb="FFFF00FF"/>
      <name val="Times New Roman"/>
      <family val="1"/>
      <charset val="204"/>
    </font>
    <font>
      <b/>
      <sz val="11"/>
      <color rgb="FFFFFFFF"/>
      <name val="Times New Roman"/>
      <family val="1"/>
      <charset val="204"/>
    </font>
    <font>
      <sz val="11"/>
      <color rgb="FF008000"/>
      <name val="Times New Roman"/>
      <family val="1"/>
      <charset val="204"/>
    </font>
    <font>
      <b/>
      <sz val="11"/>
      <color rgb="FF993300"/>
      <name val="Times New Roman"/>
      <family val="1"/>
      <charset val="204"/>
    </font>
    <font>
      <b/>
      <sz val="11"/>
      <color rgb="FF800080"/>
      <name val="Times New Roman"/>
      <family val="1"/>
      <charset val="204"/>
    </font>
    <font>
      <b/>
      <u/>
      <sz val="11"/>
      <color rgb="FF800080"/>
      <name val="Times New Roman"/>
      <family val="1"/>
      <charset val="204"/>
    </font>
    <font>
      <sz val="11"/>
      <color rgb="FF800080"/>
      <name val="Times New Roman"/>
      <family val="1"/>
      <charset val="204"/>
    </font>
    <font>
      <u/>
      <sz val="11"/>
      <color rgb="FF80008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b/>
      <sz val="11"/>
      <color rgb="FF00CCFF"/>
      <name val="Times New Roman"/>
      <family val="1"/>
      <charset val="204"/>
    </font>
    <font>
      <sz val="11"/>
      <color rgb="FF00B050"/>
      <name val="Times New Roman"/>
      <family val="1"/>
      <charset val="204"/>
    </font>
    <font>
      <u/>
      <sz val="11"/>
      <color rgb="FF7030A0"/>
      <name val="Times New Roman"/>
      <family val="1"/>
      <charset val="204"/>
    </font>
    <font>
      <sz val="11"/>
      <name val="2 064 000 "/>
      <charset val="204"/>
    </font>
    <font>
      <sz val="11"/>
      <color rgb="FF7030A0"/>
      <name val="Times New Roman"/>
      <family val="1"/>
      <charset val="204"/>
    </font>
    <font>
      <b/>
      <sz val="11"/>
      <color rgb="FF0070C0"/>
      <name val="Times New Roman"/>
      <family val="1"/>
      <charset val="204"/>
    </font>
    <font>
      <b/>
      <u/>
      <sz val="11"/>
      <color rgb="FF7030A0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rgb="FF0070C0"/>
      <name val="Times New Roman"/>
      <family val="1"/>
      <charset val="204"/>
    </font>
    <font>
      <b/>
      <sz val="10"/>
      <color rgb="FF0070C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4"/>
      <color rgb="FF002060"/>
      <name val="Times New Roman"/>
      <family val="1"/>
      <charset val="204"/>
    </font>
    <font>
      <sz val="10"/>
      <color rgb="FFC00000"/>
      <name val="Times New Roman"/>
      <family val="1"/>
      <charset val="204"/>
    </font>
    <font>
      <b/>
      <sz val="10"/>
      <color rgb="FF002060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2060"/>
      <name val="Times New Roman"/>
      <family val="1"/>
      <charset val="204"/>
    </font>
    <font>
      <u/>
      <sz val="14"/>
      <color rgb="FFFF0000"/>
      <name val="Times New Roman"/>
      <family val="1"/>
      <charset val="204"/>
    </font>
    <font>
      <sz val="10"/>
      <color rgb="FF002060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sz val="10"/>
      <color rgb="FF7030A0"/>
      <name val="Times New Roman"/>
      <family val="1"/>
      <charset val="204"/>
    </font>
    <font>
      <sz val="10"/>
      <color rgb="FF92D050"/>
      <name val="Times New Roman"/>
      <family val="1"/>
      <charset val="204"/>
    </font>
    <font>
      <b/>
      <sz val="14"/>
      <color rgb="FF0070C0"/>
      <name val="Times New Roman"/>
      <family val="1"/>
      <charset val="204"/>
    </font>
    <font>
      <sz val="10"/>
      <color rgb="FF0070C0"/>
      <name val="Times New Roman"/>
      <family val="1"/>
      <charset val="204"/>
    </font>
    <font>
      <b/>
      <sz val="14"/>
      <color rgb="FF7030A0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u/>
      <sz val="14"/>
      <name val="Times New Roman"/>
      <family val="1"/>
      <charset val="204"/>
    </font>
    <font>
      <b/>
      <sz val="24"/>
      <name val="Times New Roman"/>
      <family val="1"/>
      <charset val="204"/>
    </font>
    <font>
      <sz val="11"/>
      <color rgb="FFFFFF00"/>
      <name val="Times New Roman"/>
      <family val="1"/>
      <charset val="204"/>
    </font>
    <font>
      <b/>
      <u/>
      <sz val="14"/>
      <name val="Times New Roman"/>
      <family val="1"/>
      <charset val="204"/>
    </font>
    <font>
      <b/>
      <sz val="16"/>
      <color rgb="FFFF0000"/>
      <name val="Arial"/>
      <family val="2"/>
      <charset val="204"/>
    </font>
    <font>
      <u/>
      <sz val="12"/>
      <name val="Times New Roman"/>
      <family val="1"/>
      <charset val="204"/>
    </font>
    <font>
      <sz val="9"/>
      <color rgb="FF7030A0"/>
      <name val="Times New Roman"/>
      <family val="1"/>
      <charset val="204"/>
    </font>
    <font>
      <sz val="11"/>
      <color rgb="FF7030A0"/>
      <name val="Arial"/>
      <family val="2"/>
      <charset val="204"/>
    </font>
    <font>
      <sz val="11"/>
      <color rgb="FF0070C0"/>
      <name val="Arial"/>
      <family val="2"/>
      <charset val="204"/>
    </font>
    <font>
      <sz val="12.5"/>
      <color rgb="FF564956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name val="Times New Roman"/>
      <family val="1"/>
      <charset val="204"/>
    </font>
    <font>
      <sz val="13.5"/>
      <name val="TimesNewRoman???????"/>
    </font>
    <font>
      <b/>
      <sz val="11"/>
      <color rgb="FF002060"/>
      <name val="Arial"/>
      <family val="2"/>
      <charset val="204"/>
    </font>
    <font>
      <sz val="10"/>
      <color theme="1"/>
      <name val="Times New Roman"/>
      <family val="1"/>
      <charset val="204"/>
    </font>
    <font>
      <sz val="11"/>
      <color rgb="FF002060"/>
      <name val="Times New Roman"/>
      <family val="1"/>
      <charset val="204"/>
    </font>
    <font>
      <b/>
      <sz val="9"/>
      <color rgb="FF002060"/>
      <name val="Arial"/>
      <family val="2"/>
      <charset val="204"/>
    </font>
    <font>
      <b/>
      <sz val="13"/>
      <name val="Times New Roman"/>
      <family val="1"/>
      <charset val="204"/>
    </font>
    <font>
      <sz val="10"/>
      <color rgb="FF002060"/>
      <name val="Arial"/>
      <family val="2"/>
      <charset val="204"/>
    </font>
    <font>
      <b/>
      <sz val="13"/>
      <color rgb="FFFF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b/>
      <sz val="11"/>
      <color rgb="FFC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u/>
      <sz val="10"/>
      <name val="Arial"/>
      <family val="2"/>
      <charset val="204"/>
    </font>
    <font>
      <u/>
      <sz val="10"/>
      <name val="Times New Roman"/>
      <family val="1"/>
      <charset val="204"/>
    </font>
    <font>
      <b/>
      <u/>
      <sz val="10"/>
      <color rgb="FFFF0000"/>
      <name val="Times New Roman"/>
      <family val="1"/>
      <charset val="204"/>
    </font>
  </fonts>
  <fills count="4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9966"/>
        <bgColor rgb="FF008080"/>
      </patternFill>
    </fill>
    <fill>
      <patternFill patternType="solid">
        <fgColor rgb="FF00CCFF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  <fill>
      <patternFill patternType="solid">
        <fgColor rgb="FF008000"/>
        <bgColor rgb="FF008080"/>
      </patternFill>
    </fill>
    <fill>
      <patternFill patternType="solid">
        <fgColor rgb="FFFF00FF"/>
        <bgColor rgb="FFFF00FF"/>
      </patternFill>
    </fill>
    <fill>
      <patternFill patternType="solid">
        <fgColor rgb="FF993366"/>
        <bgColor rgb="FF993366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rgb="FFFFC000"/>
        <bgColor rgb="FF00CCFF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CCFFFF"/>
      </patternFill>
    </fill>
    <fill>
      <patternFill patternType="solid">
        <fgColor rgb="FF00B050"/>
        <bgColor rgb="FF00808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FFFFCC"/>
      </patternFill>
    </fill>
    <fill>
      <patternFill patternType="solid">
        <fgColor rgb="FF92D050"/>
        <bgColor rgb="FF9933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9">
    <xf numFmtId="0" fontId="0" fillId="0" borderId="0"/>
    <xf numFmtId="167" fontId="92" fillId="0" borderId="0" applyBorder="0" applyAlignment="0" applyProtection="0"/>
    <xf numFmtId="0" fontId="1" fillId="2" borderId="0" applyBorder="0" applyAlignment="0" applyProtection="0"/>
    <xf numFmtId="0" fontId="1" fillId="3" borderId="0" applyBorder="0" applyAlignment="0" applyProtection="0"/>
    <xf numFmtId="0" fontId="1" fillId="4" borderId="0" applyBorder="0" applyAlignment="0" applyProtection="0"/>
    <xf numFmtId="0" fontId="1" fillId="5" borderId="0" applyBorder="0" applyAlignment="0" applyProtection="0"/>
    <xf numFmtId="0" fontId="1" fillId="6" borderId="0" applyBorder="0" applyAlignment="0" applyProtection="0"/>
    <xf numFmtId="0" fontId="1" fillId="7" borderId="0" applyBorder="0" applyAlignment="0" applyProtection="0"/>
    <xf numFmtId="0" fontId="2" fillId="6" borderId="0" applyBorder="0" applyAlignment="0" applyProtection="0"/>
    <xf numFmtId="0" fontId="2" fillId="7" borderId="0" applyBorder="0" applyAlignment="0" applyProtection="0"/>
    <xf numFmtId="0" fontId="2" fillId="8" borderId="0" applyBorder="0" applyAlignment="0" applyProtection="0"/>
    <xf numFmtId="0" fontId="2" fillId="9" borderId="0" applyBorder="0" applyAlignment="0" applyProtection="0"/>
    <xf numFmtId="0" fontId="2" fillId="2" borderId="0" applyBorder="0" applyAlignment="0" applyProtection="0"/>
    <xf numFmtId="0" fontId="2" fillId="4" borderId="0" applyBorder="0" applyAlignment="0" applyProtection="0"/>
    <xf numFmtId="0" fontId="1" fillId="10" borderId="0" applyBorder="0" applyAlignment="0" applyProtection="0"/>
    <xf numFmtId="0" fontId="1" fillId="11" borderId="0" applyBorder="0" applyAlignment="0" applyProtection="0"/>
    <xf numFmtId="0" fontId="1" fillId="12" borderId="0" applyBorder="0" applyAlignment="0" applyProtection="0"/>
    <xf numFmtId="0" fontId="1" fillId="5" borderId="0" applyBorder="0" applyAlignment="0" applyProtection="0"/>
    <xf numFmtId="0" fontId="1" fillId="10" borderId="0" applyBorder="0" applyAlignment="0" applyProtection="0"/>
    <xf numFmtId="0" fontId="1" fillId="13" borderId="0" applyBorder="0" applyAlignment="0" applyProtection="0"/>
    <xf numFmtId="0" fontId="2" fillId="10" borderId="0" applyBorder="0" applyAlignment="0" applyProtection="0"/>
    <xf numFmtId="0" fontId="2" fillId="7" borderId="0" applyBorder="0" applyAlignment="0" applyProtection="0"/>
    <xf numFmtId="0" fontId="2" fillId="14" borderId="0" applyBorder="0" applyAlignment="0" applyProtection="0"/>
    <xf numFmtId="0" fontId="2" fillId="15" borderId="0" applyBorder="0" applyAlignment="0" applyProtection="0"/>
    <xf numFmtId="0" fontId="2" fillId="10" borderId="0" applyBorder="0" applyAlignment="0" applyProtection="0"/>
    <xf numFmtId="0" fontId="2" fillId="15" borderId="0" applyBorder="0" applyAlignment="0" applyProtection="0"/>
    <xf numFmtId="0" fontId="3" fillId="16" borderId="0" applyBorder="0" applyAlignment="0" applyProtection="0"/>
    <xf numFmtId="0" fontId="3" fillId="11" borderId="0" applyBorder="0" applyAlignment="0" applyProtection="0"/>
    <xf numFmtId="0" fontId="3" fillId="12" borderId="0" applyBorder="0" applyAlignment="0" applyProtection="0"/>
    <xf numFmtId="0" fontId="3" fillId="17" borderId="0" applyBorder="0" applyAlignment="0" applyProtection="0"/>
    <xf numFmtId="0" fontId="3" fillId="18" borderId="0" applyBorder="0" applyAlignment="0" applyProtection="0"/>
    <xf numFmtId="0" fontId="3" fillId="19" borderId="0" applyBorder="0" applyAlignment="0" applyProtection="0"/>
    <xf numFmtId="0" fontId="4" fillId="10" borderId="0" applyBorder="0" applyAlignment="0" applyProtection="0"/>
    <xf numFmtId="0" fontId="4" fillId="7" borderId="0" applyBorder="0" applyAlignment="0" applyProtection="0"/>
    <xf numFmtId="0" fontId="4" fillId="14" borderId="0" applyBorder="0" applyAlignment="0" applyProtection="0"/>
    <xf numFmtId="0" fontId="4" fillId="15" borderId="0" applyBorder="0" applyAlignment="0" applyProtection="0"/>
    <xf numFmtId="0" fontId="4" fillId="18" borderId="0" applyBorder="0" applyAlignment="0" applyProtection="0"/>
    <xf numFmtId="0" fontId="4" fillId="20" borderId="0" applyBorder="0" applyAlignment="0" applyProtection="0"/>
    <xf numFmtId="0" fontId="208" fillId="0" borderId="0"/>
  </cellStyleXfs>
  <cellXfs count="2739">
    <xf numFmtId="0" fontId="0" fillId="0" borderId="0" xfId="0"/>
    <xf numFmtId="0" fontId="5" fillId="0" borderId="0" xfId="0" applyFont="1"/>
    <xf numFmtId="0" fontId="5" fillId="0" borderId="1" xfId="0" applyFont="1" applyBorder="1"/>
    <xf numFmtId="0" fontId="7" fillId="0" borderId="0" xfId="0" applyFont="1"/>
    <xf numFmtId="0" fontId="5" fillId="8" borderId="1" xfId="0" applyFont="1" applyFill="1" applyBorder="1"/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8" fillId="0" borderId="2" xfId="0" applyFont="1" applyBorder="1" applyAlignment="1">
      <alignment wrapText="1"/>
    </xf>
    <xf numFmtId="0" fontId="8" fillId="8" borderId="1" xfId="0" applyFont="1" applyFill="1" applyBorder="1" applyAlignment="1">
      <alignment wrapText="1"/>
    </xf>
    <xf numFmtId="0" fontId="8" fillId="0" borderId="3" xfId="0" applyFont="1" applyBorder="1"/>
    <xf numFmtId="0" fontId="8" fillId="0" borderId="2" xfId="0" applyFont="1" applyBorder="1"/>
    <xf numFmtId="0" fontId="8" fillId="18" borderId="1" xfId="0" applyFont="1" applyFill="1" applyBorder="1"/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7" fillId="0" borderId="2" xfId="0" applyFont="1" applyBorder="1"/>
    <xf numFmtId="0" fontId="7" fillId="8" borderId="1" xfId="0" applyFont="1" applyFill="1" applyBorder="1"/>
    <xf numFmtId="0" fontId="7" fillId="0" borderId="3" xfId="0" applyFont="1" applyBorder="1" applyAlignment="1">
      <alignment horizontal="center"/>
    </xf>
    <xf numFmtId="0" fontId="5" fillId="21" borderId="1" xfId="0" applyFont="1" applyFill="1" applyBorder="1"/>
    <xf numFmtId="0" fontId="5" fillId="0" borderId="3" xfId="0" applyFont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 applyAlignment="1">
      <alignment horizontal="left" wrapText="1"/>
    </xf>
    <xf numFmtId="0" fontId="10" fillId="8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" xfId="0" applyFont="1" applyBorder="1"/>
    <xf numFmtId="49" fontId="10" fillId="0" borderId="2" xfId="0" applyNumberFormat="1" applyFont="1" applyBorder="1" applyAlignment="1">
      <alignment wrapText="1"/>
    </xf>
    <xf numFmtId="49" fontId="10" fillId="0" borderId="1" xfId="0" applyNumberFormat="1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5" fillId="0" borderId="3" xfId="0" applyFont="1" applyBorder="1"/>
    <xf numFmtId="0" fontId="11" fillId="6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wrapText="1"/>
    </xf>
    <xf numFmtId="0" fontId="11" fillId="0" borderId="1" xfId="0" applyFont="1" applyBorder="1" applyAlignment="1">
      <alignment horizontal="center" wrapText="1"/>
    </xf>
    <xf numFmtId="16" fontId="10" fillId="0" borderId="2" xfId="0" applyNumberFormat="1" applyFont="1" applyBorder="1" applyAlignment="1">
      <alignment wrapText="1"/>
    </xf>
    <xf numFmtId="16" fontId="10" fillId="0" borderId="1" xfId="0" applyNumberFormat="1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16" fontId="12" fillId="0" borderId="1" xfId="0" applyNumberFormat="1" applyFont="1" applyBorder="1" applyAlignment="1">
      <alignment horizontal="center" wrapText="1"/>
    </xf>
    <xf numFmtId="14" fontId="11" fillId="0" borderId="1" xfId="0" applyNumberFormat="1" applyFont="1" applyBorder="1" applyAlignment="1">
      <alignment wrapText="1"/>
    </xf>
    <xf numFmtId="0" fontId="11" fillId="8" borderId="1" xfId="0" applyFont="1" applyFill="1" applyBorder="1"/>
    <xf numFmtId="0" fontId="10" fillId="8" borderId="2" xfId="0" applyFont="1" applyFill="1" applyBorder="1" applyAlignment="1">
      <alignment wrapText="1"/>
    </xf>
    <xf numFmtId="0" fontId="5" fillId="0" borderId="3" xfId="0" applyFont="1" applyBorder="1" applyAlignment="1">
      <alignment horizontal="left" wrapText="1"/>
    </xf>
    <xf numFmtId="0" fontId="15" fillId="0" borderId="1" xfId="0" applyFont="1" applyBorder="1"/>
    <xf numFmtId="0" fontId="15" fillId="0" borderId="0" xfId="0" applyFont="1"/>
    <xf numFmtId="0" fontId="10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" fontId="16" fillId="0" borderId="3" xfId="0" applyNumberFormat="1" applyFont="1" applyBorder="1"/>
    <xf numFmtId="0" fontId="5" fillId="0" borderId="2" xfId="0" applyFont="1" applyBorder="1"/>
    <xf numFmtId="0" fontId="10" fillId="8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49" fontId="12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49" fontId="19" fillId="0" borderId="1" xfId="0" applyNumberFormat="1" applyFont="1" applyBorder="1" applyAlignment="1">
      <alignment wrapText="1"/>
    </xf>
    <xf numFmtId="49" fontId="12" fillId="0" borderId="1" xfId="0" applyNumberFormat="1" applyFont="1" applyBorder="1" applyAlignment="1">
      <alignment horizontal="center" wrapText="1"/>
    </xf>
    <xf numFmtId="49" fontId="16" fillId="0" borderId="3" xfId="0" applyNumberFormat="1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3" xfId="0" applyBorder="1"/>
    <xf numFmtId="0" fontId="0" fillId="21" borderId="1" xfId="0" applyFill="1" applyBorder="1"/>
    <xf numFmtId="14" fontId="11" fillId="22" borderId="1" xfId="0" applyNumberFormat="1" applyFont="1" applyFill="1" applyBorder="1" applyAlignment="1">
      <alignment wrapText="1"/>
    </xf>
    <xf numFmtId="49" fontId="22" fillId="0" borderId="1" xfId="0" applyNumberFormat="1" applyFont="1" applyBorder="1" applyAlignment="1">
      <alignment horizontal="center" wrapText="1"/>
    </xf>
    <xf numFmtId="0" fontId="16" fillId="0" borderId="3" xfId="0" applyFont="1" applyBorder="1"/>
    <xf numFmtId="0" fontId="10" fillId="0" borderId="4" xfId="0" applyFont="1" applyBorder="1"/>
    <xf numFmtId="0" fontId="10" fillId="0" borderId="2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wrapText="1"/>
    </xf>
    <xf numFmtId="0" fontId="16" fillId="0" borderId="3" xfId="0" applyFont="1" applyBorder="1" applyAlignment="1">
      <alignment horizontal="center"/>
    </xf>
    <xf numFmtId="0" fontId="10" fillId="8" borderId="1" xfId="0" applyFont="1" applyFill="1" applyBorder="1" applyAlignment="1">
      <alignment vertical="center" wrapText="1"/>
    </xf>
    <xf numFmtId="49" fontId="22" fillId="0" borderId="1" xfId="0" applyNumberFormat="1" applyFont="1" applyBorder="1" applyAlignment="1">
      <alignment wrapText="1"/>
    </xf>
    <xf numFmtId="14" fontId="11" fillId="0" borderId="4" xfId="0" applyNumberFormat="1" applyFont="1" applyBorder="1" applyAlignment="1">
      <alignment vertical="center" wrapText="1"/>
    </xf>
    <xf numFmtId="49" fontId="23" fillId="0" borderId="1" xfId="0" applyNumberFormat="1" applyFont="1" applyBorder="1" applyAlignment="1">
      <alignment wrapText="1"/>
    </xf>
    <xf numFmtId="16" fontId="16" fillId="0" borderId="3" xfId="0" applyNumberFormat="1" applyFont="1" applyBorder="1" applyAlignment="1">
      <alignment horizontal="center"/>
    </xf>
    <xf numFmtId="14" fontId="11" fillId="0" borderId="1" xfId="0" applyNumberFormat="1" applyFont="1" applyBorder="1" applyAlignment="1">
      <alignment vertical="center" wrapText="1"/>
    </xf>
    <xf numFmtId="0" fontId="11" fillId="0" borderId="3" xfId="0" applyFont="1" applyBorder="1" applyAlignment="1">
      <alignment wrapText="1"/>
    </xf>
    <xf numFmtId="14" fontId="11" fillId="0" borderId="5" xfId="0" applyNumberFormat="1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49" fontId="26" fillId="0" borderId="2" xfId="0" applyNumberFormat="1" applyFont="1" applyBorder="1" applyAlignment="1">
      <alignment wrapText="1"/>
    </xf>
    <xf numFmtId="49" fontId="26" fillId="0" borderId="1" xfId="0" applyNumberFormat="1" applyFont="1" applyBorder="1" applyAlignment="1">
      <alignment wrapText="1"/>
    </xf>
    <xf numFmtId="16" fontId="12" fillId="0" borderId="1" xfId="0" applyNumberFormat="1" applyFont="1" applyBorder="1" applyAlignment="1">
      <alignment wrapText="1"/>
    </xf>
    <xf numFmtId="0" fontId="5" fillId="0" borderId="3" xfId="0" applyFont="1" applyBorder="1" applyAlignment="1">
      <alignment horizontal="left"/>
    </xf>
    <xf numFmtId="0" fontId="11" fillId="0" borderId="1" xfId="0" applyFont="1" applyBorder="1" applyAlignment="1">
      <alignment horizontal="right" wrapText="1"/>
    </xf>
    <xf numFmtId="0" fontId="11" fillId="15" borderId="1" xfId="0" applyFont="1" applyFill="1" applyBorder="1" applyAlignment="1">
      <alignment wrapText="1"/>
    </xf>
    <xf numFmtId="49" fontId="11" fillId="8" borderId="2" xfId="0" applyNumberFormat="1" applyFont="1" applyFill="1" applyBorder="1" applyAlignment="1">
      <alignment wrapText="1"/>
    </xf>
    <xf numFmtId="49" fontId="11" fillId="8" borderId="1" xfId="0" applyNumberFormat="1" applyFont="1" applyFill="1" applyBorder="1" applyAlignment="1">
      <alignment wrapText="1"/>
    </xf>
    <xf numFmtId="164" fontId="11" fillId="0" borderId="2" xfId="0" applyNumberFormat="1" applyFont="1" applyBorder="1" applyAlignment="1">
      <alignment wrapText="1"/>
    </xf>
    <xf numFmtId="164" fontId="11" fillId="0" borderId="1" xfId="0" applyNumberFormat="1" applyFont="1" applyBorder="1" applyAlignment="1">
      <alignment wrapText="1"/>
    </xf>
    <xf numFmtId="14" fontId="11" fillId="22" borderId="2" xfId="0" applyNumberFormat="1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3" xfId="0" applyFont="1" applyBorder="1"/>
    <xf numFmtId="16" fontId="5" fillId="0" borderId="3" xfId="0" applyNumberFormat="1" applyFont="1" applyBorder="1"/>
    <xf numFmtId="0" fontId="11" fillId="0" borderId="6" xfId="0" applyFont="1" applyBorder="1" applyAlignment="1">
      <alignment wrapText="1"/>
    </xf>
    <xf numFmtId="0" fontId="22" fillId="0" borderId="3" xfId="0" applyFont="1" applyBorder="1"/>
    <xf numFmtId="0" fontId="10" fillId="0" borderId="5" xfId="0" applyFont="1" applyBorder="1" applyAlignment="1">
      <alignment horizontal="center"/>
    </xf>
    <xf numFmtId="14" fontId="11" fillId="0" borderId="2" xfId="0" applyNumberFormat="1" applyFont="1" applyBorder="1" applyAlignment="1">
      <alignment wrapText="1"/>
    </xf>
    <xf numFmtId="0" fontId="11" fillId="8" borderId="1" xfId="0" applyFont="1" applyFill="1" applyBorder="1" applyAlignment="1">
      <alignment wrapText="1"/>
    </xf>
    <xf numFmtId="16" fontId="22" fillId="0" borderId="1" xfId="0" applyNumberFormat="1" applyFont="1" applyBorder="1" applyAlignment="1">
      <alignment wrapText="1"/>
    </xf>
    <xf numFmtId="0" fontId="15" fillId="0" borderId="3" xfId="0" applyFont="1" applyBorder="1"/>
    <xf numFmtId="0" fontId="11" fillId="8" borderId="2" xfId="0" applyFont="1" applyFill="1" applyBorder="1" applyAlignment="1">
      <alignment wrapText="1"/>
    </xf>
    <xf numFmtId="49" fontId="10" fillId="0" borderId="2" xfId="0" applyNumberFormat="1" applyFont="1" applyBorder="1" applyAlignment="1">
      <alignment horizontal="center" wrapText="1"/>
    </xf>
    <xf numFmtId="49" fontId="10" fillId="0" borderId="1" xfId="0" applyNumberFormat="1" applyFont="1" applyBorder="1" applyAlignment="1">
      <alignment horizontal="center" wrapText="1"/>
    </xf>
    <xf numFmtId="0" fontId="11" fillId="6" borderId="1" xfId="0" applyFont="1" applyFill="1" applyBorder="1" applyAlignment="1">
      <alignment wrapText="1"/>
    </xf>
    <xf numFmtId="0" fontId="10" fillId="8" borderId="4" xfId="0" applyFont="1" applyFill="1" applyBorder="1" applyAlignment="1">
      <alignment wrapText="1"/>
    </xf>
    <xf numFmtId="0" fontId="16" fillId="0" borderId="3" xfId="0" applyFont="1" applyBorder="1" applyAlignment="1">
      <alignment horizontal="left" wrapText="1"/>
    </xf>
    <xf numFmtId="0" fontId="10" fillId="8" borderId="1" xfId="0" applyFont="1" applyFill="1" applyBorder="1"/>
    <xf numFmtId="49" fontId="10" fillId="8" borderId="2" xfId="0" applyNumberFormat="1" applyFont="1" applyFill="1" applyBorder="1" applyAlignment="1">
      <alignment wrapText="1"/>
    </xf>
    <xf numFmtId="49" fontId="10" fillId="8" borderId="1" xfId="0" applyNumberFormat="1" applyFont="1" applyFill="1" applyBorder="1" applyAlignment="1">
      <alignment wrapText="1"/>
    </xf>
    <xf numFmtId="0" fontId="12" fillId="8" borderId="1" xfId="0" applyFont="1" applyFill="1" applyBorder="1" applyAlignment="1">
      <alignment wrapText="1"/>
    </xf>
    <xf numFmtId="0" fontId="16" fillId="8" borderId="3" xfId="0" applyFont="1" applyFill="1" applyBorder="1" applyAlignment="1">
      <alignment horizontal="left" wrapText="1"/>
    </xf>
    <xf numFmtId="0" fontId="5" fillId="8" borderId="2" xfId="0" applyFont="1" applyFill="1" applyBorder="1"/>
    <xf numFmtId="0" fontId="5" fillId="8" borderId="0" xfId="0" applyFont="1" applyFill="1"/>
    <xf numFmtId="0" fontId="10" fillId="8" borderId="4" xfId="0" applyFont="1" applyFill="1" applyBorder="1"/>
    <xf numFmtId="14" fontId="11" fillId="8" borderId="1" xfId="0" applyNumberFormat="1" applyFont="1" applyFill="1" applyBorder="1" applyAlignment="1">
      <alignment wrapText="1"/>
    </xf>
    <xf numFmtId="0" fontId="12" fillId="0" borderId="3" xfId="0" applyFont="1" applyBorder="1" applyAlignment="1">
      <alignment horizontal="center" wrapText="1"/>
    </xf>
    <xf numFmtId="0" fontId="10" fillId="0" borderId="6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1" fontId="11" fillId="0" borderId="1" xfId="0" applyNumberFormat="1" applyFont="1" applyBorder="1"/>
    <xf numFmtId="1" fontId="27" fillId="0" borderId="2" xfId="0" applyNumberFormat="1" applyFont="1" applyBorder="1" applyAlignment="1">
      <alignment wrapText="1"/>
    </xf>
    <xf numFmtId="1" fontId="27" fillId="0" borderId="1" xfId="0" applyNumberFormat="1" applyFont="1" applyBorder="1" applyAlignment="1">
      <alignment wrapText="1"/>
    </xf>
    <xf numFmtId="1" fontId="22" fillId="0" borderId="1" xfId="0" applyNumberFormat="1" applyFont="1" applyBorder="1" applyAlignment="1">
      <alignment wrapText="1"/>
    </xf>
    <xf numFmtId="0" fontId="10" fillId="0" borderId="0" xfId="0" applyFont="1"/>
    <xf numFmtId="0" fontId="11" fillId="22" borderId="4" xfId="0" applyFont="1" applyFill="1" applyBorder="1" applyAlignment="1">
      <alignment wrapText="1"/>
    </xf>
    <xf numFmtId="0" fontId="10" fillId="0" borderId="2" xfId="0" applyFont="1" applyBorder="1"/>
    <xf numFmtId="0" fontId="11" fillId="7" borderId="1" xfId="0" applyFont="1" applyFill="1" applyBorder="1" applyAlignment="1">
      <alignment wrapText="1"/>
    </xf>
    <xf numFmtId="3" fontId="11" fillId="0" borderId="1" xfId="0" applyNumberFormat="1" applyFont="1" applyBorder="1"/>
    <xf numFmtId="3" fontId="11" fillId="22" borderId="1" xfId="0" applyNumberFormat="1" applyFont="1" applyFill="1" applyBorder="1"/>
    <xf numFmtId="0" fontId="11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10" fillId="0" borderId="6" xfId="0" applyFont="1" applyBorder="1" applyAlignment="1">
      <alignment wrapText="1"/>
    </xf>
    <xf numFmtId="49" fontId="10" fillId="0" borderId="2" xfId="0" applyNumberFormat="1" applyFont="1" applyBorder="1" applyAlignment="1">
      <alignment horizontal="right" wrapText="1"/>
    </xf>
    <xf numFmtId="49" fontId="10" fillId="0" borderId="1" xfId="0" applyNumberFormat="1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1" fillId="23" borderId="1" xfId="0" applyFont="1" applyFill="1" applyBorder="1" applyAlignment="1">
      <alignment wrapText="1"/>
    </xf>
    <xf numFmtId="0" fontId="11" fillId="0" borderId="4" xfId="0" applyFont="1" applyBorder="1" applyAlignment="1">
      <alignment horizontal="center" vertical="center" wrapText="1"/>
    </xf>
    <xf numFmtId="14" fontId="5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6" fillId="0" borderId="1" xfId="0" applyFont="1" applyBorder="1"/>
    <xf numFmtId="0" fontId="29" fillId="0" borderId="1" xfId="0" applyFont="1" applyBorder="1" applyAlignment="1">
      <alignment wrapText="1"/>
    </xf>
    <xf numFmtId="49" fontId="10" fillId="0" borderId="2" xfId="0" applyNumberFormat="1" applyFont="1" applyBorder="1" applyAlignment="1">
      <alignment horizontal="left" wrapText="1"/>
    </xf>
    <xf numFmtId="49" fontId="10" fillId="0" borderId="1" xfId="0" applyNumberFormat="1" applyFont="1" applyBorder="1" applyAlignment="1">
      <alignment horizontal="left" wrapText="1"/>
    </xf>
    <xf numFmtId="165" fontId="5" fillId="0" borderId="1" xfId="0" applyNumberFormat="1" applyFont="1" applyBorder="1"/>
    <xf numFmtId="165" fontId="5" fillId="0" borderId="2" xfId="0" applyNumberFormat="1" applyFont="1" applyBorder="1"/>
    <xf numFmtId="14" fontId="16" fillId="0" borderId="1" xfId="0" applyNumberFormat="1" applyFont="1" applyBorder="1" applyAlignment="1">
      <alignment horizontal="right"/>
    </xf>
    <xf numFmtId="14" fontId="16" fillId="0" borderId="1" xfId="0" applyNumberFormat="1" applyFont="1" applyBorder="1"/>
    <xf numFmtId="49" fontId="16" fillId="0" borderId="1" xfId="0" applyNumberFormat="1" applyFont="1" applyBorder="1" applyAlignment="1">
      <alignment horizontal="right"/>
    </xf>
    <xf numFmtId="0" fontId="5" fillId="6" borderId="1" xfId="0" applyFont="1" applyFill="1" applyBorder="1" applyAlignment="1">
      <alignment wrapText="1"/>
    </xf>
    <xf numFmtId="0" fontId="5" fillId="24" borderId="1" xfId="0" applyFont="1" applyFill="1" applyBorder="1" applyAlignment="1">
      <alignment wrapText="1"/>
    </xf>
    <xf numFmtId="4" fontId="5" fillId="0" borderId="1" xfId="0" applyNumberFormat="1" applyFont="1" applyBorder="1"/>
    <xf numFmtId="4" fontId="12" fillId="0" borderId="1" xfId="0" applyNumberFormat="1" applyFont="1" applyBorder="1"/>
    <xf numFmtId="4" fontId="5" fillId="0" borderId="2" xfId="0" applyNumberFormat="1" applyFont="1" applyBorder="1"/>
    <xf numFmtId="4" fontId="10" fillId="0" borderId="1" xfId="0" applyNumberFormat="1" applyFont="1" applyBorder="1"/>
    <xf numFmtId="4" fontId="11" fillId="0" borderId="1" xfId="0" applyNumberFormat="1" applyFont="1" applyBorder="1"/>
    <xf numFmtId="4" fontId="22" fillId="0" borderId="1" xfId="0" applyNumberFormat="1" applyFont="1" applyBorder="1"/>
    <xf numFmtId="49" fontId="5" fillId="0" borderId="1" xfId="0" applyNumberFormat="1" applyFont="1" applyBorder="1" applyAlignment="1">
      <alignment wrapText="1"/>
    </xf>
    <xf numFmtId="4" fontId="16" fillId="0" borderId="1" xfId="0" applyNumberFormat="1" applyFont="1" applyBorder="1" applyAlignment="1">
      <alignment wrapText="1"/>
    </xf>
    <xf numFmtId="4" fontId="16" fillId="0" borderId="1" xfId="0" applyNumberFormat="1" applyFont="1" applyBorder="1"/>
    <xf numFmtId="4" fontId="30" fillId="0" borderId="1" xfId="0" applyNumberFormat="1" applyFont="1" applyBorder="1"/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1" fillId="0" borderId="1" xfId="0" applyFont="1" applyBorder="1" applyAlignment="1">
      <alignment wrapText="1"/>
    </xf>
    <xf numFmtId="16" fontId="15" fillId="0" borderId="1" xfId="0" applyNumberFormat="1" applyFont="1" applyBorder="1" applyAlignment="1">
      <alignment horizontal="left" wrapText="1"/>
    </xf>
    <xf numFmtId="3" fontId="11" fillId="8" borderId="1" xfId="0" applyNumberFormat="1" applyFont="1" applyFill="1" applyBorder="1"/>
    <xf numFmtId="3" fontId="22" fillId="8" borderId="1" xfId="0" applyNumberFormat="1" applyFont="1" applyFill="1" applyBorder="1"/>
    <xf numFmtId="0" fontId="10" fillId="8" borderId="0" xfId="0" applyFont="1" applyFill="1"/>
    <xf numFmtId="0" fontId="10" fillId="8" borderId="2" xfId="0" applyFont="1" applyFill="1" applyBorder="1"/>
    <xf numFmtId="0" fontId="5" fillId="8" borderId="3" xfId="0" applyFont="1" applyFill="1" applyBorder="1" applyAlignment="1">
      <alignment horizontal="center"/>
    </xf>
    <xf numFmtId="0" fontId="7" fillId="6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2" xfId="0" applyFont="1" applyBorder="1"/>
    <xf numFmtId="0" fontId="17" fillId="0" borderId="1" xfId="0" applyFont="1" applyBorder="1"/>
    <xf numFmtId="0" fontId="7" fillId="6" borderId="1" xfId="0" applyFont="1" applyFill="1" applyBorder="1"/>
    <xf numFmtId="49" fontId="16" fillId="0" borderId="1" xfId="0" applyNumberFormat="1" applyFont="1" applyBorder="1" applyAlignment="1">
      <alignment wrapText="1"/>
    </xf>
    <xf numFmtId="0" fontId="7" fillId="6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4" fontId="16" fillId="0" borderId="1" xfId="0" applyNumberFormat="1" applyFont="1" applyBorder="1" applyAlignment="1">
      <alignment horizontal="center"/>
    </xf>
    <xf numFmtId="0" fontId="5" fillId="22" borderId="0" xfId="0" applyFont="1" applyFill="1"/>
    <xf numFmtId="0" fontId="7" fillId="22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 wrapText="1"/>
    </xf>
    <xf numFmtId="0" fontId="7" fillId="22" borderId="1" xfId="0" applyFont="1" applyFill="1" applyBorder="1" applyAlignment="1">
      <alignment horizontal="center" wrapText="1"/>
    </xf>
    <xf numFmtId="0" fontId="11" fillId="22" borderId="1" xfId="0" applyFont="1" applyFill="1" applyBorder="1" applyAlignment="1">
      <alignment horizontal="center" wrapText="1"/>
    </xf>
    <xf numFmtId="0" fontId="7" fillId="22" borderId="1" xfId="0" applyFont="1" applyFill="1" applyBorder="1" applyAlignment="1">
      <alignment horizontal="right"/>
    </xf>
    <xf numFmtId="0" fontId="5" fillId="22" borderId="2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5" fillId="22" borderId="3" xfId="0" applyFont="1" applyFill="1" applyBorder="1"/>
    <xf numFmtId="0" fontId="5" fillId="22" borderId="2" xfId="0" applyFont="1" applyFill="1" applyBorder="1"/>
    <xf numFmtId="0" fontId="5" fillId="22" borderId="1" xfId="0" applyFont="1" applyFill="1" applyBorder="1"/>
    <xf numFmtId="0" fontId="7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right"/>
    </xf>
    <xf numFmtId="0" fontId="5" fillId="0" borderId="8" xfId="0" applyFont="1" applyBorder="1" applyAlignment="1">
      <alignment horizontal="center" wrapText="1"/>
    </xf>
    <xf numFmtId="164" fontId="16" fillId="0" borderId="1" xfId="0" applyNumberFormat="1" applyFont="1" applyBorder="1" applyAlignment="1">
      <alignment horizontal="center" wrapText="1"/>
    </xf>
    <xf numFmtId="0" fontId="7" fillId="22" borderId="4" xfId="0" applyFont="1" applyFill="1" applyBorder="1" applyAlignment="1">
      <alignment horizontal="center"/>
    </xf>
    <xf numFmtId="0" fontId="5" fillId="22" borderId="8" xfId="0" applyFont="1" applyFill="1" applyBorder="1" applyAlignment="1">
      <alignment horizontal="center" wrapText="1"/>
    </xf>
    <xf numFmtId="0" fontId="11" fillId="22" borderId="1" xfId="0" applyFont="1" applyFill="1" applyBorder="1" applyAlignment="1">
      <alignment horizontal="right"/>
    </xf>
    <xf numFmtId="49" fontId="5" fillId="0" borderId="2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7" fillId="22" borderId="1" xfId="0" applyFont="1" applyFill="1" applyBorder="1" applyAlignment="1">
      <alignment wrapText="1"/>
    </xf>
    <xf numFmtId="0" fontId="16" fillId="22" borderId="1" xfId="0" applyFont="1" applyFill="1" applyBorder="1" applyAlignment="1">
      <alignment horizontal="center"/>
    </xf>
    <xf numFmtId="0" fontId="32" fillId="0" borderId="1" xfId="0" applyFon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33" fillId="0" borderId="1" xfId="0" applyNumberFormat="1" applyFont="1" applyBorder="1" applyAlignment="1">
      <alignment wrapText="1"/>
    </xf>
    <xf numFmtId="0" fontId="32" fillId="0" borderId="1" xfId="0" applyFont="1" applyBorder="1"/>
    <xf numFmtId="0" fontId="33" fillId="0" borderId="9" xfId="0" applyFont="1" applyBorder="1"/>
    <xf numFmtId="0" fontId="34" fillId="0" borderId="8" xfId="0" applyFont="1" applyBorder="1"/>
    <xf numFmtId="0" fontId="34" fillId="0" borderId="1" xfId="0" applyFont="1" applyBorder="1"/>
    <xf numFmtId="0" fontId="32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4" fontId="0" fillId="0" borderId="4" xfId="0" applyNumberFormat="1" applyBorder="1"/>
    <xf numFmtId="0" fontId="33" fillId="0" borderId="1" xfId="0" applyFont="1" applyBorder="1" applyAlignment="1">
      <alignment wrapText="1"/>
    </xf>
    <xf numFmtId="0" fontId="0" fillId="0" borderId="2" xfId="0" applyBorder="1"/>
    <xf numFmtId="3" fontId="5" fillId="0" borderId="1" xfId="0" applyNumberFormat="1" applyFont="1" applyBorder="1" applyAlignment="1">
      <alignment horizontal="center"/>
    </xf>
    <xf numFmtId="3" fontId="16" fillId="0" borderId="1" xfId="0" applyNumberFormat="1" applyFont="1" applyBorder="1" applyAlignment="1">
      <alignment horizontal="center"/>
    </xf>
    <xf numFmtId="0" fontId="5" fillId="18" borderId="0" xfId="0" applyFont="1" applyFill="1"/>
    <xf numFmtId="0" fontId="35" fillId="18" borderId="1" xfId="0" applyFont="1" applyFill="1" applyBorder="1" applyAlignment="1">
      <alignment horizontal="center" wrapText="1"/>
    </xf>
    <xf numFmtId="0" fontId="5" fillId="18" borderId="1" xfId="0" applyFont="1" applyFill="1" applyBorder="1" applyAlignment="1">
      <alignment horizontal="center" wrapText="1"/>
    </xf>
    <xf numFmtId="0" fontId="7" fillId="18" borderId="1" xfId="0" applyFont="1" applyFill="1" applyBorder="1" applyAlignment="1">
      <alignment wrapText="1"/>
    </xf>
    <xf numFmtId="0" fontId="11" fillId="18" borderId="1" xfId="0" applyFont="1" applyFill="1" applyBorder="1" applyAlignment="1">
      <alignment horizontal="center" wrapText="1"/>
    </xf>
    <xf numFmtId="3" fontId="5" fillId="18" borderId="1" xfId="0" applyNumberFormat="1" applyFont="1" applyFill="1" applyBorder="1" applyAlignment="1">
      <alignment horizontal="center"/>
    </xf>
    <xf numFmtId="3" fontId="16" fillId="18" borderId="1" xfId="0" applyNumberFormat="1" applyFont="1" applyFill="1" applyBorder="1" applyAlignment="1">
      <alignment horizontal="center"/>
    </xf>
    <xf numFmtId="0" fontId="32" fillId="18" borderId="1" xfId="0" applyFont="1" applyFill="1" applyBorder="1"/>
    <xf numFmtId="0" fontId="5" fillId="18" borderId="1" xfId="0" applyFont="1" applyFill="1" applyBorder="1"/>
    <xf numFmtId="0" fontId="5" fillId="18" borderId="2" xfId="0" applyFont="1" applyFill="1" applyBorder="1"/>
    <xf numFmtId="0" fontId="7" fillId="0" borderId="2" xfId="0" applyFont="1" applyBorder="1" applyAlignment="1">
      <alignment horizontal="center" wrapText="1"/>
    </xf>
    <xf numFmtId="0" fontId="11" fillId="0" borderId="0" xfId="0" applyFont="1" applyAlignment="1">
      <alignment wrapText="1"/>
    </xf>
    <xf numFmtId="0" fontId="7" fillId="0" borderId="3" xfId="0" applyFont="1" applyBorder="1" applyAlignment="1">
      <alignment horizontal="right"/>
    </xf>
    <xf numFmtId="0" fontId="36" fillId="0" borderId="1" xfId="0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wrapText="1"/>
    </xf>
    <xf numFmtId="0" fontId="11" fillId="0" borderId="5" xfId="0" applyFont="1" applyBorder="1" applyAlignment="1">
      <alignment horizontal="center" wrapText="1"/>
    </xf>
    <xf numFmtId="0" fontId="7" fillId="0" borderId="1" xfId="0" applyFont="1" applyBorder="1" applyAlignment="1">
      <alignment horizontal="right"/>
    </xf>
    <xf numFmtId="0" fontId="36" fillId="0" borderId="1" xfId="0" applyFont="1" applyBorder="1" applyAlignment="1">
      <alignment horizontal="center" wrapText="1"/>
    </xf>
    <xf numFmtId="164" fontId="18" fillId="0" borderId="1" xfId="0" applyNumberFormat="1" applyFont="1" applyBorder="1" applyAlignment="1">
      <alignment horizontal="center" wrapText="1"/>
    </xf>
    <xf numFmtId="0" fontId="10" fillId="8" borderId="4" xfId="0" applyFont="1" applyFill="1" applyBorder="1" applyAlignment="1">
      <alignment horizontal="center" vertical="center" wrapText="1"/>
    </xf>
    <xf numFmtId="0" fontId="11" fillId="0" borderId="4" xfId="0" applyFont="1" applyBorder="1"/>
    <xf numFmtId="49" fontId="10" fillId="0" borderId="8" xfId="0" applyNumberFormat="1" applyFont="1" applyBorder="1" applyAlignment="1">
      <alignment wrapText="1"/>
    </xf>
    <xf numFmtId="49" fontId="13" fillId="0" borderId="4" xfId="0" applyNumberFormat="1" applyFont="1" applyBorder="1" applyAlignment="1">
      <alignment wrapText="1"/>
    </xf>
    <xf numFmtId="49" fontId="12" fillId="0" borderId="4" xfId="0" applyNumberFormat="1" applyFont="1" applyBorder="1" applyAlignment="1">
      <alignment wrapText="1"/>
    </xf>
    <xf numFmtId="0" fontId="15" fillId="0" borderId="10" xfId="0" applyFont="1" applyBorder="1" applyAlignment="1">
      <alignment horizontal="left" wrapText="1"/>
    </xf>
    <xf numFmtId="0" fontId="5" fillId="0" borderId="8" xfId="0" applyFont="1" applyBorder="1"/>
    <xf numFmtId="0" fontId="7" fillId="24" borderId="1" xfId="0" applyFont="1" applyFill="1" applyBorder="1" applyAlignment="1">
      <alignment wrapText="1"/>
    </xf>
    <xf numFmtId="0" fontId="18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4" fontId="5" fillId="0" borderId="1" xfId="0" applyNumberFormat="1" applyFont="1" applyBorder="1" applyAlignment="1">
      <alignment horizontal="center"/>
    </xf>
    <xf numFmtId="4" fontId="37" fillId="0" borderId="1" xfId="0" applyNumberFormat="1" applyFont="1" applyBorder="1"/>
    <xf numFmtId="4" fontId="38" fillId="0" borderId="1" xfId="0" applyNumberFormat="1" applyFont="1" applyBorder="1" applyAlignment="1">
      <alignment horizontal="center"/>
    </xf>
    <xf numFmtId="4" fontId="39" fillId="8" borderId="1" xfId="0" applyNumberFormat="1" applyFont="1" applyFill="1" applyBorder="1" applyAlignment="1">
      <alignment horizontal="center" wrapText="1"/>
    </xf>
    <xf numFmtId="4" fontId="40" fillId="0" borderId="1" xfId="0" applyNumberFormat="1" applyFont="1" applyBorder="1" applyAlignment="1">
      <alignment horizontal="center"/>
    </xf>
    <xf numFmtId="4" fontId="37" fillId="0" borderId="0" xfId="0" applyNumberFormat="1" applyFont="1"/>
    <xf numFmtId="4" fontId="39" fillId="8" borderId="1" xfId="0" applyNumberFormat="1" applyFont="1" applyFill="1" applyBorder="1" applyAlignment="1">
      <alignment horizontal="center"/>
    </xf>
    <xf numFmtId="4" fontId="18" fillId="0" borderId="1" xfId="0" applyNumberFormat="1" applyFont="1" applyBorder="1" applyAlignment="1">
      <alignment horizontal="center"/>
    </xf>
    <xf numFmtId="4" fontId="16" fillId="0" borderId="1" xfId="0" applyNumberFormat="1" applyFont="1" applyBorder="1" applyAlignment="1">
      <alignment horizontal="center"/>
    </xf>
    <xf numFmtId="49" fontId="20" fillId="0" borderId="1" xfId="0" applyNumberFormat="1" applyFont="1" applyBorder="1" applyAlignment="1">
      <alignment horizontal="center" wrapText="1"/>
    </xf>
    <xf numFmtId="49" fontId="18" fillId="0" borderId="3" xfId="0" applyNumberFormat="1" applyFont="1" applyBorder="1"/>
    <xf numFmtId="0" fontId="36" fillId="0" borderId="1" xfId="0" applyFont="1" applyBorder="1" applyAlignment="1">
      <alignment wrapText="1"/>
    </xf>
    <xf numFmtId="164" fontId="16" fillId="0" borderId="1" xfId="0" applyNumberFormat="1" applyFont="1" applyBorder="1" applyAlignment="1">
      <alignment horizontal="left" wrapText="1"/>
    </xf>
    <xf numFmtId="0" fontId="41" fillId="0" borderId="3" xfId="0" applyFont="1" applyBorder="1"/>
    <xf numFmtId="0" fontId="10" fillId="0" borderId="1" xfId="0" applyFont="1" applyBorder="1" applyAlignment="1">
      <alignment horizontal="center" vertical="center" wrapText="1"/>
    </xf>
    <xf numFmtId="16" fontId="19" fillId="0" borderId="1" xfId="0" applyNumberFormat="1" applyFont="1" applyBorder="1" applyAlignment="1">
      <alignment wrapText="1"/>
    </xf>
    <xf numFmtId="49" fontId="43" fillId="0" borderId="1" xfId="0" applyNumberFormat="1" applyFont="1" applyBorder="1" applyAlignment="1">
      <alignment wrapText="1"/>
    </xf>
    <xf numFmtId="14" fontId="11" fillId="0" borderId="4" xfId="0" applyNumberFormat="1" applyFont="1" applyBorder="1" applyAlignment="1">
      <alignment wrapText="1"/>
    </xf>
    <xf numFmtId="0" fontId="11" fillId="0" borderId="6" xfId="0" applyFont="1" applyBorder="1"/>
    <xf numFmtId="0" fontId="10" fillId="0" borderId="0" xfId="0" applyFont="1" applyAlignment="1">
      <alignment horizontal="center"/>
    </xf>
    <xf numFmtId="14" fontId="11" fillId="24" borderId="1" xfId="0" applyNumberFormat="1" applyFont="1" applyFill="1" applyBorder="1" applyAlignment="1">
      <alignment wrapText="1"/>
    </xf>
    <xf numFmtId="3" fontId="5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23" borderId="2" xfId="0" applyFont="1" applyFill="1" applyBorder="1" applyAlignment="1">
      <alignment horizontal="center" wrapText="1"/>
    </xf>
    <xf numFmtId="0" fontId="18" fillId="0" borderId="1" xfId="0" applyFont="1" applyBorder="1" applyAlignment="1">
      <alignment vertical="center" wrapText="1"/>
    </xf>
    <xf numFmtId="0" fontId="7" fillId="24" borderId="2" xfId="0" applyFont="1" applyFill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15" fillId="0" borderId="3" xfId="0" applyFont="1" applyBorder="1" applyAlignment="1">
      <alignment horizontal="right"/>
    </xf>
    <xf numFmtId="0" fontId="5" fillId="0" borderId="5" xfId="0" applyFont="1" applyBorder="1" applyAlignment="1">
      <alignment wrapText="1"/>
    </xf>
    <xf numFmtId="0" fontId="19" fillId="0" borderId="1" xfId="0" applyFont="1" applyBorder="1" applyAlignment="1">
      <alignment wrapText="1"/>
    </xf>
    <xf numFmtId="49" fontId="5" fillId="0" borderId="8" xfId="0" applyNumberFormat="1" applyFont="1" applyBorder="1" applyAlignment="1">
      <alignment horizontal="center" wrapText="1"/>
    </xf>
    <xf numFmtId="49" fontId="18" fillId="0" borderId="4" xfId="0" applyNumberFormat="1" applyFont="1" applyBorder="1" applyAlignment="1">
      <alignment horizontal="center" wrapText="1"/>
    </xf>
    <xf numFmtId="49" fontId="16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1" fillId="0" borderId="2" xfId="0" applyFont="1" applyBorder="1"/>
    <xf numFmtId="49" fontId="10" fillId="0" borderId="11" xfId="0" applyNumberFormat="1" applyFont="1" applyBorder="1" applyAlignment="1">
      <alignment wrapText="1"/>
    </xf>
    <xf numFmtId="49" fontId="10" fillId="0" borderId="5" xfId="0" applyNumberFormat="1" applyFont="1" applyBorder="1" applyAlignment="1">
      <alignment wrapText="1"/>
    </xf>
    <xf numFmtId="49" fontId="46" fillId="0" borderId="1" xfId="0" applyNumberFormat="1" applyFont="1" applyBorder="1" applyAlignment="1">
      <alignment wrapText="1"/>
    </xf>
    <xf numFmtId="0" fontId="15" fillId="0" borderId="3" xfId="0" applyFont="1" applyBorder="1" applyAlignment="1">
      <alignment horizontal="center" wrapText="1"/>
    </xf>
    <xf numFmtId="16" fontId="5" fillId="0" borderId="2" xfId="0" applyNumberFormat="1" applyFont="1" applyBorder="1" applyAlignment="1">
      <alignment wrapText="1"/>
    </xf>
    <xf numFmtId="49" fontId="31" fillId="0" borderId="1" xfId="0" applyNumberFormat="1" applyFont="1" applyBorder="1" applyAlignment="1">
      <alignment wrapText="1"/>
    </xf>
    <xf numFmtId="0" fontId="15" fillId="0" borderId="3" xfId="0" applyFont="1" applyBorder="1" applyAlignment="1">
      <alignment horizontal="center"/>
    </xf>
    <xf numFmtId="0" fontId="11" fillId="24" borderId="1" xfId="0" applyFont="1" applyFill="1" applyBorder="1" applyAlignment="1">
      <alignment wrapText="1"/>
    </xf>
    <xf numFmtId="49" fontId="20" fillId="0" borderId="1" xfId="0" applyNumberFormat="1" applyFont="1" applyBorder="1" applyAlignment="1">
      <alignment wrapText="1"/>
    </xf>
    <xf numFmtId="0" fontId="15" fillId="0" borderId="3" xfId="0" applyFont="1" applyBorder="1" applyAlignment="1">
      <alignment horizontal="left" wrapText="1"/>
    </xf>
    <xf numFmtId="0" fontId="16" fillId="0" borderId="1" xfId="0" applyFont="1" applyBorder="1" applyAlignment="1">
      <alignment horizontal="center" wrapText="1"/>
    </xf>
    <xf numFmtId="49" fontId="36" fillId="0" borderId="1" xfId="0" applyNumberFormat="1" applyFont="1" applyBorder="1" applyAlignment="1">
      <alignment horizontal="center" wrapText="1"/>
    </xf>
    <xf numFmtId="16" fontId="48" fillId="0" borderId="3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32" fillId="24" borderId="1" xfId="0" applyFont="1" applyFill="1" applyBorder="1" applyAlignment="1">
      <alignment wrapText="1"/>
    </xf>
    <xf numFmtId="4" fontId="0" fillId="0" borderId="1" xfId="0" applyNumberFormat="1" applyBorder="1"/>
    <xf numFmtId="49" fontId="5" fillId="0" borderId="2" xfId="0" applyNumberFormat="1" applyFont="1" applyBorder="1" applyAlignment="1">
      <alignment horizontal="center" wrapText="1"/>
    </xf>
    <xf numFmtId="0" fontId="10" fillId="0" borderId="8" xfId="0" applyFont="1" applyBorder="1"/>
    <xf numFmtId="0" fontId="10" fillId="8" borderId="3" xfId="0" applyFont="1" applyFill="1" applyBorder="1" applyAlignment="1">
      <alignment wrapText="1"/>
    </xf>
    <xf numFmtId="14" fontId="11" fillId="23" borderId="1" xfId="0" applyNumberFormat="1" applyFont="1" applyFill="1" applyBorder="1" applyAlignment="1">
      <alignment vertical="center" wrapText="1"/>
    </xf>
    <xf numFmtId="49" fontId="24" fillId="0" borderId="1" xfId="0" applyNumberFormat="1" applyFont="1" applyBorder="1" applyAlignment="1">
      <alignment wrapText="1"/>
    </xf>
    <xf numFmtId="16" fontId="9" fillId="0" borderId="3" xfId="0" applyNumberFormat="1" applyFont="1" applyBorder="1" applyAlignment="1">
      <alignment horizontal="center"/>
    </xf>
    <xf numFmtId="0" fontId="5" fillId="0" borderId="7" xfId="0" applyFont="1" applyBorder="1"/>
    <xf numFmtId="0" fontId="49" fillId="8" borderId="1" xfId="0" applyFont="1" applyFill="1" applyBorder="1" applyAlignment="1">
      <alignment horizontal="center" wrapText="1"/>
    </xf>
    <xf numFmtId="0" fontId="37" fillId="8" borderId="1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 wrapText="1"/>
    </xf>
    <xf numFmtId="0" fontId="7" fillId="24" borderId="4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51" fillId="0" borderId="1" xfId="0" applyFont="1" applyBorder="1" applyAlignment="1">
      <alignment horizontal="justify" vertical="center" wrapText="1"/>
    </xf>
    <xf numFmtId="0" fontId="52" fillId="0" borderId="1" xfId="0" applyFont="1" applyBorder="1" applyAlignment="1">
      <alignment vertical="center" wrapText="1"/>
    </xf>
    <xf numFmtId="0" fontId="51" fillId="0" borderId="1" xfId="0" applyFont="1" applyBorder="1" applyAlignment="1">
      <alignment vertical="center" wrapText="1"/>
    </xf>
    <xf numFmtId="49" fontId="16" fillId="0" borderId="3" xfId="0" applyNumberFormat="1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1" fillId="0" borderId="2" xfId="0" applyFont="1" applyBorder="1" applyAlignment="1">
      <alignment horizontal="left" wrapText="1"/>
    </xf>
    <xf numFmtId="14" fontId="51" fillId="0" borderId="1" xfId="0" applyNumberFormat="1" applyFont="1" applyBorder="1" applyAlignment="1">
      <alignment vertical="center" wrapText="1"/>
    </xf>
    <xf numFmtId="0" fontId="10" fillId="22" borderId="3" xfId="0" applyFont="1" applyFill="1" applyBorder="1" applyAlignment="1">
      <alignment horizontal="center" wrapText="1"/>
    </xf>
    <xf numFmtId="0" fontId="7" fillId="22" borderId="0" xfId="0" applyFont="1" applyFill="1" applyAlignment="1">
      <alignment wrapText="1"/>
    </xf>
    <xf numFmtId="0" fontId="0" fillId="22" borderId="1" xfId="0" applyFill="1" applyBorder="1" applyAlignment="1">
      <alignment wrapText="1"/>
    </xf>
    <xf numFmtId="4" fontId="5" fillId="22" borderId="5" xfId="0" applyNumberFormat="1" applyFont="1" applyFill="1" applyBorder="1" applyAlignment="1">
      <alignment horizontal="center" wrapText="1"/>
    </xf>
    <xf numFmtId="0" fontId="5" fillId="22" borderId="5" xfId="0" applyFont="1" applyFill="1" applyBorder="1" applyAlignment="1">
      <alignment horizontal="center"/>
    </xf>
    <xf numFmtId="0" fontId="18" fillId="22" borderId="5" xfId="0" applyFont="1" applyFill="1" applyBorder="1" applyAlignment="1">
      <alignment horizontal="center" wrapText="1"/>
    </xf>
    <xf numFmtId="49" fontId="16" fillId="22" borderId="1" xfId="0" applyNumberFormat="1" applyFont="1" applyFill="1" applyBorder="1" applyAlignment="1">
      <alignment horizontal="center" wrapText="1"/>
    </xf>
    <xf numFmtId="0" fontId="7" fillId="23" borderId="1" xfId="0" applyFont="1" applyFill="1" applyBorder="1" applyAlignment="1">
      <alignment wrapText="1"/>
    </xf>
    <xf numFmtId="4" fontId="5" fillId="0" borderId="1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49" fillId="24" borderId="5" xfId="0" applyFont="1" applyFill="1" applyBorder="1" applyAlignment="1">
      <alignment horizontal="center" wrapText="1"/>
    </xf>
    <xf numFmtId="0" fontId="53" fillId="0" borderId="1" xfId="0" applyFont="1" applyBorder="1" applyAlignment="1">
      <alignment horizontal="center" wrapText="1"/>
    </xf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left" wrapText="1"/>
    </xf>
    <xf numFmtId="4" fontId="51" fillId="0" borderId="1" xfId="0" applyNumberFormat="1" applyFont="1" applyBorder="1" applyAlignment="1">
      <alignment horizontal="center" wrapText="1"/>
    </xf>
    <xf numFmtId="0" fontId="51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 wrapText="1"/>
    </xf>
    <xf numFmtId="0" fontId="51" fillId="0" borderId="1" xfId="0" applyFont="1" applyBorder="1"/>
    <xf numFmtId="0" fontId="10" fillId="0" borderId="5" xfId="0" applyFont="1" applyBorder="1" applyAlignment="1">
      <alignment vertical="center" wrapText="1"/>
    </xf>
    <xf numFmtId="0" fontId="11" fillId="22" borderId="5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5" xfId="0" applyFont="1" applyBorder="1"/>
    <xf numFmtId="0" fontId="10" fillId="0" borderId="11" xfId="0" applyFont="1" applyBorder="1" applyAlignment="1">
      <alignment wrapText="1"/>
    </xf>
    <xf numFmtId="49" fontId="19" fillId="0" borderId="5" xfId="0" applyNumberFormat="1" applyFont="1" applyBorder="1" applyAlignment="1">
      <alignment wrapText="1"/>
    </xf>
    <xf numFmtId="49" fontId="12" fillId="0" borderId="5" xfId="0" applyNumberFormat="1" applyFont="1" applyBorder="1" applyAlignment="1">
      <alignment horizontal="center" wrapText="1"/>
    </xf>
    <xf numFmtId="49" fontId="16" fillId="0" borderId="12" xfId="0" applyNumberFormat="1" applyFont="1" applyBorder="1"/>
    <xf numFmtId="0" fontId="5" fillId="0" borderId="5" xfId="0" applyFont="1" applyBorder="1"/>
    <xf numFmtId="4" fontId="11" fillId="0" borderId="1" xfId="0" applyNumberFormat="1" applyFont="1" applyBorder="1" applyAlignment="1">
      <alignment horizontal="left" wrapText="1"/>
    </xf>
    <xf numFmtId="49" fontId="30" fillId="0" borderId="1" xfId="0" applyNumberFormat="1" applyFont="1" applyBorder="1" applyAlignment="1">
      <alignment horizontal="center" wrapText="1"/>
    </xf>
    <xf numFmtId="0" fontId="55" fillId="0" borderId="1" xfId="0" applyFont="1" applyBorder="1"/>
    <xf numFmtId="0" fontId="31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31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7" fillId="24" borderId="10" xfId="0" applyFont="1" applyFill="1" applyBorder="1" applyAlignment="1">
      <alignment wrapText="1"/>
    </xf>
    <xf numFmtId="4" fontId="11" fillId="0" borderId="2" xfId="0" applyNumberFormat="1" applyFont="1" applyBorder="1"/>
    <xf numFmtId="4" fontId="16" fillId="0" borderId="1" xfId="0" applyNumberFormat="1" applyFont="1" applyBorder="1" applyAlignment="1">
      <alignment horizontal="center" wrapText="1"/>
    </xf>
    <xf numFmtId="17" fontId="16" fillId="0" borderId="1" xfId="0" applyNumberFormat="1" applyFont="1" applyBorder="1" applyAlignment="1">
      <alignment horizontal="center" wrapText="1"/>
    </xf>
    <xf numFmtId="0" fontId="5" fillId="21" borderId="1" xfId="0" applyFont="1" applyFill="1" applyBorder="1" applyAlignment="1">
      <alignment wrapText="1"/>
    </xf>
    <xf numFmtId="0" fontId="7" fillId="0" borderId="5" xfId="0" applyFont="1" applyBorder="1" applyAlignment="1">
      <alignment horizontal="center"/>
    </xf>
    <xf numFmtId="0" fontId="10" fillId="0" borderId="12" xfId="0" applyFont="1" applyBorder="1" applyAlignment="1">
      <alignment wrapText="1"/>
    </xf>
    <xf numFmtId="14" fontId="11" fillId="24" borderId="4" xfId="0" applyNumberFormat="1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18" fillId="0" borderId="6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5" fillId="0" borderId="7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1" fillId="0" borderId="5" xfId="0" applyFont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16" fontId="56" fillId="0" borderId="1" xfId="0" applyNumberFormat="1" applyFont="1" applyBorder="1" applyAlignment="1">
      <alignment wrapText="1"/>
    </xf>
    <xf numFmtId="0" fontId="7" fillId="24" borderId="1" xfId="0" applyFont="1" applyFill="1" applyBorder="1" applyAlignment="1">
      <alignment horizontal="center"/>
    </xf>
    <xf numFmtId="0" fontId="57" fillId="0" borderId="1" xfId="0" applyFont="1" applyBorder="1" applyAlignment="1">
      <alignment horizontal="center" wrapText="1"/>
    </xf>
    <xf numFmtId="0" fontId="16" fillId="0" borderId="0" xfId="0" applyFont="1"/>
    <xf numFmtId="0" fontId="16" fillId="21" borderId="1" xfId="0" applyFont="1" applyFill="1" applyBorder="1"/>
    <xf numFmtId="0" fontId="34" fillId="0" borderId="1" xfId="0" applyFont="1" applyBorder="1" applyAlignment="1">
      <alignment horizontal="center" wrapText="1"/>
    </xf>
    <xf numFmtId="0" fontId="7" fillId="22" borderId="4" xfId="0" applyFont="1" applyFill="1" applyBorder="1" applyAlignment="1">
      <alignment horizontal="center" wrapText="1"/>
    </xf>
    <xf numFmtId="0" fontId="10" fillId="22" borderId="1" xfId="0" applyFont="1" applyFill="1" applyBorder="1" applyAlignment="1">
      <alignment horizontal="center" wrapText="1"/>
    </xf>
    <xf numFmtId="4" fontId="5" fillId="22" borderId="1" xfId="0" applyNumberFormat="1" applyFont="1" applyFill="1" applyBorder="1" applyAlignment="1">
      <alignment horizontal="center" wrapText="1"/>
    </xf>
    <xf numFmtId="0" fontId="59" fillId="22" borderId="1" xfId="0" applyFont="1" applyFill="1" applyBorder="1" applyAlignment="1">
      <alignment horizontal="center" wrapText="1"/>
    </xf>
    <xf numFmtId="0" fontId="18" fillId="22" borderId="1" xfId="0" applyFont="1" applyFill="1" applyBorder="1" applyAlignment="1">
      <alignment horizontal="center" wrapText="1"/>
    </xf>
    <xf numFmtId="14" fontId="11" fillId="0" borderId="1" xfId="0" applyNumberFormat="1" applyFont="1" applyBorder="1" applyAlignment="1">
      <alignment horizontal="left" wrapText="1"/>
    </xf>
    <xf numFmtId="0" fontId="51" fillId="0" borderId="1" xfId="0" applyFont="1" applyBorder="1" applyAlignment="1">
      <alignment horizontal="center" wrapText="1"/>
    </xf>
    <xf numFmtId="0" fontId="49" fillId="24" borderId="1" xfId="0" applyFont="1" applyFill="1" applyBorder="1" applyAlignment="1">
      <alignment horizontal="center" wrapText="1"/>
    </xf>
    <xf numFmtId="0" fontId="51" fillId="0" borderId="1" xfId="0" applyFont="1" applyBorder="1" applyAlignment="1">
      <alignment horizontal="left" wrapText="1"/>
    </xf>
    <xf numFmtId="14" fontId="51" fillId="0" borderId="1" xfId="0" applyNumberFormat="1" applyFont="1" applyBorder="1"/>
    <xf numFmtId="0" fontId="6" fillId="24" borderId="1" xfId="0" applyFont="1" applyFill="1" applyBorder="1" applyAlignment="1">
      <alignment horizontal="center" wrapText="1"/>
    </xf>
    <xf numFmtId="49" fontId="55" fillId="0" borderId="1" xfId="0" applyNumberFormat="1" applyFont="1" applyBorder="1" applyAlignment="1">
      <alignment horizontal="center" wrapText="1"/>
    </xf>
    <xf numFmtId="0" fontId="11" fillId="24" borderId="1" xfId="0" applyFont="1" applyFill="1" applyBorder="1" applyAlignment="1">
      <alignment horizontal="center" wrapText="1"/>
    </xf>
    <xf numFmtId="16" fontId="20" fillId="0" borderId="1" xfId="0" applyNumberFormat="1" applyFont="1" applyBorder="1" applyAlignment="1">
      <alignment wrapText="1"/>
    </xf>
    <xf numFmtId="0" fontId="16" fillId="0" borderId="3" xfId="0" applyFont="1" applyBorder="1" applyAlignment="1">
      <alignment wrapText="1"/>
    </xf>
    <xf numFmtId="16" fontId="31" fillId="22" borderId="1" xfId="0" applyNumberFormat="1" applyFont="1" applyFill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61" fillId="0" borderId="4" xfId="0" applyFont="1" applyBorder="1" applyAlignment="1">
      <alignment horizontal="center" wrapText="1"/>
    </xf>
    <xf numFmtId="17" fontId="15" fillId="0" borderId="1" xfId="0" applyNumberFormat="1" applyFont="1" applyBorder="1" applyAlignment="1">
      <alignment horizontal="center" wrapText="1"/>
    </xf>
    <xf numFmtId="17" fontId="5" fillId="0" borderId="1" xfId="0" applyNumberFormat="1" applyFont="1" applyBorder="1"/>
    <xf numFmtId="0" fontId="31" fillId="22" borderId="1" xfId="0" applyFont="1" applyFill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wrapText="1"/>
    </xf>
    <xf numFmtId="0" fontId="7" fillId="0" borderId="6" xfId="0" applyFont="1" applyBorder="1" applyAlignment="1">
      <alignment vertical="center"/>
    </xf>
    <xf numFmtId="0" fontId="30" fillId="0" borderId="1" xfId="0" applyFont="1" applyBorder="1"/>
    <xf numFmtId="0" fontId="7" fillId="24" borderId="5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/>
    </xf>
    <xf numFmtId="14" fontId="11" fillId="8" borderId="4" xfId="0" applyNumberFormat="1" applyFont="1" applyFill="1" applyBorder="1" applyAlignment="1">
      <alignment wrapText="1"/>
    </xf>
    <xf numFmtId="0" fontId="18" fillId="22" borderId="6" xfId="0" applyFont="1" applyFill="1" applyBorder="1" applyAlignment="1">
      <alignment wrapText="1"/>
    </xf>
    <xf numFmtId="49" fontId="47" fillId="22" borderId="1" xfId="0" applyNumberFormat="1" applyFont="1" applyFill="1" applyBorder="1" applyAlignment="1">
      <alignment horizontal="center" wrapText="1"/>
    </xf>
    <xf numFmtId="0" fontId="11" fillId="22" borderId="5" xfId="0" applyFont="1" applyFill="1" applyBorder="1" applyAlignment="1">
      <alignment horizontal="center" vertical="center" wrapText="1"/>
    </xf>
    <xf numFmtId="14" fontId="22" fillId="0" borderId="1" xfId="0" applyNumberFormat="1" applyFont="1" applyBorder="1" applyAlignment="1">
      <alignment wrapText="1"/>
    </xf>
    <xf numFmtId="0" fontId="17" fillId="22" borderId="1" xfId="0" applyFont="1" applyFill="1" applyBorder="1" applyAlignment="1">
      <alignment wrapText="1"/>
    </xf>
    <xf numFmtId="16" fontId="63" fillId="0" borderId="1" xfId="0" applyNumberFormat="1" applyFont="1" applyBorder="1" applyAlignment="1">
      <alignment wrapText="1"/>
    </xf>
    <xf numFmtId="0" fontId="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16" fillId="0" borderId="4" xfId="0" applyFont="1" applyBorder="1"/>
    <xf numFmtId="14" fontId="16" fillId="0" borderId="4" xfId="0" applyNumberFormat="1" applyFont="1" applyBorder="1"/>
    <xf numFmtId="0" fontId="35" fillId="18" borderId="4" xfId="0" applyFont="1" applyFill="1" applyBorder="1" applyAlignment="1">
      <alignment horizontal="center" wrapText="1"/>
    </xf>
    <xf numFmtId="0" fontId="5" fillId="18" borderId="4" xfId="0" applyFont="1" applyFill="1" applyBorder="1" applyAlignment="1">
      <alignment horizontal="center" wrapText="1"/>
    </xf>
    <xf numFmtId="0" fontId="7" fillId="18" borderId="4" xfId="0" applyFont="1" applyFill="1" applyBorder="1" applyAlignment="1">
      <alignment wrapText="1"/>
    </xf>
    <xf numFmtId="0" fontId="11" fillId="18" borderId="4" xfId="0" applyFont="1" applyFill="1" applyBorder="1" applyAlignment="1">
      <alignment horizontal="center" wrapText="1"/>
    </xf>
    <xf numFmtId="3" fontId="5" fillId="18" borderId="4" xfId="0" applyNumberFormat="1" applyFont="1" applyFill="1" applyBorder="1" applyAlignment="1">
      <alignment horizontal="center"/>
    </xf>
    <xf numFmtId="3" fontId="16" fillId="18" borderId="4" xfId="0" applyNumberFormat="1" applyFont="1" applyFill="1" applyBorder="1" applyAlignment="1">
      <alignment horizontal="center"/>
    </xf>
    <xf numFmtId="0" fontId="32" fillId="18" borderId="4" xfId="0" applyFont="1" applyFill="1" applyBorder="1"/>
    <xf numFmtId="0" fontId="5" fillId="18" borderId="4" xfId="0" applyFont="1" applyFill="1" applyBorder="1"/>
    <xf numFmtId="0" fontId="5" fillId="18" borderId="3" xfId="0" applyFont="1" applyFill="1" applyBorder="1"/>
    <xf numFmtId="49" fontId="5" fillId="0" borderId="1" xfId="0" applyNumberFormat="1" applyFont="1" applyBorder="1" applyAlignment="1">
      <alignment horizontal="left" wrapText="1"/>
    </xf>
    <xf numFmtId="49" fontId="64" fillId="0" borderId="1" xfId="0" applyNumberFormat="1" applyFont="1" applyBorder="1" applyAlignment="1">
      <alignment horizontal="left" wrapText="1"/>
    </xf>
    <xf numFmtId="0" fontId="10" fillId="0" borderId="4" xfId="0" applyFont="1" applyBorder="1" applyAlignment="1">
      <alignment horizontal="center" wrapText="1"/>
    </xf>
    <xf numFmtId="0" fontId="5" fillId="0" borderId="10" xfId="0" applyFont="1" applyBorder="1"/>
    <xf numFmtId="0" fontId="5" fillId="0" borderId="4" xfId="0" applyFont="1" applyBorder="1"/>
    <xf numFmtId="49" fontId="36" fillId="0" borderId="1" xfId="0" applyNumberFormat="1" applyFont="1" applyBorder="1" applyAlignment="1">
      <alignment horizontal="left" wrapText="1"/>
    </xf>
    <xf numFmtId="0" fontId="22" fillId="8" borderId="1" xfId="0" applyFont="1" applyFill="1" applyBorder="1" applyAlignment="1">
      <alignment wrapText="1"/>
    </xf>
    <xf numFmtId="0" fontId="43" fillId="8" borderId="1" xfId="0" applyFont="1" applyFill="1" applyBorder="1" applyAlignment="1">
      <alignment wrapText="1"/>
    </xf>
    <xf numFmtId="3" fontId="43" fillId="0" borderId="1" xfId="0" applyNumberFormat="1" applyFont="1" applyBorder="1" applyAlignment="1">
      <alignment wrapText="1"/>
    </xf>
    <xf numFmtId="49" fontId="65" fillId="0" borderId="1" xfId="0" applyNumberFormat="1" applyFont="1" applyBorder="1" applyAlignment="1">
      <alignment horizontal="left" wrapText="1"/>
    </xf>
    <xf numFmtId="0" fontId="49" fillId="0" borderId="1" xfId="0" applyFont="1" applyBorder="1" applyAlignment="1">
      <alignment horizontal="center" wrapText="1"/>
    </xf>
    <xf numFmtId="0" fontId="36" fillId="0" borderId="1" xfId="0" applyFont="1" applyBorder="1"/>
    <xf numFmtId="16" fontId="5" fillId="0" borderId="1" xfId="0" applyNumberFormat="1" applyFont="1" applyBorder="1"/>
    <xf numFmtId="0" fontId="12" fillId="0" borderId="1" xfId="0" applyFont="1" applyBorder="1"/>
    <xf numFmtId="0" fontId="49" fillId="0" borderId="1" xfId="0" applyFont="1" applyBorder="1" applyAlignment="1">
      <alignment wrapText="1"/>
    </xf>
    <xf numFmtId="0" fontId="37" fillId="23" borderId="1" xfId="0" applyFont="1" applyFill="1" applyBorder="1"/>
    <xf numFmtId="49" fontId="66" fillId="0" borderId="1" xfId="0" applyNumberFormat="1" applyFont="1" applyBorder="1" applyAlignment="1">
      <alignment horizontal="left" wrapText="1"/>
    </xf>
    <xf numFmtId="0" fontId="61" fillId="0" borderId="4" xfId="0" applyFont="1" applyBorder="1" applyAlignment="1">
      <alignment horizontal="left" wrapText="1"/>
    </xf>
    <xf numFmtId="49" fontId="61" fillId="0" borderId="4" xfId="0" applyNumberFormat="1" applyFont="1" applyBorder="1" applyAlignment="1">
      <alignment horizontal="left" wrapText="1"/>
    </xf>
    <xf numFmtId="0" fontId="61" fillId="22" borderId="4" xfId="0" applyFont="1" applyFill="1" applyBorder="1" applyAlignment="1">
      <alignment horizontal="left" wrapText="1"/>
    </xf>
    <xf numFmtId="0" fontId="15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5" fillId="0" borderId="1" xfId="0" applyFont="1" applyBorder="1" applyAlignment="1">
      <alignment wrapText="1"/>
    </xf>
    <xf numFmtId="49" fontId="5" fillId="0" borderId="4" xfId="0" applyNumberFormat="1" applyFont="1" applyBorder="1" applyAlignment="1">
      <alignment horizontal="center" wrapText="1"/>
    </xf>
    <xf numFmtId="0" fontId="10" fillId="0" borderId="13" xfId="0" applyFont="1" applyBorder="1" applyAlignment="1">
      <alignment wrapText="1"/>
    </xf>
    <xf numFmtId="0" fontId="15" fillId="0" borderId="0" xfId="0" applyFont="1" applyAlignment="1">
      <alignment horizontal="center" vertical="center"/>
    </xf>
    <xf numFmtId="14" fontId="7" fillId="0" borderId="10" xfId="0" applyNumberFormat="1" applyFont="1" applyBorder="1" applyAlignment="1">
      <alignment wrapText="1"/>
    </xf>
    <xf numFmtId="0" fontId="11" fillId="0" borderId="2" xfId="0" applyFont="1" applyBorder="1" applyAlignment="1">
      <alignment horizontal="center" wrapText="1"/>
    </xf>
    <xf numFmtId="0" fontId="67" fillId="0" borderId="10" xfId="0" applyFont="1" applyBorder="1" applyAlignment="1">
      <alignment wrapText="1"/>
    </xf>
    <xf numFmtId="49" fontId="18" fillId="22" borderId="4" xfId="0" applyNumberFormat="1" applyFont="1" applyFill="1" applyBorder="1" applyAlignment="1">
      <alignment horizontal="center" wrapText="1"/>
    </xf>
    <xf numFmtId="0" fontId="3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16" fillId="0" borderId="2" xfId="0" applyFont="1" applyBorder="1"/>
    <xf numFmtId="0" fontId="49" fillId="0" borderId="4" xfId="0" applyFont="1" applyBorder="1" applyAlignment="1">
      <alignment horizontal="center" wrapText="1"/>
    </xf>
    <xf numFmtId="0" fontId="53" fillId="0" borderId="4" xfId="0" applyFont="1" applyBorder="1" applyAlignment="1">
      <alignment wrapText="1"/>
    </xf>
    <xf numFmtId="0" fontId="52" fillId="0" borderId="4" xfId="0" applyFont="1" applyBorder="1" applyAlignment="1">
      <alignment wrapText="1"/>
    </xf>
    <xf numFmtId="0" fontId="52" fillId="0" borderId="4" xfId="0" applyFont="1" applyBorder="1" applyAlignment="1">
      <alignment horizontal="left" wrapText="1"/>
    </xf>
    <xf numFmtId="0" fontId="68" fillId="0" borderId="0" xfId="0" applyFont="1" applyAlignment="1">
      <alignment wrapText="1"/>
    </xf>
    <xf numFmtId="0" fontId="51" fillId="0" borderId="4" xfId="0" applyFont="1" applyBorder="1" applyAlignment="1">
      <alignment horizontal="center"/>
    </xf>
    <xf numFmtId="49" fontId="5" fillId="23" borderId="4" xfId="0" applyNumberFormat="1" applyFont="1" applyFill="1" applyBorder="1" applyAlignment="1">
      <alignment horizontal="left" wrapText="1"/>
    </xf>
    <xf numFmtId="49" fontId="16" fillId="0" borderId="4" xfId="0" applyNumberFormat="1" applyFont="1" applyBorder="1" applyAlignment="1">
      <alignment horizontal="center" wrapText="1"/>
    </xf>
    <xf numFmtId="0" fontId="51" fillId="0" borderId="4" xfId="0" applyFont="1" applyBorder="1"/>
    <xf numFmtId="0" fontId="49" fillId="0" borderId="6" xfId="0" applyFont="1" applyBorder="1" applyAlignment="1">
      <alignment horizontal="center" wrapText="1"/>
    </xf>
    <xf numFmtId="0" fontId="53" fillId="0" borderId="1" xfId="0" applyFont="1" applyBorder="1" applyAlignment="1">
      <alignment wrapText="1"/>
    </xf>
    <xf numFmtId="14" fontId="43" fillId="0" borderId="4" xfId="0" applyNumberFormat="1" applyFont="1" applyBorder="1" applyAlignment="1">
      <alignment horizontal="left" wrapText="1"/>
    </xf>
    <xf numFmtId="0" fontId="68" fillId="0" borderId="1" xfId="0" applyFont="1" applyBorder="1" applyAlignment="1">
      <alignment wrapText="1"/>
    </xf>
    <xf numFmtId="0" fontId="49" fillId="0" borderId="5" xfId="0" applyFont="1" applyBorder="1" applyAlignment="1">
      <alignment horizontal="center" wrapText="1"/>
    </xf>
    <xf numFmtId="0" fontId="53" fillId="0" borderId="10" xfId="0" applyFont="1" applyBorder="1" applyAlignment="1">
      <alignment horizontal="center" wrapText="1"/>
    </xf>
    <xf numFmtId="49" fontId="5" fillId="0" borderId="4" xfId="0" applyNumberFormat="1" applyFont="1" applyBorder="1" applyAlignment="1">
      <alignment horizontal="left" wrapText="1"/>
    </xf>
    <xf numFmtId="0" fontId="43" fillId="0" borderId="4" xfId="0" applyFont="1" applyBorder="1"/>
    <xf numFmtId="0" fontId="43" fillId="0" borderId="1" xfId="0" applyFont="1" applyBorder="1" applyAlignment="1">
      <alignment horizontal="left" wrapText="1"/>
    </xf>
    <xf numFmtId="0" fontId="10" fillId="0" borderId="1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49" fontId="69" fillId="0" borderId="11" xfId="0" applyNumberFormat="1" applyFont="1" applyBorder="1" applyAlignment="1">
      <alignment horizontal="center" wrapText="1"/>
    </xf>
    <xf numFmtId="49" fontId="47" fillId="22" borderId="5" xfId="0" applyNumberFormat="1" applyFont="1" applyFill="1" applyBorder="1" applyAlignment="1">
      <alignment horizontal="left" wrapText="1"/>
    </xf>
    <xf numFmtId="49" fontId="16" fillId="0" borderId="5" xfId="0" applyNumberFormat="1" applyFont="1" applyBorder="1" applyAlignment="1">
      <alignment horizontal="center" wrapText="1"/>
    </xf>
    <xf numFmtId="0" fontId="16" fillId="0" borderId="12" xfId="0" applyFont="1" applyBorder="1" applyAlignment="1">
      <alignment wrapText="1"/>
    </xf>
    <xf numFmtId="14" fontId="5" fillId="0" borderId="1" xfId="0" applyNumberFormat="1" applyFont="1" applyBorder="1" applyAlignment="1">
      <alignment wrapText="1"/>
    </xf>
    <xf numFmtId="49" fontId="36" fillId="0" borderId="1" xfId="0" applyNumberFormat="1" applyFont="1" applyBorder="1"/>
    <xf numFmtId="0" fontId="69" fillId="0" borderId="2" xfId="0" applyFont="1" applyBorder="1" applyAlignment="1">
      <alignment horizontal="left" wrapText="1"/>
    </xf>
    <xf numFmtId="16" fontId="19" fillId="0" borderId="1" xfId="0" applyNumberFormat="1" applyFont="1" applyBorder="1" applyAlignment="1">
      <alignment horizontal="left"/>
    </xf>
    <xf numFmtId="14" fontId="7" fillId="22" borderId="1" xfId="0" applyNumberFormat="1" applyFont="1" applyFill="1" applyBorder="1"/>
    <xf numFmtId="0" fontId="7" fillId="22" borderId="1" xfId="0" applyFont="1" applyFill="1" applyBorder="1"/>
    <xf numFmtId="16" fontId="19" fillId="0" borderId="1" xfId="0" applyNumberFormat="1" applyFont="1" applyBorder="1"/>
    <xf numFmtId="0" fontId="29" fillId="0" borderId="1" xfId="0" applyFont="1" applyBorder="1" applyAlignment="1">
      <alignment horizontal="center" wrapText="1"/>
    </xf>
    <xf numFmtId="0" fontId="51" fillId="0" borderId="5" xfId="0" applyFont="1" applyBorder="1" applyAlignment="1">
      <alignment wrapText="1"/>
    </xf>
    <xf numFmtId="49" fontId="16" fillId="0" borderId="1" xfId="0" applyNumberFormat="1" applyFont="1" applyBorder="1" applyAlignment="1">
      <alignment horizontal="left" wrapText="1"/>
    </xf>
    <xf numFmtId="49" fontId="64" fillId="0" borderId="1" xfId="0" applyNumberFormat="1" applyFont="1" applyBorder="1" applyAlignment="1">
      <alignment horizontal="center" wrapText="1"/>
    </xf>
    <xf numFmtId="0" fontId="72" fillId="0" borderId="5" xfId="0" applyFont="1" applyBorder="1" applyAlignment="1">
      <alignment wrapText="1"/>
    </xf>
    <xf numFmtId="0" fontId="51" fillId="15" borderId="0" xfId="0" applyFont="1" applyFill="1" applyAlignment="1">
      <alignment wrapText="1"/>
    </xf>
    <xf numFmtId="0" fontId="51" fillId="0" borderId="1" xfId="0" applyFont="1" applyBorder="1" applyAlignment="1">
      <alignment wrapText="1"/>
    </xf>
    <xf numFmtId="14" fontId="16" fillId="0" borderId="1" xfId="0" applyNumberFormat="1" applyFont="1" applyBorder="1" applyAlignment="1">
      <alignment wrapText="1"/>
    </xf>
    <xf numFmtId="0" fontId="16" fillId="0" borderId="1" xfId="0" applyFont="1" applyBorder="1" applyAlignment="1">
      <alignment horizontal="right" wrapText="1"/>
    </xf>
    <xf numFmtId="14" fontId="5" fillId="0" borderId="5" xfId="0" applyNumberFormat="1" applyFont="1" applyBorder="1"/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22" fillId="0" borderId="5" xfId="0" applyFont="1" applyBorder="1" applyAlignment="1">
      <alignment horizontal="center" wrapText="1"/>
    </xf>
    <xf numFmtId="17" fontId="16" fillId="0" borderId="1" xfId="0" applyNumberFormat="1" applyFont="1" applyBorder="1" applyAlignment="1">
      <alignment wrapText="1"/>
    </xf>
    <xf numFmtId="0" fontId="16" fillId="0" borderId="2" xfId="0" applyFont="1" applyBorder="1" applyAlignment="1">
      <alignment wrapText="1"/>
    </xf>
    <xf numFmtId="2" fontId="36" fillId="0" borderId="1" xfId="0" applyNumberFormat="1" applyFont="1" applyBorder="1" applyAlignment="1">
      <alignment wrapText="1"/>
    </xf>
    <xf numFmtId="0" fontId="67" fillId="0" borderId="1" xfId="0" applyFont="1" applyBorder="1" applyAlignment="1">
      <alignment wrapText="1"/>
    </xf>
    <xf numFmtId="0" fontId="67" fillId="0" borderId="4" xfId="0" applyFont="1" applyBorder="1" applyAlignment="1">
      <alignment horizontal="left" wrapText="1"/>
    </xf>
    <xf numFmtId="17" fontId="67" fillId="0" borderId="1" xfId="0" applyNumberFormat="1" applyFont="1" applyBorder="1" applyAlignment="1">
      <alignment horizontal="center" wrapText="1"/>
    </xf>
    <xf numFmtId="17" fontId="67" fillId="0" borderId="1" xfId="0" applyNumberFormat="1" applyFont="1" applyBorder="1"/>
    <xf numFmtId="2" fontId="16" fillId="0" borderId="1" xfId="0" applyNumberFormat="1" applyFont="1" applyBorder="1" applyAlignment="1">
      <alignment wrapText="1"/>
    </xf>
    <xf numFmtId="4" fontId="7" fillId="0" borderId="1" xfId="0" applyNumberFormat="1" applyFont="1" applyBorder="1" applyAlignment="1">
      <alignment horizontal="center" wrapText="1"/>
    </xf>
    <xf numFmtId="4" fontId="7" fillId="0" borderId="0" xfId="0" applyNumberFormat="1" applyFont="1" applyAlignment="1">
      <alignment horizontal="center" wrapText="1"/>
    </xf>
    <xf numFmtId="0" fontId="5" fillId="0" borderId="4" xfId="0" applyFont="1" applyBorder="1" applyAlignment="1">
      <alignment horizontal="left" wrapText="1"/>
    </xf>
    <xf numFmtId="17" fontId="7" fillId="0" borderId="1" xfId="0" applyNumberFormat="1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15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49" fontId="36" fillId="22" borderId="4" xfId="0" applyNumberFormat="1" applyFont="1" applyFill="1" applyBorder="1" applyAlignment="1">
      <alignment horizontal="left" wrapText="1"/>
    </xf>
    <xf numFmtId="17" fontId="16" fillId="0" borderId="4" xfId="0" applyNumberFormat="1" applyFont="1" applyBorder="1" applyAlignment="1">
      <alignment horizontal="center" wrapText="1"/>
    </xf>
    <xf numFmtId="14" fontId="77" fillId="0" borderId="1" xfId="0" applyNumberFormat="1" applyFont="1" applyBorder="1" applyAlignment="1">
      <alignment wrapText="1"/>
    </xf>
    <xf numFmtId="0" fontId="78" fillId="0" borderId="2" xfId="0" applyFont="1" applyBorder="1" applyAlignment="1">
      <alignment wrapText="1"/>
    </xf>
    <xf numFmtId="0" fontId="78" fillId="0" borderId="1" xfId="0" applyFont="1" applyBorder="1" applyAlignment="1">
      <alignment wrapText="1"/>
    </xf>
    <xf numFmtId="0" fontId="78" fillId="0" borderId="1" xfId="0" applyFont="1" applyBorder="1" applyAlignment="1">
      <alignment horizontal="left" wrapText="1"/>
    </xf>
    <xf numFmtId="49" fontId="36" fillId="0" borderId="4" xfId="0" applyNumberFormat="1" applyFont="1" applyBorder="1" applyAlignment="1">
      <alignment horizontal="left" wrapText="1"/>
    </xf>
    <xf numFmtId="0" fontId="52" fillId="0" borderId="1" xfId="0" applyFont="1" applyBorder="1"/>
    <xf numFmtId="14" fontId="51" fillId="0" borderId="1" xfId="0" applyNumberFormat="1" applyFont="1" applyBorder="1" applyAlignment="1">
      <alignment wrapText="1"/>
    </xf>
    <xf numFmtId="0" fontId="16" fillId="13" borderId="1" xfId="0" applyFont="1" applyFill="1" applyBorder="1" applyAlignment="1">
      <alignment horizontal="center" wrapText="1"/>
    </xf>
    <xf numFmtId="49" fontId="47" fillId="0" borderId="5" xfId="0" applyNumberFormat="1" applyFont="1" applyBorder="1" applyAlignment="1">
      <alignment horizontal="left" wrapText="1"/>
    </xf>
    <xf numFmtId="0" fontId="16" fillId="0" borderId="12" xfId="0" applyFont="1" applyBorder="1"/>
    <xf numFmtId="0" fontId="65" fillId="0" borderId="1" xfId="0" applyFont="1" applyBorder="1" applyAlignment="1">
      <alignment horizontal="left" wrapText="1"/>
    </xf>
    <xf numFmtId="14" fontId="7" fillId="0" borderId="1" xfId="0" applyNumberFormat="1" applyFont="1" applyBorder="1" applyAlignment="1">
      <alignment wrapText="1"/>
    </xf>
    <xf numFmtId="0" fontId="7" fillId="13" borderId="1" xfId="0" applyFont="1" applyFill="1" applyBorder="1"/>
    <xf numFmtId="0" fontId="5" fillId="0" borderId="5" xfId="0" applyFont="1" applyBorder="1" applyAlignment="1">
      <alignment horizontal="center" wrapText="1"/>
    </xf>
    <xf numFmtId="3" fontId="29" fillId="0" borderId="1" xfId="0" applyNumberFormat="1" applyFont="1" applyBorder="1" applyAlignment="1">
      <alignment wrapText="1"/>
    </xf>
    <xf numFmtId="0" fontId="5" fillId="22" borderId="1" xfId="0" applyFont="1" applyFill="1" applyBorder="1" applyAlignment="1">
      <alignment wrapText="1"/>
    </xf>
    <xf numFmtId="0" fontId="5" fillId="22" borderId="2" xfId="0" applyFont="1" applyFill="1" applyBorder="1" applyAlignment="1">
      <alignment wrapText="1"/>
    </xf>
    <xf numFmtId="2" fontId="5" fillId="22" borderId="1" xfId="0" applyNumberFormat="1" applyFont="1" applyFill="1" applyBorder="1" applyAlignment="1">
      <alignment wrapText="1"/>
    </xf>
    <xf numFmtId="0" fontId="16" fillId="22" borderId="1" xfId="0" applyFont="1" applyFill="1" applyBorder="1" applyAlignment="1">
      <alignment wrapText="1"/>
    </xf>
    <xf numFmtId="16" fontId="19" fillId="0" borderId="1" xfId="0" applyNumberFormat="1" applyFont="1" applyBorder="1" applyAlignment="1">
      <alignment horizontal="left" wrapText="1"/>
    </xf>
    <xf numFmtId="14" fontId="7" fillId="0" borderId="1" xfId="0" applyNumberFormat="1" applyFont="1" applyBorder="1"/>
    <xf numFmtId="0" fontId="51" fillId="0" borderId="2" xfId="0" applyFont="1" applyBorder="1" applyAlignment="1">
      <alignment wrapText="1"/>
    </xf>
    <xf numFmtId="0" fontId="5" fillId="0" borderId="11" xfId="0" applyFont="1" applyBorder="1"/>
    <xf numFmtId="3" fontId="11" fillId="0" borderId="1" xfId="0" applyNumberFormat="1" applyFont="1" applyBorder="1" applyAlignment="1">
      <alignment horizontal="center" wrapText="1"/>
    </xf>
    <xf numFmtId="0" fontId="52" fillId="0" borderId="0" xfId="0" applyFont="1" applyAlignment="1">
      <alignment horizontal="center"/>
    </xf>
    <xf numFmtId="0" fontId="5" fillId="25" borderId="0" xfId="0" applyFont="1" applyFill="1"/>
    <xf numFmtId="0" fontId="35" fillId="25" borderId="4" xfId="0" applyFont="1" applyFill="1" applyBorder="1" applyAlignment="1">
      <alignment horizontal="center" wrapText="1"/>
    </xf>
    <xf numFmtId="0" fontId="5" fillId="25" borderId="4" xfId="0" applyFont="1" applyFill="1" applyBorder="1" applyAlignment="1">
      <alignment horizontal="center" wrapText="1"/>
    </xf>
    <xf numFmtId="0" fontId="7" fillId="25" borderId="4" xfId="0" applyFont="1" applyFill="1" applyBorder="1" applyAlignment="1">
      <alignment wrapText="1"/>
    </xf>
    <xf numFmtId="0" fontId="11" fillId="25" borderId="4" xfId="0" applyFont="1" applyFill="1" applyBorder="1" applyAlignment="1">
      <alignment horizontal="center" wrapText="1"/>
    </xf>
    <xf numFmtId="3" fontId="5" fillId="25" borderId="4" xfId="0" applyNumberFormat="1" applyFont="1" applyFill="1" applyBorder="1" applyAlignment="1">
      <alignment horizontal="center"/>
    </xf>
    <xf numFmtId="3" fontId="16" fillId="25" borderId="4" xfId="0" applyNumberFormat="1" applyFont="1" applyFill="1" applyBorder="1" applyAlignment="1">
      <alignment horizontal="center"/>
    </xf>
    <xf numFmtId="0" fontId="32" fillId="25" borderId="4" xfId="0" applyFont="1" applyFill="1" applyBorder="1"/>
    <xf numFmtId="0" fontId="5" fillId="25" borderId="4" xfId="0" applyFont="1" applyFill="1" applyBorder="1"/>
    <xf numFmtId="0" fontId="5" fillId="25" borderId="1" xfId="0" applyFont="1" applyFill="1" applyBorder="1"/>
    <xf numFmtId="0" fontId="5" fillId="25" borderId="3" xfId="0" applyFont="1" applyFill="1" applyBorder="1"/>
    <xf numFmtId="0" fontId="12" fillId="0" borderId="5" xfId="0" applyFont="1" applyBorder="1" applyAlignment="1">
      <alignment wrapText="1"/>
    </xf>
    <xf numFmtId="0" fontId="72" fillId="0" borderId="5" xfId="0" applyFont="1" applyBorder="1" applyAlignment="1">
      <alignment horizontal="right" wrapText="1"/>
    </xf>
    <xf numFmtId="0" fontId="72" fillId="0" borderId="1" xfId="0" applyFont="1" applyBorder="1" applyAlignment="1">
      <alignment wrapText="1"/>
    </xf>
    <xf numFmtId="0" fontId="51" fillId="0" borderId="12" xfId="0" applyFont="1" applyBorder="1" applyAlignment="1">
      <alignment wrapText="1"/>
    </xf>
    <xf numFmtId="0" fontId="11" fillId="15" borderId="5" xfId="0" applyFont="1" applyFill="1" applyBorder="1" applyAlignment="1">
      <alignment wrapText="1"/>
    </xf>
    <xf numFmtId="0" fontId="51" fillId="15" borderId="5" xfId="0" applyFont="1" applyFill="1" applyBorder="1" applyAlignment="1">
      <alignment wrapText="1"/>
    </xf>
    <xf numFmtId="14" fontId="72" fillId="0" borderId="1" xfId="0" applyNumberFormat="1" applyFont="1" applyBorder="1" applyAlignment="1">
      <alignment wrapText="1"/>
    </xf>
    <xf numFmtId="49" fontId="69" fillId="0" borderId="15" xfId="0" applyNumberFormat="1" applyFont="1" applyBorder="1" applyAlignment="1">
      <alignment horizontal="center" wrapText="1"/>
    </xf>
    <xf numFmtId="0" fontId="16" fillId="22" borderId="13" xfId="0" applyFont="1" applyFill="1" applyBorder="1"/>
    <xf numFmtId="0" fontId="11" fillId="0" borderId="8" xfId="0" applyFont="1" applyBorder="1" applyAlignment="1">
      <alignment horizontal="center" wrapText="1"/>
    </xf>
    <xf numFmtId="49" fontId="18" fillId="0" borderId="1" xfId="0" applyNumberFormat="1" applyFont="1" applyBorder="1" applyAlignment="1">
      <alignment horizontal="center" wrapText="1"/>
    </xf>
    <xf numFmtId="14" fontId="51" fillId="0" borderId="2" xfId="0" applyNumberFormat="1" applyFont="1" applyBorder="1" applyAlignment="1">
      <alignment wrapText="1"/>
    </xf>
    <xf numFmtId="0" fontId="43" fillId="8" borderId="2" xfId="0" applyFont="1" applyFill="1" applyBorder="1" applyAlignment="1">
      <alignment wrapText="1"/>
    </xf>
    <xf numFmtId="0" fontId="43" fillId="0" borderId="4" xfId="0" applyFont="1" applyBorder="1" applyAlignment="1">
      <alignment wrapText="1"/>
    </xf>
    <xf numFmtId="49" fontId="52" fillId="8" borderId="2" xfId="0" applyNumberFormat="1" applyFont="1" applyFill="1" applyBorder="1" applyAlignment="1">
      <alignment wrapText="1"/>
    </xf>
    <xf numFmtId="49" fontId="58" fillId="8" borderId="1" xfId="0" applyNumberFormat="1" applyFont="1" applyFill="1" applyBorder="1" applyAlignment="1">
      <alignment horizontal="center" vertical="center" wrapText="1"/>
    </xf>
    <xf numFmtId="3" fontId="58" fillId="8" borderId="1" xfId="0" applyNumberFormat="1" applyFont="1" applyFill="1" applyBorder="1" applyAlignment="1">
      <alignment wrapText="1"/>
    </xf>
    <xf numFmtId="0" fontId="58" fillId="8" borderId="1" xfId="0" applyFont="1" applyFill="1" applyBorder="1" applyAlignment="1">
      <alignment horizontal="right" wrapText="1"/>
    </xf>
    <xf numFmtId="0" fontId="58" fillId="0" borderId="1" xfId="0" applyFont="1" applyBorder="1" applyAlignment="1">
      <alignment wrapText="1"/>
    </xf>
    <xf numFmtId="14" fontId="58" fillId="0" borderId="1" xfId="0" applyNumberFormat="1" applyFont="1" applyBorder="1" applyAlignment="1">
      <alignment wrapText="1"/>
    </xf>
    <xf numFmtId="0" fontId="37" fillId="8" borderId="1" xfId="0" applyFont="1" applyFill="1" applyBorder="1" applyAlignment="1">
      <alignment horizontal="right" wrapText="1"/>
    </xf>
    <xf numFmtId="4" fontId="58" fillId="0" borderId="1" xfId="0" applyNumberFormat="1" applyFont="1" applyBorder="1" applyAlignment="1">
      <alignment wrapText="1"/>
    </xf>
    <xf numFmtId="4" fontId="37" fillId="8" borderId="4" xfId="0" applyNumberFormat="1" applyFont="1" applyFill="1" applyBorder="1" applyAlignment="1">
      <alignment wrapText="1"/>
    </xf>
    <xf numFmtId="4" fontId="37" fillId="22" borderId="15" xfId="0" applyNumberFormat="1" applyFont="1" applyFill="1" applyBorder="1" applyAlignment="1">
      <alignment wrapText="1"/>
    </xf>
    <xf numFmtId="0" fontId="39" fillId="22" borderId="5" xfId="0" applyFont="1" applyFill="1" applyBorder="1" applyAlignment="1">
      <alignment wrapText="1"/>
    </xf>
    <xf numFmtId="0" fontId="37" fillId="8" borderId="11" xfId="0" applyFont="1" applyFill="1" applyBorder="1" applyAlignment="1">
      <alignment wrapText="1"/>
    </xf>
    <xf numFmtId="0" fontId="37" fillId="8" borderId="5" xfId="0" applyFont="1" applyFill="1" applyBorder="1" applyAlignment="1">
      <alignment wrapText="1"/>
    </xf>
    <xf numFmtId="0" fontId="88" fillId="8" borderId="5" xfId="0" applyFont="1" applyFill="1" applyBorder="1" applyAlignment="1">
      <alignment wrapText="1"/>
    </xf>
    <xf numFmtId="0" fontId="72" fillId="0" borderId="4" xfId="0" applyFont="1" applyBorder="1" applyAlignment="1">
      <alignment wrapText="1"/>
    </xf>
    <xf numFmtId="0" fontId="37" fillId="0" borderId="0" xfId="0" applyFont="1" applyAlignment="1">
      <alignment horizontal="justify" vertical="center"/>
    </xf>
    <xf numFmtId="0" fontId="58" fillId="0" borderId="0" xfId="0" applyFont="1" applyAlignment="1">
      <alignment wrapText="1"/>
    </xf>
    <xf numFmtId="3" fontId="49" fillId="8" borderId="1" xfId="0" applyNumberFormat="1" applyFont="1" applyFill="1" applyBorder="1" applyAlignment="1">
      <alignment horizontal="right" wrapText="1"/>
    </xf>
    <xf numFmtId="0" fontId="49" fillId="8" borderId="1" xfId="0" applyFont="1" applyFill="1" applyBorder="1" applyAlignment="1">
      <alignment wrapText="1"/>
    </xf>
    <xf numFmtId="4" fontId="49" fillId="0" borderId="1" xfId="0" applyNumberFormat="1" applyFont="1" applyBorder="1" applyAlignment="1">
      <alignment wrapText="1"/>
    </xf>
    <xf numFmtId="4" fontId="89" fillId="0" borderId="1" xfId="0" applyNumberFormat="1" applyFont="1" applyBorder="1" applyAlignment="1">
      <alignment wrapText="1"/>
    </xf>
    <xf numFmtId="0" fontId="43" fillId="0" borderId="1" xfId="0" applyFont="1" applyBorder="1" applyAlignment="1">
      <alignment wrapText="1"/>
    </xf>
    <xf numFmtId="0" fontId="52" fillId="0" borderId="5" xfId="0" applyFont="1" applyBorder="1" applyAlignment="1">
      <alignment wrapText="1"/>
    </xf>
    <xf numFmtId="0" fontId="37" fillId="0" borderId="1" xfId="0" applyFont="1" applyBorder="1" applyAlignment="1">
      <alignment wrapText="1"/>
    </xf>
    <xf numFmtId="4" fontId="37" fillId="0" borderId="5" xfId="0" applyNumberFormat="1" applyFont="1" applyBorder="1" applyAlignment="1">
      <alignment horizontal="center" wrapText="1"/>
    </xf>
    <xf numFmtId="4" fontId="37" fillId="0" borderId="1" xfId="0" applyNumberFormat="1" applyFont="1" applyBorder="1" applyAlignment="1">
      <alignment wrapText="1"/>
    </xf>
    <xf numFmtId="0" fontId="37" fillId="0" borderId="1" xfId="0" applyFont="1" applyBorder="1" applyAlignment="1">
      <alignment horizontal="center" wrapText="1"/>
    </xf>
    <xf numFmtId="0" fontId="51" fillId="0" borderId="11" xfId="0" applyFont="1" applyBorder="1" applyAlignment="1">
      <alignment wrapText="1"/>
    </xf>
    <xf numFmtId="4" fontId="49" fillId="0" borderId="5" xfId="0" applyNumberFormat="1" applyFont="1" applyBorder="1" applyAlignment="1">
      <alignment horizontal="center" wrapText="1"/>
    </xf>
    <xf numFmtId="0" fontId="58" fillId="0" borderId="7" xfId="0" applyFont="1" applyBorder="1" applyAlignment="1">
      <alignment wrapText="1"/>
    </xf>
    <xf numFmtId="0" fontId="49" fillId="0" borderId="6" xfId="0" applyFont="1" applyBorder="1" applyAlignment="1">
      <alignment wrapText="1"/>
    </xf>
    <xf numFmtId="0" fontId="37" fillId="0" borderId="5" xfId="0" applyFont="1" applyBorder="1" applyAlignment="1">
      <alignment wrapText="1"/>
    </xf>
    <xf numFmtId="0" fontId="51" fillId="0" borderId="5" xfId="0" applyFont="1" applyBorder="1" applyAlignment="1">
      <alignment horizontal="right" wrapText="1"/>
    </xf>
    <xf numFmtId="0" fontId="37" fillId="23" borderId="3" xfId="0" applyFont="1" applyFill="1" applyBorder="1" applyAlignment="1">
      <alignment wrapText="1"/>
    </xf>
    <xf numFmtId="0" fontId="90" fillId="0" borderId="1" xfId="0" applyFont="1" applyBorder="1" applyAlignment="1">
      <alignment wrapText="1"/>
    </xf>
    <xf numFmtId="0" fontId="37" fillId="0" borderId="20" xfId="0" applyFont="1" applyBorder="1" applyAlignment="1">
      <alignment horizontal="right" vertical="center" wrapText="1"/>
    </xf>
    <xf numFmtId="4" fontId="37" fillId="0" borderId="23" xfId="0" applyNumberFormat="1" applyFont="1" applyBorder="1" applyAlignment="1">
      <alignment horizontal="right" vertical="center" wrapText="1"/>
    </xf>
    <xf numFmtId="0" fontId="37" fillId="0" borderId="23" xfId="0" applyFont="1" applyBorder="1" applyAlignment="1">
      <alignment horizontal="right" vertical="center" wrapText="1"/>
    </xf>
    <xf numFmtId="0" fontId="49" fillId="15" borderId="4" xfId="0" applyFont="1" applyFill="1" applyBorder="1" applyAlignment="1">
      <alignment horizontal="left" wrapText="1"/>
    </xf>
    <xf numFmtId="0" fontId="72" fillId="0" borderId="1" xfId="0" applyFont="1" applyBorder="1" applyAlignment="1">
      <alignment horizontal="right" wrapText="1"/>
    </xf>
    <xf numFmtId="4" fontId="0" fillId="0" borderId="0" xfId="0" applyNumberFormat="1"/>
    <xf numFmtId="0" fontId="5" fillId="0" borderId="4" xfId="0" applyFont="1" applyBorder="1" applyAlignment="1">
      <alignment wrapText="1"/>
    </xf>
    <xf numFmtId="3" fontId="29" fillId="0" borderId="8" xfId="0" applyNumberFormat="1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14" fontId="11" fillId="0" borderId="6" xfId="0" applyNumberFormat="1" applyFont="1" applyBorder="1" applyAlignment="1">
      <alignment wrapText="1"/>
    </xf>
    <xf numFmtId="4" fontId="79" fillId="0" borderId="6" xfId="0" applyNumberFormat="1" applyFont="1" applyBorder="1" applyAlignment="1">
      <alignment wrapText="1"/>
    </xf>
    <xf numFmtId="49" fontId="64" fillId="0" borderId="6" xfId="0" applyNumberFormat="1" applyFont="1" applyBorder="1" applyAlignment="1">
      <alignment wrapText="1"/>
    </xf>
    <xf numFmtId="4" fontId="79" fillId="0" borderId="1" xfId="0" applyNumberFormat="1" applyFont="1" applyBorder="1" applyAlignment="1">
      <alignment wrapText="1"/>
    </xf>
    <xf numFmtId="0" fontId="58" fillId="8" borderId="1" xfId="0" applyFont="1" applyFill="1" applyBorder="1" applyAlignment="1">
      <alignment wrapText="1"/>
    </xf>
    <xf numFmtId="4" fontId="37" fillId="0" borderId="1" xfId="0" applyNumberFormat="1" applyFont="1" applyBorder="1" applyAlignment="1">
      <alignment horizontal="right" wrapText="1"/>
    </xf>
    <xf numFmtId="3" fontId="5" fillId="0" borderId="4" xfId="0" applyNumberFormat="1" applyFont="1" applyBorder="1" applyAlignment="1">
      <alignment horizontal="center"/>
    </xf>
    <xf numFmtId="3" fontId="16" fillId="0" borderId="4" xfId="0" applyNumberFormat="1" applyFont="1" applyBorder="1" applyAlignment="1">
      <alignment horizontal="center"/>
    </xf>
    <xf numFmtId="0" fontId="32" fillId="0" borderId="4" xfId="0" applyFont="1" applyBorder="1"/>
    <xf numFmtId="0" fontId="16" fillId="0" borderId="5" xfId="0" applyFont="1" applyBorder="1"/>
    <xf numFmtId="0" fontId="16" fillId="0" borderId="4" xfId="0" applyFont="1" applyBorder="1" applyAlignment="1">
      <alignment wrapText="1"/>
    </xf>
    <xf numFmtId="0" fontId="52" fillId="29" borderId="1" xfId="0" applyFont="1" applyFill="1" applyBorder="1" applyAlignment="1">
      <alignment wrapText="1"/>
    </xf>
    <xf numFmtId="49" fontId="36" fillId="29" borderId="1" xfId="0" applyNumberFormat="1" applyFont="1" applyFill="1" applyBorder="1" applyAlignment="1">
      <alignment horizontal="left" wrapText="1"/>
    </xf>
    <xf numFmtId="0" fontId="5" fillId="29" borderId="1" xfId="0" applyFont="1" applyFill="1" applyBorder="1" applyAlignment="1">
      <alignment wrapText="1"/>
    </xf>
    <xf numFmtId="49" fontId="10" fillId="0" borderId="1" xfId="0" applyNumberFormat="1" applyFont="1" applyBorder="1"/>
    <xf numFmtId="14" fontId="0" fillId="0" borderId="1" xfId="0" applyNumberFormat="1" applyBorder="1"/>
    <xf numFmtId="0" fontId="0" fillId="0" borderId="1" xfId="0" applyBorder="1" applyAlignment="1">
      <alignment horizontal="center" wrapText="1"/>
    </xf>
    <xf numFmtId="0" fontId="16" fillId="29" borderId="2" xfId="0" applyFont="1" applyFill="1" applyBorder="1"/>
    <xf numFmtId="0" fontId="5" fillId="29" borderId="1" xfId="0" applyFont="1" applyFill="1" applyBorder="1"/>
    <xf numFmtId="0" fontId="52" fillId="0" borderId="1" xfId="0" applyFont="1" applyBorder="1" applyAlignment="1">
      <alignment horizontal="center" wrapText="1"/>
    </xf>
    <xf numFmtId="0" fontId="87" fillId="0" borderId="1" xfId="0" applyFont="1" applyBorder="1" applyAlignment="1">
      <alignment wrapText="1"/>
    </xf>
    <xf numFmtId="0" fontId="9" fillId="0" borderId="2" xfId="0" applyFont="1" applyBorder="1"/>
    <xf numFmtId="14" fontId="16" fillId="0" borderId="2" xfId="0" applyNumberFormat="1" applyFont="1" applyBorder="1" applyAlignment="1">
      <alignment wrapText="1"/>
    </xf>
    <xf numFmtId="0" fontId="36" fillId="0" borderId="2" xfId="0" applyFont="1" applyBorder="1" applyAlignment="1">
      <alignment wrapText="1"/>
    </xf>
    <xf numFmtId="0" fontId="78" fillId="0" borderId="2" xfId="0" applyFont="1" applyBorder="1" applyAlignment="1">
      <alignment horizontal="left" wrapText="1"/>
    </xf>
    <xf numFmtId="14" fontId="5" fillId="22" borderId="2" xfId="0" applyNumberFormat="1" applyFont="1" applyFill="1" applyBorder="1" applyAlignment="1">
      <alignment horizontal="left" wrapText="1"/>
    </xf>
    <xf numFmtId="14" fontId="5" fillId="22" borderId="2" xfId="0" applyNumberFormat="1" applyFont="1" applyFill="1" applyBorder="1" applyAlignment="1">
      <alignment wrapText="1"/>
    </xf>
    <xf numFmtId="0" fontId="5" fillId="25" borderId="2" xfId="0" applyFont="1" applyFill="1" applyBorder="1"/>
    <xf numFmtId="49" fontId="43" fillId="8" borderId="2" xfId="0" applyNumberFormat="1" applyFont="1" applyFill="1" applyBorder="1" applyAlignment="1">
      <alignment wrapText="1"/>
    </xf>
    <xf numFmtId="49" fontId="95" fillId="8" borderId="2" xfId="0" applyNumberFormat="1" applyFont="1" applyFill="1" applyBorder="1" applyAlignment="1">
      <alignment wrapText="1"/>
    </xf>
    <xf numFmtId="16" fontId="16" fillId="0" borderId="2" xfId="0" applyNumberFormat="1" applyFont="1" applyBorder="1" applyAlignment="1">
      <alignment wrapText="1"/>
    </xf>
    <xf numFmtId="0" fontId="94" fillId="0" borderId="2" xfId="0" applyFont="1" applyBorder="1" applyAlignment="1">
      <alignment horizontal="left" wrapText="1"/>
    </xf>
    <xf numFmtId="14" fontId="5" fillId="0" borderId="2" xfId="0" applyNumberFormat="1" applyFont="1" applyBorder="1" applyAlignment="1">
      <alignment horizontal="left" wrapText="1"/>
    </xf>
    <xf numFmtId="14" fontId="16" fillId="0" borderId="2" xfId="0" applyNumberFormat="1" applyFont="1" applyBorder="1"/>
    <xf numFmtId="2" fontId="36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98" fillId="0" borderId="1" xfId="0" applyFont="1" applyBorder="1"/>
    <xf numFmtId="14" fontId="98" fillId="0" borderId="2" xfId="0" applyNumberFormat="1" applyFont="1" applyBorder="1"/>
    <xf numFmtId="0" fontId="98" fillId="0" borderId="2" xfId="0" applyFont="1" applyBorder="1"/>
    <xf numFmtId="0" fontId="5" fillId="30" borderId="1" xfId="0" applyFont="1" applyFill="1" applyBorder="1"/>
    <xf numFmtId="2" fontId="5" fillId="0" borderId="1" xfId="0" applyNumberFormat="1" applyFont="1" applyBorder="1"/>
    <xf numFmtId="14" fontId="5" fillId="0" borderId="2" xfId="0" applyNumberFormat="1" applyFont="1" applyBorder="1" applyAlignment="1">
      <alignment wrapText="1"/>
    </xf>
    <xf numFmtId="0" fontId="21" fillId="0" borderId="0" xfId="0" applyFont="1" applyAlignment="1">
      <alignment wrapText="1"/>
    </xf>
    <xf numFmtId="2" fontId="15" fillId="0" borderId="1" xfId="0" applyNumberFormat="1" applyFont="1" applyBorder="1" applyAlignment="1">
      <alignment horizontal="center" wrapText="1"/>
    </xf>
    <xf numFmtId="0" fontId="5" fillId="29" borderId="0" xfId="0" applyFont="1" applyFill="1" applyAlignment="1">
      <alignment wrapText="1"/>
    </xf>
    <xf numFmtId="49" fontId="5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38" fillId="29" borderId="2" xfId="0" applyFont="1" applyFill="1" applyBorder="1"/>
    <xf numFmtId="2" fontId="16" fillId="0" borderId="1" xfId="0" applyNumberFormat="1" applyFont="1" applyBorder="1" applyAlignment="1">
      <alignment horizontal="center" wrapText="1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49" fontId="38" fillId="29" borderId="1" xfId="0" applyNumberFormat="1" applyFont="1" applyFill="1" applyBorder="1" applyAlignment="1">
      <alignment horizontal="center" wrapText="1"/>
    </xf>
    <xf numFmtId="49" fontId="38" fillId="0" borderId="1" xfId="0" applyNumberFormat="1" applyFont="1" applyBorder="1" applyAlignment="1">
      <alignment horizontal="center" wrapText="1"/>
    </xf>
    <xf numFmtId="49" fontId="37" fillId="0" borderId="1" xfId="0" applyNumberFormat="1" applyFont="1" applyBorder="1"/>
    <xf numFmtId="49" fontId="64" fillId="0" borderId="5" xfId="0" applyNumberFormat="1" applyFont="1" applyBorder="1" applyAlignment="1">
      <alignment wrapText="1"/>
    </xf>
    <xf numFmtId="2" fontId="5" fillId="33" borderId="1" xfId="0" applyNumberFormat="1" applyFont="1" applyFill="1" applyBorder="1" applyAlignment="1">
      <alignment wrapText="1"/>
    </xf>
    <xf numFmtId="0" fontId="16" fillId="33" borderId="2" xfId="0" applyFont="1" applyFill="1" applyBorder="1" applyAlignment="1">
      <alignment wrapText="1"/>
    </xf>
    <xf numFmtId="0" fontId="98" fillId="0" borderId="1" xfId="0" applyFont="1" applyBorder="1" applyAlignment="1">
      <alignment wrapText="1"/>
    </xf>
    <xf numFmtId="0" fontId="98" fillId="0" borderId="2" xfId="0" applyFont="1" applyBorder="1" applyAlignment="1">
      <alignment wrapText="1"/>
    </xf>
    <xf numFmtId="14" fontId="98" fillId="0" borderId="2" xfId="0" applyNumberFormat="1" applyFont="1" applyBorder="1" applyAlignment="1">
      <alignment horizontal="left"/>
    </xf>
    <xf numFmtId="0" fontId="5" fillId="30" borderId="0" xfId="0" applyFont="1" applyFill="1"/>
    <xf numFmtId="0" fontId="87" fillId="0" borderId="5" xfId="0" applyFont="1" applyBorder="1" applyAlignment="1">
      <alignment wrapText="1"/>
    </xf>
    <xf numFmtId="0" fontId="98" fillId="0" borderId="4" xfId="0" applyFont="1" applyBorder="1" applyAlignment="1">
      <alignment wrapText="1"/>
    </xf>
    <xf numFmtId="0" fontId="98" fillId="0" borderId="5" xfId="0" applyFont="1" applyBorder="1"/>
    <xf numFmtId="0" fontId="100" fillId="0" borderId="1" xfId="0" applyFont="1" applyBorder="1" applyAlignment="1">
      <alignment wrapText="1"/>
    </xf>
    <xf numFmtId="0" fontId="102" fillId="0" borderId="2" xfId="0" applyFont="1" applyBorder="1" applyAlignment="1">
      <alignment wrapText="1"/>
    </xf>
    <xf numFmtId="0" fontId="45" fillId="0" borderId="5" xfId="0" applyFont="1" applyBorder="1" applyAlignment="1">
      <alignment wrapText="1"/>
    </xf>
    <xf numFmtId="0" fontId="10" fillId="29" borderId="1" xfId="0" applyFont="1" applyFill="1" applyBorder="1" applyAlignment="1">
      <alignment wrapText="1"/>
    </xf>
    <xf numFmtId="0" fontId="52" fillId="29" borderId="1" xfId="0" applyFont="1" applyFill="1" applyBorder="1" applyAlignment="1">
      <alignment horizontal="center" wrapText="1"/>
    </xf>
    <xf numFmtId="0" fontId="43" fillId="29" borderId="4" xfId="0" applyFont="1" applyFill="1" applyBorder="1" applyAlignment="1">
      <alignment horizontal="center"/>
    </xf>
    <xf numFmtId="2" fontId="51" fillId="0" borderId="1" xfId="0" applyNumberFormat="1" applyFont="1" applyBorder="1" applyAlignment="1">
      <alignment horizontal="right" wrapText="1"/>
    </xf>
    <xf numFmtId="14" fontId="100" fillId="0" borderId="2" xfId="0" applyNumberFormat="1" applyFont="1" applyBorder="1" applyAlignment="1">
      <alignment horizontal="left" wrapText="1"/>
    </xf>
    <xf numFmtId="0" fontId="100" fillId="0" borderId="12" xfId="0" applyFont="1" applyBorder="1" applyAlignment="1">
      <alignment wrapText="1"/>
    </xf>
    <xf numFmtId="0" fontId="10" fillId="29" borderId="1" xfId="0" applyFont="1" applyFill="1" applyBorder="1" applyAlignment="1">
      <alignment horizontal="center" wrapText="1"/>
    </xf>
    <xf numFmtId="14" fontId="72" fillId="0" borderId="2" xfId="0" applyNumberFormat="1" applyFont="1" applyBorder="1" applyAlignment="1">
      <alignment horizontal="left" wrapText="1"/>
    </xf>
    <xf numFmtId="0" fontId="67" fillId="30" borderId="0" xfId="0" applyFont="1" applyFill="1" applyAlignment="1">
      <alignment wrapText="1"/>
    </xf>
    <xf numFmtId="2" fontId="5" fillId="30" borderId="0" xfId="0" applyNumberFormat="1" applyFont="1" applyFill="1" applyAlignment="1">
      <alignment wrapText="1"/>
    </xf>
    <xf numFmtId="0" fontId="16" fillId="30" borderId="0" xfId="0" applyFont="1" applyFill="1"/>
    <xf numFmtId="0" fontId="9" fillId="30" borderId="1" xfId="0" applyFont="1" applyFill="1" applyBorder="1" applyAlignment="1">
      <alignment wrapText="1"/>
    </xf>
    <xf numFmtId="0" fontId="0" fillId="30" borderId="0" xfId="0" applyFill="1"/>
    <xf numFmtId="0" fontId="5" fillId="34" borderId="0" xfId="0" applyFont="1" applyFill="1"/>
    <xf numFmtId="0" fontId="5" fillId="31" borderId="0" xfId="0" applyFont="1" applyFill="1"/>
    <xf numFmtId="0" fontId="5" fillId="36" borderId="0" xfId="0" applyFont="1" applyFill="1"/>
    <xf numFmtId="0" fontId="5" fillId="36" borderId="3" xfId="0" applyFont="1" applyFill="1" applyBorder="1"/>
    <xf numFmtId="0" fontId="5" fillId="30" borderId="3" xfId="0" applyFont="1" applyFill="1" applyBorder="1"/>
    <xf numFmtId="0" fontId="5" fillId="30" borderId="10" xfId="0" applyFont="1" applyFill="1" applyBorder="1"/>
    <xf numFmtId="0" fontId="10" fillId="30" borderId="0" xfId="0" applyFont="1" applyFill="1"/>
    <xf numFmtId="2" fontId="36" fillId="30" borderId="0" xfId="0" applyNumberFormat="1" applyFont="1" applyFill="1" applyAlignment="1">
      <alignment horizontal="center" wrapText="1"/>
    </xf>
    <xf numFmtId="0" fontId="9" fillId="0" borderId="2" xfId="0" applyFont="1" applyBorder="1" applyAlignment="1">
      <alignment wrapText="1"/>
    </xf>
    <xf numFmtId="0" fontId="9" fillId="30" borderId="21" xfId="0" applyFont="1" applyFill="1" applyBorder="1" applyAlignment="1">
      <alignment wrapText="1"/>
    </xf>
    <xf numFmtId="0" fontId="8" fillId="30" borderId="23" xfId="0" applyFont="1" applyFill="1" applyBorder="1"/>
    <xf numFmtId="0" fontId="5" fillId="30" borderId="1" xfId="0" applyFont="1" applyFill="1" applyBorder="1" applyAlignment="1">
      <alignment horizontal="center"/>
    </xf>
    <xf numFmtId="0" fontId="7" fillId="0" borderId="4" xfId="0" applyFont="1" applyBorder="1"/>
    <xf numFmtId="0" fontId="7" fillId="0" borderId="6" xfId="0" applyFont="1" applyBorder="1"/>
    <xf numFmtId="14" fontId="5" fillId="0" borderId="2" xfId="0" applyNumberFormat="1" applyFont="1" applyBorder="1" applyAlignment="1">
      <alignment horizontal="left"/>
    </xf>
    <xf numFmtId="0" fontId="38" fillId="0" borderId="1" xfId="0" applyFont="1" applyBorder="1" applyAlignment="1">
      <alignment wrapText="1"/>
    </xf>
    <xf numFmtId="0" fontId="7" fillId="0" borderId="6" xfId="0" applyFont="1" applyBorder="1" applyAlignment="1">
      <alignment horizontal="center" wrapText="1"/>
    </xf>
    <xf numFmtId="0" fontId="67" fillId="37" borderId="1" xfId="0" applyFont="1" applyFill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0" fontId="85" fillId="0" borderId="1" xfId="0" applyFont="1" applyBorder="1" applyAlignment="1">
      <alignment wrapText="1"/>
    </xf>
    <xf numFmtId="49" fontId="97" fillId="8" borderId="2" xfId="0" applyNumberFormat="1" applyFont="1" applyFill="1" applyBorder="1" applyAlignment="1">
      <alignment wrapText="1"/>
    </xf>
    <xf numFmtId="0" fontId="100" fillId="0" borderId="5" xfId="0" applyFont="1" applyBorder="1" applyAlignment="1">
      <alignment horizontal="right" wrapText="1"/>
    </xf>
    <xf numFmtId="0" fontId="105" fillId="0" borderId="5" xfId="0" applyFont="1" applyBorder="1" applyAlignment="1">
      <alignment wrapText="1"/>
    </xf>
    <xf numFmtId="0" fontId="52" fillId="0" borderId="26" xfId="0" applyFont="1" applyBorder="1" applyAlignment="1">
      <alignment horizontal="center" vertical="center" wrapText="1"/>
    </xf>
    <xf numFmtId="0" fontId="52" fillId="0" borderId="19" xfId="0" applyFont="1" applyBorder="1" applyAlignment="1">
      <alignment horizontal="right" vertical="center" wrapText="1"/>
    </xf>
    <xf numFmtId="0" fontId="51" fillId="0" borderId="25" xfId="0" applyFont="1" applyBorder="1" applyAlignment="1">
      <alignment horizontal="center" vertical="center" wrapText="1"/>
    </xf>
    <xf numFmtId="0" fontId="51" fillId="0" borderId="19" xfId="0" applyFont="1" applyBorder="1" applyAlignment="1">
      <alignment horizontal="right" vertical="center" wrapText="1"/>
    </xf>
    <xf numFmtId="0" fontId="51" fillId="0" borderId="25" xfId="0" applyFont="1" applyBorder="1" applyAlignment="1">
      <alignment vertical="top" wrapText="1"/>
    </xf>
    <xf numFmtId="4" fontId="52" fillId="0" borderId="19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center" wrapText="1"/>
    </xf>
    <xf numFmtId="0" fontId="98" fillId="0" borderId="1" xfId="0" applyFont="1" applyBorder="1" applyAlignment="1">
      <alignment horizontal="center" wrapText="1"/>
    </xf>
    <xf numFmtId="0" fontId="51" fillId="0" borderId="23" xfId="0" applyFont="1" applyBorder="1" applyAlignment="1">
      <alignment vertical="center" wrapText="1"/>
    </xf>
    <xf numFmtId="0" fontId="52" fillId="0" borderId="23" xfId="0" applyFont="1" applyBorder="1" applyAlignment="1">
      <alignment horizontal="justify" vertical="center" wrapText="1"/>
    </xf>
    <xf numFmtId="0" fontId="52" fillId="0" borderId="25" xfId="0" applyFont="1" applyBorder="1" applyAlignment="1">
      <alignment horizontal="center" vertical="center" wrapText="1"/>
    </xf>
    <xf numFmtId="0" fontId="72" fillId="0" borderId="19" xfId="0" applyFont="1" applyBorder="1" applyAlignment="1">
      <alignment horizontal="right" vertical="center" wrapText="1"/>
    </xf>
    <xf numFmtId="0" fontId="16" fillId="0" borderId="6" xfId="0" applyFont="1" applyBorder="1"/>
    <xf numFmtId="14" fontId="94" fillId="0" borderId="8" xfId="0" applyNumberFormat="1" applyFont="1" applyBorder="1"/>
    <xf numFmtId="14" fontId="16" fillId="0" borderId="11" xfId="0" applyNumberFormat="1" applyFont="1" applyBorder="1" applyAlignment="1">
      <alignment horizontal="right" wrapText="1"/>
    </xf>
    <xf numFmtId="2" fontId="43" fillId="8" borderId="2" xfId="0" applyNumberFormat="1" applyFont="1" applyFill="1" applyBorder="1" applyAlignment="1">
      <alignment wrapText="1"/>
    </xf>
    <xf numFmtId="2" fontId="37" fillId="0" borderId="5" xfId="0" applyNumberFormat="1" applyFont="1" applyBorder="1" applyAlignment="1">
      <alignment wrapText="1"/>
    </xf>
    <xf numFmtId="2" fontId="106" fillId="30" borderId="1" xfId="0" applyNumberFormat="1" applyFont="1" applyFill="1" applyBorder="1" applyAlignment="1">
      <alignment wrapText="1"/>
    </xf>
    <xf numFmtId="0" fontId="37" fillId="0" borderId="4" xfId="0" applyFont="1" applyBorder="1" applyAlignment="1">
      <alignment wrapText="1"/>
    </xf>
    <xf numFmtId="0" fontId="34" fillId="0" borderId="4" xfId="0" applyFont="1" applyBorder="1" applyAlignment="1">
      <alignment wrapText="1"/>
    </xf>
    <xf numFmtId="14" fontId="49" fillId="0" borderId="4" xfId="0" applyNumberFormat="1" applyFont="1" applyBorder="1" applyAlignment="1">
      <alignment wrapText="1"/>
    </xf>
    <xf numFmtId="4" fontId="107" fillId="0" borderId="4" xfId="0" applyNumberFormat="1" applyFont="1" applyBorder="1" applyAlignment="1">
      <alignment wrapText="1"/>
    </xf>
    <xf numFmtId="49" fontId="108" fillId="0" borderId="4" xfId="0" applyNumberFormat="1" applyFont="1" applyBorder="1" applyAlignment="1">
      <alignment wrapText="1"/>
    </xf>
    <xf numFmtId="0" fontId="98" fillId="0" borderId="5" xfId="0" applyFont="1" applyBorder="1" applyAlignment="1">
      <alignment wrapText="1"/>
    </xf>
    <xf numFmtId="0" fontId="16" fillId="33" borderId="1" xfId="0" applyFont="1" applyFill="1" applyBorder="1" applyAlignment="1">
      <alignment wrapText="1"/>
    </xf>
    <xf numFmtId="14" fontId="98" fillId="0" borderId="2" xfId="0" applyNumberFormat="1" applyFont="1" applyBorder="1" applyAlignment="1">
      <alignment horizontal="left" wrapText="1"/>
    </xf>
    <xf numFmtId="14" fontId="5" fillId="0" borderId="4" xfId="0" applyNumberFormat="1" applyFont="1" applyBorder="1" applyAlignment="1">
      <alignment wrapText="1"/>
    </xf>
    <xf numFmtId="14" fontId="5" fillId="0" borderId="5" xfId="0" applyNumberFormat="1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5" xfId="0" applyFont="1" applyBorder="1" applyAlignment="1">
      <alignment wrapText="1"/>
    </xf>
    <xf numFmtId="49" fontId="69" fillId="0" borderId="4" xfId="0" applyNumberFormat="1" applyFont="1" applyBorder="1" applyAlignment="1">
      <alignment wrapText="1"/>
    </xf>
    <xf numFmtId="49" fontId="69" fillId="0" borderId="5" xfId="0" applyNumberFormat="1" applyFont="1" applyBorder="1" applyAlignment="1">
      <alignment wrapText="1"/>
    </xf>
    <xf numFmtId="49" fontId="36" fillId="0" borderId="4" xfId="0" applyNumberFormat="1" applyFont="1" applyBorder="1"/>
    <xf numFmtId="49" fontId="36" fillId="0" borderId="5" xfId="0" applyNumberFormat="1" applyFont="1" applyBorder="1"/>
    <xf numFmtId="0" fontId="96" fillId="0" borderId="1" xfId="0" applyFont="1" applyBorder="1"/>
    <xf numFmtId="0" fontId="109" fillId="0" borderId="5" xfId="0" applyFont="1" applyBorder="1" applyAlignment="1">
      <alignment wrapText="1"/>
    </xf>
    <xf numFmtId="49" fontId="94" fillId="0" borderId="5" xfId="0" applyNumberFormat="1" applyFont="1" applyBorder="1"/>
    <xf numFmtId="2" fontId="72" fillId="0" borderId="1" xfId="0" applyNumberFormat="1" applyFont="1" applyBorder="1" applyAlignment="1">
      <alignment horizontal="right" wrapText="1"/>
    </xf>
    <xf numFmtId="2" fontId="82" fillId="0" borderId="1" xfId="0" applyNumberFormat="1" applyFont="1" applyBorder="1"/>
    <xf numFmtId="2" fontId="5" fillId="0" borderId="0" xfId="0" applyNumberFormat="1" applyFont="1" applyAlignment="1">
      <alignment horizontal="left"/>
    </xf>
    <xf numFmtId="0" fontId="98" fillId="0" borderId="15" xfId="0" applyFont="1" applyBorder="1" applyAlignment="1">
      <alignment wrapText="1"/>
    </xf>
    <xf numFmtId="1" fontId="38" fillId="0" borderId="15" xfId="0" applyNumberFormat="1" applyFont="1" applyBorder="1"/>
    <xf numFmtId="0" fontId="67" fillId="0" borderId="0" xfId="0" applyFont="1" applyAlignment="1">
      <alignment wrapText="1"/>
    </xf>
    <xf numFmtId="2" fontId="106" fillId="0" borderId="1" xfId="0" applyNumberFormat="1" applyFont="1" applyBorder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/>
    <xf numFmtId="0" fontId="5" fillId="0" borderId="0" xfId="0" applyFont="1" applyAlignment="1">
      <alignment horizontal="center"/>
    </xf>
    <xf numFmtId="0" fontId="5" fillId="39" borderId="3" xfId="0" applyFont="1" applyFill="1" applyBorder="1"/>
    <xf numFmtId="0" fontId="5" fillId="40" borderId="3" xfId="0" applyFont="1" applyFill="1" applyBorder="1"/>
    <xf numFmtId="14" fontId="94" fillId="0" borderId="2" xfId="0" applyNumberFormat="1" applyFont="1" applyBorder="1" applyAlignment="1">
      <alignment horizontal="left" wrapText="1"/>
    </xf>
    <xf numFmtId="0" fontId="51" fillId="0" borderId="0" xfId="0" applyFont="1"/>
    <xf numFmtId="0" fontId="90" fillId="0" borderId="0" xfId="0" applyFont="1"/>
    <xf numFmtId="0" fontId="90" fillId="0" borderId="0" xfId="0" applyFont="1" applyAlignment="1">
      <alignment wrapText="1"/>
    </xf>
    <xf numFmtId="0" fontId="99" fillId="0" borderId="1" xfId="0" applyFont="1" applyBorder="1"/>
    <xf numFmtId="2" fontId="5" fillId="30" borderId="11" xfId="0" applyNumberFormat="1" applyFont="1" applyFill="1" applyBorder="1" applyAlignment="1">
      <alignment horizontal="right" wrapText="1"/>
    </xf>
    <xf numFmtId="2" fontId="5" fillId="30" borderId="1" xfId="0" applyNumberFormat="1" applyFont="1" applyFill="1" applyBorder="1"/>
    <xf numFmtId="0" fontId="10" fillId="30" borderId="2" xfId="0" applyFont="1" applyFill="1" applyBorder="1" applyAlignment="1">
      <alignment wrapText="1"/>
    </xf>
    <xf numFmtId="0" fontId="5" fillId="25" borderId="8" xfId="0" applyFont="1" applyFill="1" applyBorder="1"/>
    <xf numFmtId="0" fontId="5" fillId="39" borderId="10" xfId="0" applyFont="1" applyFill="1" applyBorder="1"/>
    <xf numFmtId="0" fontId="5" fillId="40" borderId="10" xfId="0" applyFont="1" applyFill="1" applyBorder="1"/>
    <xf numFmtId="0" fontId="5" fillId="25" borderId="10" xfId="0" applyFont="1" applyFill="1" applyBorder="1"/>
    <xf numFmtId="0" fontId="90" fillId="0" borderId="1" xfId="0" applyFont="1" applyBorder="1"/>
    <xf numFmtId="0" fontId="38" fillId="0" borderId="4" xfId="0" applyFont="1" applyBorder="1" applyAlignment="1">
      <alignment horizontal="center" wrapText="1"/>
    </xf>
    <xf numFmtId="0" fontId="99" fillId="0" borderId="1" xfId="0" applyFont="1" applyBorder="1" applyAlignment="1">
      <alignment wrapText="1"/>
    </xf>
    <xf numFmtId="0" fontId="90" fillId="0" borderId="2" xfId="0" applyFont="1" applyBorder="1"/>
    <xf numFmtId="17" fontId="38" fillId="29" borderId="1" xfId="0" applyNumberFormat="1" applyFont="1" applyFill="1" applyBorder="1"/>
    <xf numFmtId="0" fontId="5" fillId="0" borderId="6" xfId="0" applyFont="1" applyBorder="1"/>
    <xf numFmtId="0" fontId="15" fillId="22" borderId="1" xfId="0" applyFont="1" applyFill="1" applyBorder="1"/>
    <xf numFmtId="2" fontId="15" fillId="29" borderId="1" xfId="0" applyNumberFormat="1" applyFont="1" applyFill="1" applyBorder="1" applyAlignment="1">
      <alignment horizontal="center" wrapText="1"/>
    </xf>
    <xf numFmtId="17" fontId="38" fillId="0" borderId="1" xfId="0" applyNumberFormat="1" applyFont="1" applyBorder="1"/>
    <xf numFmtId="0" fontId="15" fillId="29" borderId="3" xfId="0" applyFont="1" applyFill="1" applyBorder="1" applyAlignment="1">
      <alignment horizontal="center" wrapText="1"/>
    </xf>
    <xf numFmtId="49" fontId="71" fillId="0" borderId="1" xfId="0" applyNumberFormat="1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10" fillId="32" borderId="1" xfId="0" applyFont="1" applyFill="1" applyBorder="1" applyAlignment="1">
      <alignment wrapText="1"/>
    </xf>
    <xf numFmtId="2" fontId="95" fillId="30" borderId="2" xfId="0" applyNumberFormat="1" applyFont="1" applyFill="1" applyBorder="1" applyAlignment="1">
      <alignment wrapText="1"/>
    </xf>
    <xf numFmtId="2" fontId="5" fillId="30" borderId="2" xfId="0" applyNumberFormat="1" applyFont="1" applyFill="1" applyBorder="1" applyAlignment="1">
      <alignment wrapText="1"/>
    </xf>
    <xf numFmtId="2" fontId="67" fillId="0" borderId="1" xfId="0" applyNumberFormat="1" applyFont="1" applyBorder="1" applyAlignment="1">
      <alignment wrapText="1"/>
    </xf>
    <xf numFmtId="2" fontId="67" fillId="0" borderId="0" xfId="0" applyNumberFormat="1" applyFont="1" applyAlignment="1">
      <alignment wrapText="1"/>
    </xf>
    <xf numFmtId="14" fontId="94" fillId="0" borderId="15" xfId="0" applyNumberFormat="1" applyFont="1" applyBorder="1"/>
    <xf numFmtId="0" fontId="32" fillId="0" borderId="6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4" fontId="5" fillId="0" borderId="4" xfId="0" applyNumberFormat="1" applyFont="1" applyBorder="1" applyAlignment="1">
      <alignment horizontal="center"/>
    </xf>
    <xf numFmtId="3" fontId="11" fillId="29" borderId="1" xfId="0" applyNumberFormat="1" applyFont="1" applyFill="1" applyBorder="1" applyAlignment="1">
      <alignment horizontal="center" wrapText="1"/>
    </xf>
    <xf numFmtId="0" fontId="52" fillId="29" borderId="0" xfId="0" applyFont="1" applyFill="1" applyAlignment="1">
      <alignment horizontal="center" wrapText="1"/>
    </xf>
    <xf numFmtId="0" fontId="110" fillId="29" borderId="5" xfId="0" applyFont="1" applyFill="1" applyBorder="1" applyAlignment="1">
      <alignment wrapText="1"/>
    </xf>
    <xf numFmtId="0" fontId="100" fillId="29" borderId="5" xfId="0" applyFont="1" applyFill="1" applyBorder="1" applyAlignment="1">
      <alignment wrapText="1"/>
    </xf>
    <xf numFmtId="0" fontId="100" fillId="29" borderId="1" xfId="0" applyFont="1" applyFill="1" applyBorder="1" applyAlignment="1">
      <alignment wrapText="1"/>
    </xf>
    <xf numFmtId="14" fontId="100" fillId="29" borderId="2" xfId="0" applyNumberFormat="1" applyFont="1" applyFill="1" applyBorder="1" applyAlignment="1">
      <alignment horizontal="left" wrapText="1"/>
    </xf>
    <xf numFmtId="2" fontId="72" fillId="0" borderId="1" xfId="0" applyNumberFormat="1" applyFont="1" applyBorder="1" applyAlignment="1">
      <alignment wrapText="1"/>
    </xf>
    <xf numFmtId="0" fontId="33" fillId="0" borderId="2" xfId="0" applyFont="1" applyBorder="1" applyAlignment="1">
      <alignment wrapText="1"/>
    </xf>
    <xf numFmtId="16" fontId="51" fillId="0" borderId="1" xfId="0" applyNumberFormat="1" applyFont="1" applyBorder="1" applyAlignment="1">
      <alignment horizontal="right" wrapText="1"/>
    </xf>
    <xf numFmtId="0" fontId="112" fillId="0" borderId="1" xfId="0" applyFont="1" applyBorder="1" applyAlignment="1">
      <alignment wrapText="1"/>
    </xf>
    <xf numFmtId="0" fontId="111" fillId="0" borderId="2" xfId="0" applyFont="1" applyBorder="1" applyAlignment="1">
      <alignment wrapText="1"/>
    </xf>
    <xf numFmtId="0" fontId="111" fillId="0" borderId="1" xfId="0" applyFont="1" applyBorder="1"/>
    <xf numFmtId="2" fontId="48" fillId="0" borderId="2" xfId="0" applyNumberFormat="1" applyFont="1" applyBorder="1" applyAlignment="1">
      <alignment horizontal="left" wrapText="1"/>
    </xf>
    <xf numFmtId="14" fontId="16" fillId="0" borderId="2" xfId="0" applyNumberFormat="1" applyFont="1" applyBorder="1" applyAlignment="1">
      <alignment horizontal="left" wrapText="1"/>
    </xf>
    <xf numFmtId="0" fontId="7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49" fillId="0" borderId="4" xfId="0" applyFont="1" applyBorder="1" applyAlignment="1">
      <alignment wrapText="1"/>
    </xf>
    <xf numFmtId="0" fontId="49" fillId="0" borderId="5" xfId="0" applyFont="1" applyBorder="1" applyAlignment="1">
      <alignment wrapText="1"/>
    </xf>
    <xf numFmtId="0" fontId="12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2" fontId="10" fillId="0" borderId="2" xfId="0" applyNumberFormat="1" applyFont="1" applyBorder="1" applyAlignment="1">
      <alignment wrapText="1"/>
    </xf>
    <xf numFmtId="0" fontId="51" fillId="0" borderId="5" xfId="0" applyFont="1" applyBorder="1" applyAlignment="1">
      <alignment horizontal="center" wrapText="1"/>
    </xf>
    <xf numFmtId="2" fontId="72" fillId="0" borderId="1" xfId="0" applyNumberFormat="1" applyFont="1" applyBorder="1" applyAlignment="1">
      <alignment horizontal="left" wrapText="1"/>
    </xf>
    <xf numFmtId="14" fontId="5" fillId="0" borderId="2" xfId="0" applyNumberFormat="1" applyFont="1" applyBorder="1" applyAlignment="1">
      <alignment horizontal="right" wrapText="1"/>
    </xf>
    <xf numFmtId="49" fontId="64" fillId="0" borderId="4" xfId="0" applyNumberFormat="1" applyFont="1" applyBorder="1" applyAlignment="1">
      <alignment wrapText="1"/>
    </xf>
    <xf numFmtId="0" fontId="49" fillId="30" borderId="1" xfId="0" applyFont="1" applyFill="1" applyBorder="1" applyAlignment="1">
      <alignment wrapText="1"/>
    </xf>
    <xf numFmtId="0" fontId="12" fillId="29" borderId="1" xfId="0" applyFont="1" applyFill="1" applyBorder="1" applyAlignment="1">
      <alignment horizontal="center" wrapText="1"/>
    </xf>
    <xf numFmtId="0" fontId="51" fillId="29" borderId="5" xfId="0" applyFont="1" applyFill="1" applyBorder="1" applyAlignment="1">
      <alignment wrapText="1"/>
    </xf>
    <xf numFmtId="2" fontId="96" fillId="0" borderId="1" xfId="0" applyNumberFormat="1" applyFont="1" applyBorder="1"/>
    <xf numFmtId="2" fontId="94" fillId="30" borderId="2" xfId="0" applyNumberFormat="1" applyFont="1" applyFill="1" applyBorder="1" applyAlignment="1">
      <alignment horizontal="left" wrapText="1"/>
    </xf>
    <xf numFmtId="2" fontId="5" fillId="29" borderId="1" xfId="0" applyNumberFormat="1" applyFont="1" applyFill="1" applyBorder="1" applyAlignment="1">
      <alignment horizontal="left"/>
    </xf>
    <xf numFmtId="2" fontId="16" fillId="0" borderId="2" xfId="0" applyNumberFormat="1" applyFont="1" applyBorder="1" applyAlignment="1">
      <alignment wrapText="1"/>
    </xf>
    <xf numFmtId="0" fontId="6" fillId="0" borderId="6" xfId="0" applyFont="1" applyBorder="1" applyAlignment="1">
      <alignment horizontal="center" wrapText="1"/>
    </xf>
    <xf numFmtId="2" fontId="9" fillId="0" borderId="2" xfId="0" applyNumberFormat="1" applyFont="1" applyBorder="1" applyAlignment="1">
      <alignment horizontal="left"/>
    </xf>
    <xf numFmtId="2" fontId="106" fillId="0" borderId="0" xfId="0" applyNumberFormat="1" applyFont="1" applyAlignment="1">
      <alignment wrapText="1"/>
    </xf>
    <xf numFmtId="2" fontId="115" fillId="0" borderId="8" xfId="0" applyNumberFormat="1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37" fillId="0" borderId="10" xfId="0" applyFont="1" applyBorder="1" applyAlignment="1">
      <alignment wrapText="1"/>
    </xf>
    <xf numFmtId="0" fontId="16" fillId="29" borderId="4" xfId="0" applyFont="1" applyFill="1" applyBorder="1" applyAlignment="1">
      <alignment wrapText="1"/>
    </xf>
    <xf numFmtId="0" fontId="16" fillId="29" borderId="5" xfId="0" applyFont="1" applyFill="1" applyBorder="1"/>
    <xf numFmtId="2" fontId="5" fillId="0" borderId="11" xfId="0" applyNumberFormat="1" applyFont="1" applyBorder="1"/>
    <xf numFmtId="14" fontId="9" fillId="0" borderId="2" xfId="0" applyNumberFormat="1" applyFont="1" applyBorder="1"/>
    <xf numFmtId="168" fontId="32" fillId="0" borderId="1" xfId="0" applyNumberFormat="1" applyFont="1" applyBorder="1" applyAlignment="1">
      <alignment wrapText="1"/>
    </xf>
    <xf numFmtId="0" fontId="93" fillId="0" borderId="2" xfId="0" applyFont="1" applyBorder="1" applyAlignment="1">
      <alignment wrapText="1"/>
    </xf>
    <xf numFmtId="168" fontId="9" fillId="0" borderId="2" xfId="0" applyNumberFormat="1" applyFont="1" applyBorder="1" applyAlignment="1">
      <alignment wrapText="1"/>
    </xf>
    <xf numFmtId="0" fontId="0" fillId="0" borderId="4" xfId="0" applyBorder="1"/>
    <xf numFmtId="3" fontId="5" fillId="0" borderId="4" xfId="0" applyNumberFormat="1" applyFont="1" applyBorder="1" applyAlignment="1">
      <alignment horizontal="center" wrapText="1"/>
    </xf>
    <xf numFmtId="0" fontId="45" fillId="0" borderId="4" xfId="0" applyFont="1" applyBorder="1" applyAlignment="1">
      <alignment horizontal="center" wrapText="1"/>
    </xf>
    <xf numFmtId="0" fontId="45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wrapText="1"/>
    </xf>
    <xf numFmtId="1" fontId="38" fillId="0" borderId="0" xfId="0" applyNumberFormat="1" applyFont="1"/>
    <xf numFmtId="1" fontId="38" fillId="30" borderId="1" xfId="0" applyNumberFormat="1" applyFont="1" applyFill="1" applyBorder="1"/>
    <xf numFmtId="0" fontId="16" fillId="30" borderId="1" xfId="0" applyFont="1" applyFill="1" applyBorder="1"/>
    <xf numFmtId="49" fontId="118" fillId="0" borderId="4" xfId="0" applyNumberFormat="1" applyFont="1" applyBorder="1" applyAlignment="1">
      <alignment horizontal="left" wrapText="1"/>
    </xf>
    <xf numFmtId="0" fontId="15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wrapText="1"/>
    </xf>
    <xf numFmtId="3" fontId="22" fillId="0" borderId="1" xfId="0" applyNumberFormat="1" applyFont="1" applyBorder="1" applyAlignment="1">
      <alignment horizontal="center" wrapText="1"/>
    </xf>
    <xf numFmtId="4" fontId="22" fillId="29" borderId="1" xfId="0" applyNumberFormat="1" applyFont="1" applyFill="1" applyBorder="1" applyAlignment="1">
      <alignment horizontal="center" wrapText="1"/>
    </xf>
    <xf numFmtId="4" fontId="11" fillId="29" borderId="1" xfId="0" applyNumberFormat="1" applyFont="1" applyFill="1" applyBorder="1" applyAlignment="1">
      <alignment horizontal="center" wrapText="1"/>
    </xf>
    <xf numFmtId="49" fontId="119" fillId="0" borderId="1" xfId="0" applyNumberFormat="1" applyFont="1" applyBorder="1"/>
    <xf numFmtId="0" fontId="10" fillId="0" borderId="14" xfId="0" applyFont="1" applyBorder="1" applyAlignment="1">
      <alignment wrapText="1"/>
    </xf>
    <xf numFmtId="0" fontId="45" fillId="0" borderId="6" xfId="0" applyFont="1" applyBorder="1" applyAlignment="1">
      <alignment horizontal="center"/>
    </xf>
    <xf numFmtId="0" fontId="34" fillId="0" borderId="4" xfId="0" applyFont="1" applyBorder="1"/>
    <xf numFmtId="14" fontId="38" fillId="0" borderId="4" xfId="0" applyNumberFormat="1" applyFont="1" applyBorder="1"/>
    <xf numFmtId="0" fontId="5" fillId="0" borderId="12" xfId="0" applyFont="1" applyBorder="1" applyAlignment="1">
      <alignment horizontal="center"/>
    </xf>
    <xf numFmtId="0" fontId="45" fillId="0" borderId="6" xfId="0" applyFont="1" applyBorder="1" applyAlignment="1">
      <alignment wrapText="1"/>
    </xf>
    <xf numFmtId="17" fontId="38" fillId="0" borderId="5" xfId="0" applyNumberFormat="1" applyFont="1" applyBorder="1"/>
    <xf numFmtId="2" fontId="51" fillId="0" borderId="5" xfId="0" applyNumberFormat="1" applyFont="1" applyBorder="1" applyAlignment="1">
      <alignment horizontal="right" wrapText="1"/>
    </xf>
    <xf numFmtId="2" fontId="5" fillId="30" borderId="2" xfId="0" applyNumberFormat="1" applyFont="1" applyFill="1" applyBorder="1"/>
    <xf numFmtId="49" fontId="38" fillId="0" borderId="4" xfId="0" applyNumberFormat="1" applyFont="1" applyBorder="1" applyAlignment="1">
      <alignment wrapText="1"/>
    </xf>
    <xf numFmtId="49" fontId="7" fillId="0" borderId="2" xfId="0" applyNumberFormat="1" applyFont="1" applyBorder="1"/>
    <xf numFmtId="17" fontId="62" fillId="0" borderId="1" xfId="0" applyNumberFormat="1" applyFont="1" applyBorder="1" applyAlignment="1">
      <alignment wrapText="1"/>
    </xf>
    <xf numFmtId="17" fontId="38" fillId="0" borderId="1" xfId="0" applyNumberFormat="1" applyFont="1" applyBorder="1" applyAlignment="1">
      <alignment vertical="center"/>
    </xf>
    <xf numFmtId="0" fontId="45" fillId="0" borderId="6" xfId="0" applyFont="1" applyBorder="1" applyAlignment="1">
      <alignment vertical="center" wrapText="1"/>
    </xf>
    <xf numFmtId="14" fontId="98" fillId="0" borderId="8" xfId="0" applyNumberFormat="1" applyFont="1" applyBorder="1" applyAlignment="1">
      <alignment horizontal="left" wrapText="1"/>
    </xf>
    <xf numFmtId="2" fontId="9" fillId="0" borderId="8" xfId="0" applyNumberFormat="1" applyFont="1" applyBorder="1" applyAlignment="1">
      <alignment horizontal="left"/>
    </xf>
    <xf numFmtId="14" fontId="98" fillId="0" borderId="8" xfId="0" applyNumberFormat="1" applyFont="1" applyBorder="1" applyAlignment="1">
      <alignment horizontal="left"/>
    </xf>
    <xf numFmtId="17" fontId="38" fillId="0" borderId="1" xfId="0" applyNumberFormat="1" applyFont="1" applyBorder="1" applyAlignment="1">
      <alignment wrapText="1"/>
    </xf>
    <xf numFmtId="0" fontId="103" fillId="0" borderId="0" xfId="0" applyFont="1" applyAlignment="1">
      <alignment horizontal="center" wrapText="1"/>
    </xf>
    <xf numFmtId="0" fontId="32" fillId="0" borderId="6" xfId="0" applyFont="1" applyBorder="1" applyAlignment="1">
      <alignment horizontal="center" wrapText="1"/>
    </xf>
    <xf numFmtId="4" fontId="107" fillId="0" borderId="6" xfId="0" applyNumberFormat="1" applyFont="1" applyBorder="1" applyAlignment="1">
      <alignment horizontal="center" wrapText="1"/>
    </xf>
    <xf numFmtId="0" fontId="51" fillId="0" borderId="4" xfId="0" applyFont="1" applyBorder="1" applyAlignment="1">
      <alignment horizontal="center" wrapText="1"/>
    </xf>
    <xf numFmtId="14" fontId="16" fillId="0" borderId="2" xfId="0" applyNumberFormat="1" applyFont="1" applyBorder="1" applyAlignment="1">
      <alignment horizontal="left"/>
    </xf>
    <xf numFmtId="0" fontId="40" fillId="0" borderId="1" xfId="0" applyFont="1" applyBorder="1" applyAlignment="1">
      <alignment wrapText="1"/>
    </xf>
    <xf numFmtId="0" fontId="37" fillId="0" borderId="1" xfId="0" applyFont="1" applyBorder="1" applyAlignment="1">
      <alignment horizontal="right" wrapText="1"/>
    </xf>
    <xf numFmtId="0" fontId="40" fillId="0" borderId="1" xfId="0" applyFont="1" applyBorder="1" applyAlignment="1">
      <alignment horizontal="right" wrapText="1"/>
    </xf>
    <xf numFmtId="0" fontId="40" fillId="0" borderId="4" xfId="0" applyFont="1" applyBorder="1" applyAlignment="1">
      <alignment wrapText="1"/>
    </xf>
    <xf numFmtId="0" fontId="48" fillId="33" borderId="2" xfId="0" applyFont="1" applyFill="1" applyBorder="1" applyAlignment="1">
      <alignment wrapText="1"/>
    </xf>
    <xf numFmtId="0" fontId="35" fillId="33" borderId="2" xfId="0" applyFont="1" applyFill="1" applyBorder="1" applyAlignment="1">
      <alignment wrapText="1"/>
    </xf>
    <xf numFmtId="49" fontId="99" fillId="0" borderId="2" xfId="0" applyNumberFormat="1" applyFont="1" applyBorder="1" applyAlignment="1">
      <alignment horizontal="center" wrapText="1"/>
    </xf>
    <xf numFmtId="2" fontId="16" fillId="0" borderId="1" xfId="0" applyNumberFormat="1" applyFont="1" applyBorder="1" applyAlignment="1">
      <alignment horizontal="right" wrapText="1"/>
    </xf>
    <xf numFmtId="2" fontId="38" fillId="0" borderId="1" xfId="0" applyNumberFormat="1" applyFont="1" applyBorder="1" applyAlignment="1">
      <alignment wrapText="1"/>
    </xf>
    <xf numFmtId="0" fontId="37" fillId="0" borderId="6" xfId="0" applyFont="1" applyBorder="1" applyAlignment="1">
      <alignment wrapText="1"/>
    </xf>
    <xf numFmtId="0" fontId="34" fillId="0" borderId="6" xfId="0" applyFont="1" applyBorder="1" applyAlignment="1">
      <alignment wrapText="1"/>
    </xf>
    <xf numFmtId="0" fontId="12" fillId="0" borderId="4" xfId="0" applyFont="1" applyBorder="1" applyAlignment="1">
      <alignment wrapText="1"/>
    </xf>
    <xf numFmtId="4" fontId="107" fillId="0" borderId="5" xfId="0" applyNumberFormat="1" applyFont="1" applyBorder="1" applyAlignment="1">
      <alignment wrapText="1"/>
    </xf>
    <xf numFmtId="0" fontId="38" fillId="0" borderId="5" xfId="0" applyFont="1" applyBorder="1" applyAlignment="1">
      <alignment horizontal="center" wrapText="1"/>
    </xf>
    <xf numFmtId="49" fontId="108" fillId="0" borderId="5" xfId="0" applyNumberFormat="1" applyFont="1" applyBorder="1" applyAlignment="1">
      <alignment wrapText="1"/>
    </xf>
    <xf numFmtId="2" fontId="95" fillId="0" borderId="2" xfId="0" applyNumberFormat="1" applyFont="1" applyBorder="1" applyAlignment="1">
      <alignment wrapText="1"/>
    </xf>
    <xf numFmtId="1" fontId="38" fillId="33" borderId="1" xfId="0" applyNumberFormat="1" applyFont="1" applyFill="1" applyBorder="1" applyAlignment="1">
      <alignment wrapText="1"/>
    </xf>
    <xf numFmtId="0" fontId="5" fillId="0" borderId="1" xfId="0" applyFont="1" applyBorder="1" applyAlignment="1">
      <alignment horizontal="left" indent="1"/>
    </xf>
    <xf numFmtId="0" fontId="98" fillId="29" borderId="1" xfId="0" applyFont="1" applyFill="1" applyBorder="1" applyAlignment="1">
      <alignment wrapText="1"/>
    </xf>
    <xf numFmtId="2" fontId="98" fillId="0" borderId="2" xfId="0" applyNumberFormat="1" applyFont="1" applyBorder="1" applyAlignment="1">
      <alignment wrapText="1"/>
    </xf>
    <xf numFmtId="2" fontId="121" fillId="0" borderId="2" xfId="0" applyNumberFormat="1" applyFont="1" applyBorder="1" applyAlignment="1">
      <alignment wrapText="1"/>
    </xf>
    <xf numFmtId="0" fontId="90" fillId="0" borderId="5" xfId="0" applyFont="1" applyBorder="1" applyAlignment="1">
      <alignment wrapText="1"/>
    </xf>
    <xf numFmtId="2" fontId="5" fillId="0" borderId="8" xfId="0" applyNumberFormat="1" applyFont="1" applyBorder="1"/>
    <xf numFmtId="2" fontId="5" fillId="0" borderId="15" xfId="0" applyNumberFormat="1" applyFont="1" applyBorder="1"/>
    <xf numFmtId="2" fontId="5" fillId="30" borderId="8" xfId="0" applyNumberFormat="1" applyFont="1" applyFill="1" applyBorder="1"/>
    <xf numFmtId="2" fontId="16" fillId="0" borderId="2" xfId="0" applyNumberFormat="1" applyFont="1" applyBorder="1" applyAlignment="1">
      <alignment horizontal="left" wrapText="1"/>
    </xf>
    <xf numFmtId="49" fontId="90" fillId="0" borderId="1" xfId="0" applyNumberFormat="1" applyFont="1" applyBorder="1" applyAlignment="1">
      <alignment horizontal="center" wrapText="1"/>
    </xf>
    <xf numFmtId="2" fontId="0" fillId="0" borderId="2" xfId="0" applyNumberFormat="1" applyBorder="1" applyAlignment="1">
      <alignment horizontal="left" wrapText="1"/>
    </xf>
    <xf numFmtId="0" fontId="120" fillId="0" borderId="1" xfId="0" applyFont="1" applyBorder="1" applyAlignment="1">
      <alignment wrapText="1"/>
    </xf>
    <xf numFmtId="14" fontId="120" fillId="0" borderId="2" xfId="0" applyNumberFormat="1" applyFont="1" applyBorder="1" applyAlignment="1">
      <alignment horizontal="left" wrapText="1"/>
    </xf>
    <xf numFmtId="2" fontId="5" fillId="0" borderId="1" xfId="0" applyNumberFormat="1" applyFont="1" applyBorder="1" applyAlignment="1">
      <alignment horizontal="center" wrapText="1"/>
    </xf>
    <xf numFmtId="14" fontId="12" fillId="0" borderId="1" xfId="0" applyNumberFormat="1" applyFont="1" applyBorder="1"/>
    <xf numFmtId="0" fontId="49" fillId="0" borderId="2" xfId="0" applyFont="1" applyBorder="1" applyAlignment="1">
      <alignment wrapText="1"/>
    </xf>
    <xf numFmtId="0" fontId="5" fillId="29" borderId="5" xfId="0" applyFont="1" applyFill="1" applyBorder="1"/>
    <xf numFmtId="3" fontId="49" fillId="0" borderId="14" xfId="0" applyNumberFormat="1" applyFont="1" applyBorder="1" applyAlignment="1">
      <alignment wrapText="1"/>
    </xf>
    <xf numFmtId="0" fontId="45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wrapText="1"/>
    </xf>
    <xf numFmtId="0" fontId="12" fillId="0" borderId="4" xfId="0" applyFont="1" applyBorder="1"/>
    <xf numFmtId="0" fontId="51" fillId="0" borderId="23" xfId="0" applyFont="1" applyBorder="1" applyAlignment="1">
      <alignment horizontal="justify" vertical="center" wrapText="1"/>
    </xf>
    <xf numFmtId="0" fontId="77" fillId="0" borderId="23" xfId="0" applyFont="1" applyBorder="1" applyAlignment="1">
      <alignment vertical="center" wrapText="1"/>
    </xf>
    <xf numFmtId="0" fontId="77" fillId="0" borderId="25" xfId="0" applyFont="1" applyBorder="1" applyAlignment="1">
      <alignment horizontal="center" vertical="center" wrapText="1"/>
    </xf>
    <xf numFmtId="0" fontId="77" fillId="0" borderId="25" xfId="0" applyFont="1" applyBorder="1" applyAlignment="1">
      <alignment vertical="center" wrapText="1"/>
    </xf>
    <xf numFmtId="0" fontId="52" fillId="0" borderId="23" xfId="0" applyFont="1" applyBorder="1" applyAlignment="1">
      <alignment vertical="center" wrapText="1"/>
    </xf>
    <xf numFmtId="0" fontId="43" fillId="0" borderId="23" xfId="0" applyFont="1" applyBorder="1" applyAlignment="1">
      <alignment vertical="center" wrapText="1"/>
    </xf>
    <xf numFmtId="0" fontId="72" fillId="0" borderId="25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right" vertical="center" wrapText="1"/>
    </xf>
    <xf numFmtId="0" fontId="72" fillId="0" borderId="23" xfId="0" applyFont="1" applyBorder="1" applyAlignment="1">
      <alignment vertical="center" wrapText="1"/>
    </xf>
    <xf numFmtId="0" fontId="72" fillId="0" borderId="24" xfId="0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wrapText="1"/>
    </xf>
    <xf numFmtId="4" fontId="80" fillId="0" borderId="24" xfId="0" applyNumberFormat="1" applyFont="1" applyBorder="1" applyAlignment="1">
      <alignment horizontal="right" vertical="center" wrapText="1"/>
    </xf>
    <xf numFmtId="0" fontId="43" fillId="0" borderId="24" xfId="0" applyFont="1" applyBorder="1" applyAlignment="1">
      <alignment horizontal="right" vertical="center" wrapText="1"/>
    </xf>
    <xf numFmtId="0" fontId="0" fillId="29" borderId="0" xfId="0" applyFill="1"/>
    <xf numFmtId="0" fontId="27" fillId="0" borderId="20" xfId="0" applyFont="1" applyBorder="1" applyAlignment="1">
      <alignment vertical="center" wrapText="1"/>
    </xf>
    <xf numFmtId="0" fontId="80" fillId="0" borderId="24" xfId="0" applyFont="1" applyBorder="1" applyAlignment="1">
      <alignment horizontal="center" vertical="center" wrapText="1"/>
    </xf>
    <xf numFmtId="0" fontId="22" fillId="0" borderId="20" xfId="0" applyFont="1" applyBorder="1" applyAlignment="1">
      <alignment vertical="center" wrapText="1"/>
    </xf>
    <xf numFmtId="0" fontId="43" fillId="0" borderId="24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justify" vertical="center" wrapText="1"/>
    </xf>
    <xf numFmtId="0" fontId="43" fillId="0" borderId="26" xfId="0" applyFont="1" applyBorder="1" applyAlignment="1">
      <alignment horizontal="center" vertical="center" wrapText="1"/>
    </xf>
    <xf numFmtId="0" fontId="72" fillId="0" borderId="23" xfId="0" applyFont="1" applyBorder="1" applyAlignment="1">
      <alignment horizontal="justify" vertical="center" wrapText="1"/>
    </xf>
    <xf numFmtId="0" fontId="43" fillId="0" borderId="25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0" fontId="72" fillId="0" borderId="26" xfId="0" applyFont="1" applyBorder="1" applyAlignment="1">
      <alignment horizontal="center" vertical="center" wrapText="1"/>
    </xf>
    <xf numFmtId="0" fontId="72" fillId="0" borderId="25" xfId="0" applyFont="1" applyBorder="1" applyAlignment="1">
      <alignment horizontal="right" vertical="center" wrapText="1"/>
    </xf>
    <xf numFmtId="0" fontId="72" fillId="0" borderId="19" xfId="0" applyFont="1" applyBorder="1" applyAlignment="1">
      <alignment horizontal="center" vertical="center" wrapText="1"/>
    </xf>
    <xf numFmtId="0" fontId="51" fillId="0" borderId="26" xfId="0" applyFont="1" applyBorder="1" applyAlignment="1">
      <alignment vertical="top" wrapText="1"/>
    </xf>
    <xf numFmtId="0" fontId="51" fillId="0" borderId="24" xfId="0" applyFont="1" applyBorder="1" applyAlignment="1">
      <alignment horizontal="center" vertical="center" wrapText="1"/>
    </xf>
    <xf numFmtId="0" fontId="80" fillId="0" borderId="20" xfId="0" applyFont="1" applyBorder="1" applyAlignment="1">
      <alignment vertical="center" wrapText="1"/>
    </xf>
    <xf numFmtId="2" fontId="43" fillId="35" borderId="2" xfId="0" applyNumberFormat="1" applyFont="1" applyFill="1" applyBorder="1" applyAlignment="1">
      <alignment wrapText="1"/>
    </xf>
    <xf numFmtId="0" fontId="7" fillId="8" borderId="1" xfId="0" applyFont="1" applyFill="1" applyBorder="1" applyAlignment="1">
      <alignment horizontal="center"/>
    </xf>
    <xf numFmtId="2" fontId="5" fillId="0" borderId="2" xfId="0" applyNumberFormat="1" applyFont="1" applyBorder="1" applyAlignment="1">
      <alignment wrapText="1"/>
    </xf>
    <xf numFmtId="2" fontId="36" fillId="0" borderId="1" xfId="0" applyNumberFormat="1" applyFont="1" applyBorder="1" applyAlignment="1">
      <alignment horizontal="left" wrapText="1"/>
    </xf>
    <xf numFmtId="2" fontId="81" fillId="35" borderId="2" xfId="0" applyNumberFormat="1" applyFont="1" applyFill="1" applyBorder="1" applyAlignment="1">
      <alignment wrapText="1"/>
    </xf>
    <xf numFmtId="2" fontId="84" fillId="29" borderId="2" xfId="0" applyNumberFormat="1" applyFont="1" applyFill="1" applyBorder="1" applyAlignment="1">
      <alignment horizontal="center" wrapText="1"/>
    </xf>
    <xf numFmtId="49" fontId="62" fillId="0" borderId="1" xfId="0" applyNumberFormat="1" applyFont="1" applyBorder="1" applyAlignment="1">
      <alignment horizontal="center" wrapText="1"/>
    </xf>
    <xf numFmtId="0" fontId="37" fillId="0" borderId="4" xfId="0" applyFont="1" applyBorder="1" applyAlignment="1">
      <alignment horizontal="center" wrapText="1"/>
    </xf>
    <xf numFmtId="0" fontId="37" fillId="0" borderId="5" xfId="0" applyFont="1" applyBorder="1" applyAlignment="1">
      <alignment horizontal="center" wrapText="1"/>
    </xf>
    <xf numFmtId="0" fontId="49" fillId="8" borderId="4" xfId="0" applyFont="1" applyFill="1" applyBorder="1" applyAlignment="1">
      <alignment horizontal="center" wrapText="1"/>
    </xf>
    <xf numFmtId="0" fontId="49" fillId="8" borderId="6" xfId="0" applyFont="1" applyFill="1" applyBorder="1" applyAlignment="1">
      <alignment horizontal="center" wrapText="1"/>
    </xf>
    <xf numFmtId="0" fontId="49" fillId="8" borderId="5" xfId="0" applyFont="1" applyFill="1" applyBorder="1" applyAlignment="1">
      <alignment horizontal="center" wrapText="1"/>
    </xf>
    <xf numFmtId="0" fontId="58" fillId="8" borderId="1" xfId="0" applyFont="1" applyFill="1" applyBorder="1" applyAlignment="1">
      <alignment horizontal="center" wrapText="1"/>
    </xf>
    <xf numFmtId="0" fontId="40" fillId="0" borderId="4" xfId="0" applyFont="1" applyBorder="1" applyAlignment="1">
      <alignment horizontal="center" wrapText="1"/>
    </xf>
    <xf numFmtId="0" fontId="40" fillId="0" borderId="5" xfId="0" applyFont="1" applyBorder="1" applyAlignment="1">
      <alignment horizontal="center" wrapText="1"/>
    </xf>
    <xf numFmtId="0" fontId="37" fillId="22" borderId="1" xfId="0" applyFont="1" applyFill="1" applyBorder="1" applyAlignment="1">
      <alignment wrapText="1"/>
    </xf>
    <xf numFmtId="0" fontId="37" fillId="0" borderId="0" xfId="0" applyFont="1" applyAlignment="1">
      <alignment wrapText="1"/>
    </xf>
    <xf numFmtId="0" fontId="37" fillId="4" borderId="0" xfId="0" applyFont="1" applyFill="1" applyAlignment="1">
      <alignment wrapText="1"/>
    </xf>
    <xf numFmtId="0" fontId="38" fillId="0" borderId="0" xfId="0" applyFont="1"/>
    <xf numFmtId="0" fontId="37" fillId="38" borderId="0" xfId="0" applyFont="1" applyFill="1" applyAlignment="1">
      <alignment wrapText="1"/>
    </xf>
    <xf numFmtId="0" fontId="49" fillId="0" borderId="0" xfId="0" applyFont="1" applyAlignment="1">
      <alignment wrapText="1"/>
    </xf>
    <xf numFmtId="0" fontId="37" fillId="0" borderId="16" xfId="0" applyFont="1" applyBorder="1" applyAlignment="1">
      <alignment wrapText="1"/>
    </xf>
    <xf numFmtId="0" fontId="37" fillId="7" borderId="0" xfId="0" applyFont="1" applyFill="1" applyAlignment="1">
      <alignment wrapText="1"/>
    </xf>
    <xf numFmtId="0" fontId="49" fillId="22" borderId="17" xfId="0" applyFont="1" applyFill="1" applyBorder="1" applyAlignment="1">
      <alignment wrapText="1"/>
    </xf>
    <xf numFmtId="0" fontId="49" fillId="22" borderId="19" xfId="0" applyFont="1" applyFill="1" applyBorder="1" applyAlignment="1">
      <alignment horizontal="center" wrapText="1"/>
    </xf>
    <xf numFmtId="0" fontId="49" fillId="6" borderId="3" xfId="0" applyFont="1" applyFill="1" applyBorder="1" applyAlignment="1">
      <alignment horizontal="center" wrapText="1"/>
    </xf>
    <xf numFmtId="0" fontId="37" fillId="0" borderId="3" xfId="0" applyFont="1" applyBorder="1" applyAlignment="1">
      <alignment wrapText="1"/>
    </xf>
    <xf numFmtId="0" fontId="37" fillId="0" borderId="2" xfId="0" applyFont="1" applyBorder="1" applyAlignment="1">
      <alignment wrapText="1"/>
    </xf>
    <xf numFmtId="0" fontId="49" fillId="4" borderId="5" xfId="0" applyFont="1" applyFill="1" applyBorder="1" applyAlignment="1">
      <alignment wrapText="1"/>
    </xf>
    <xf numFmtId="0" fontId="49" fillId="0" borderId="11" xfId="0" applyFont="1" applyBorder="1" applyAlignment="1">
      <alignment wrapText="1"/>
    </xf>
    <xf numFmtId="0" fontId="49" fillId="6" borderId="12" xfId="0" applyFont="1" applyFill="1" applyBorder="1" applyAlignment="1">
      <alignment wrapText="1"/>
    </xf>
    <xf numFmtId="0" fontId="49" fillId="0" borderId="5" xfId="0" applyFont="1" applyBorder="1" applyAlignment="1">
      <alignment horizontal="left" wrapText="1"/>
    </xf>
    <xf numFmtId="0" fontId="58" fillId="0" borderId="11" xfId="0" applyFont="1" applyBorder="1" applyAlignment="1">
      <alignment wrapText="1"/>
    </xf>
    <xf numFmtId="0" fontId="49" fillId="0" borderId="11" xfId="0" applyFont="1" applyBorder="1" applyAlignment="1">
      <alignment horizontal="center" wrapText="1"/>
    </xf>
    <xf numFmtId="0" fontId="49" fillId="0" borderId="3" xfId="0" applyFont="1" applyBorder="1" applyAlignment="1">
      <alignment wrapText="1"/>
    </xf>
    <xf numFmtId="0" fontId="127" fillId="0" borderId="1" xfId="0" applyFont="1" applyBorder="1" applyAlignment="1">
      <alignment wrapText="1"/>
    </xf>
    <xf numFmtId="0" fontId="88" fillId="0" borderId="1" xfId="0" applyFont="1" applyBorder="1" applyAlignment="1">
      <alignment wrapText="1"/>
    </xf>
    <xf numFmtId="0" fontId="128" fillId="0" borderId="2" xfId="0" applyFont="1" applyBorder="1" applyAlignment="1">
      <alignment wrapText="1"/>
    </xf>
    <xf numFmtId="0" fontId="49" fillId="4" borderId="1" xfId="0" applyFont="1" applyFill="1" applyBorder="1" applyAlignment="1">
      <alignment wrapText="1"/>
    </xf>
    <xf numFmtId="0" fontId="37" fillId="6" borderId="1" xfId="0" applyFont="1" applyFill="1" applyBorder="1" applyAlignment="1">
      <alignment wrapText="1"/>
    </xf>
    <xf numFmtId="0" fontId="37" fillId="0" borderId="8" xfId="0" applyFont="1" applyBorder="1" applyAlignment="1">
      <alignment wrapText="1"/>
    </xf>
    <xf numFmtId="0" fontId="49" fillId="4" borderId="1" xfId="0" applyFont="1" applyFill="1" applyBorder="1" applyAlignment="1">
      <alignment horizontal="center" wrapText="1"/>
    </xf>
    <xf numFmtId="0" fontId="49" fillId="4" borderId="1" xfId="0" applyFont="1" applyFill="1" applyBorder="1" applyAlignment="1">
      <alignment horizontal="left" wrapText="1"/>
    </xf>
    <xf numFmtId="0" fontId="49" fillId="4" borderId="2" xfId="0" applyFont="1" applyFill="1" applyBorder="1" applyAlignment="1">
      <alignment wrapText="1"/>
    </xf>
    <xf numFmtId="0" fontId="49" fillId="6" borderId="3" xfId="0" applyFont="1" applyFill="1" applyBorder="1" applyAlignment="1">
      <alignment wrapText="1"/>
    </xf>
    <xf numFmtId="0" fontId="37" fillId="4" borderId="1" xfId="0" applyFont="1" applyFill="1" applyBorder="1" applyAlignment="1">
      <alignment wrapText="1"/>
    </xf>
    <xf numFmtId="0" fontId="37" fillId="4" borderId="2" xfId="0" applyFont="1" applyFill="1" applyBorder="1" applyAlignment="1">
      <alignment wrapText="1"/>
    </xf>
    <xf numFmtId="49" fontId="37" fillId="8" borderId="1" xfId="0" applyNumberFormat="1" applyFont="1" applyFill="1" applyBorder="1" applyAlignment="1">
      <alignment horizontal="center" wrapText="1"/>
    </xf>
    <xf numFmtId="0" fontId="37" fillId="22" borderId="1" xfId="0" applyFont="1" applyFill="1" applyBorder="1" applyAlignment="1">
      <alignment horizontal="left" wrapText="1"/>
    </xf>
    <xf numFmtId="0" fontId="37" fillId="8" borderId="1" xfId="0" applyFont="1" applyFill="1" applyBorder="1" applyAlignment="1">
      <alignment wrapText="1"/>
    </xf>
    <xf numFmtId="0" fontId="37" fillId="8" borderId="2" xfId="0" applyFont="1" applyFill="1" applyBorder="1" applyAlignment="1">
      <alignment wrapText="1"/>
    </xf>
    <xf numFmtId="0" fontId="58" fillId="8" borderId="3" xfId="0" applyFont="1" applyFill="1" applyBorder="1" applyAlignment="1">
      <alignment wrapText="1"/>
    </xf>
    <xf numFmtId="0" fontId="37" fillId="6" borderId="3" xfId="0" applyFont="1" applyFill="1" applyBorder="1" applyAlignment="1">
      <alignment wrapText="1"/>
    </xf>
    <xf numFmtId="0" fontId="37" fillId="8" borderId="0" xfId="0" applyFont="1" applyFill="1" applyAlignment="1">
      <alignment wrapText="1"/>
    </xf>
    <xf numFmtId="0" fontId="37" fillId="15" borderId="1" xfId="0" applyFont="1" applyFill="1" applyBorder="1" applyAlignment="1">
      <alignment horizontal="left" wrapText="1"/>
    </xf>
    <xf numFmtId="0" fontId="37" fillId="15" borderId="1" xfId="0" applyFont="1" applyFill="1" applyBorder="1" applyAlignment="1">
      <alignment wrapText="1"/>
    </xf>
    <xf numFmtId="0" fontId="37" fillId="15" borderId="2" xfId="0" applyFont="1" applyFill="1" applyBorder="1" applyAlignment="1">
      <alignment wrapText="1"/>
    </xf>
    <xf numFmtId="0" fontId="37" fillId="15" borderId="0" xfId="0" applyFont="1" applyFill="1" applyAlignment="1">
      <alignment wrapText="1"/>
    </xf>
    <xf numFmtId="0" fontId="49" fillId="0" borderId="1" xfId="0" applyFont="1" applyBorder="1" applyAlignment="1">
      <alignment horizontal="left" wrapText="1"/>
    </xf>
    <xf numFmtId="2" fontId="37" fillId="0" borderId="1" xfId="0" applyNumberFormat="1" applyFont="1" applyBorder="1" applyAlignment="1">
      <alignment wrapText="1"/>
    </xf>
    <xf numFmtId="0" fontId="49" fillId="6" borderId="1" xfId="0" applyFont="1" applyFill="1" applyBorder="1" applyAlignment="1">
      <alignment wrapText="1"/>
    </xf>
    <xf numFmtId="0" fontId="37" fillId="0" borderId="1" xfId="0" applyFont="1" applyBorder="1" applyAlignment="1">
      <alignment horizontal="left" wrapText="1"/>
    </xf>
    <xf numFmtId="2" fontId="58" fillId="0" borderId="1" xfId="0" applyNumberFormat="1" applyFont="1" applyBorder="1" applyAlignment="1">
      <alignment wrapText="1"/>
    </xf>
    <xf numFmtId="0" fontId="58" fillId="0" borderId="3" xfId="0" applyFont="1" applyBorder="1" applyAlignment="1">
      <alignment wrapText="1"/>
    </xf>
    <xf numFmtId="2" fontId="37" fillId="4" borderId="1" xfId="0" applyNumberFormat="1" applyFont="1" applyFill="1" applyBorder="1" applyAlignment="1">
      <alignment wrapText="1"/>
    </xf>
    <xf numFmtId="0" fontId="124" fillId="6" borderId="3" xfId="0" applyFont="1" applyFill="1" applyBorder="1" applyAlignment="1">
      <alignment wrapText="1"/>
    </xf>
    <xf numFmtId="0" fontId="124" fillId="0" borderId="1" xfId="0" applyFont="1" applyBorder="1" applyAlignment="1">
      <alignment wrapText="1"/>
    </xf>
    <xf numFmtId="0" fontId="58" fillId="0" borderId="2" xfId="0" applyFont="1" applyBorder="1" applyAlignment="1">
      <alignment wrapText="1"/>
    </xf>
    <xf numFmtId="14" fontId="37" fillId="8" borderId="2" xfId="0" applyNumberFormat="1" applyFont="1" applyFill="1" applyBorder="1" applyAlignment="1">
      <alignment wrapText="1"/>
    </xf>
    <xf numFmtId="0" fontId="49" fillId="0" borderId="2" xfId="0" applyFont="1" applyBorder="1" applyAlignment="1">
      <alignment horizontal="left" wrapText="1"/>
    </xf>
    <xf numFmtId="0" fontId="58" fillId="4" borderId="1" xfId="0" applyFont="1" applyFill="1" applyBorder="1" applyAlignment="1">
      <alignment wrapText="1"/>
    </xf>
    <xf numFmtId="0" fontId="40" fillId="8" borderId="2" xfId="0" applyFont="1" applyFill="1" applyBorder="1" applyAlignment="1">
      <alignment wrapText="1"/>
    </xf>
    <xf numFmtId="14" fontId="37" fillId="0" borderId="2" xfId="0" applyNumberFormat="1" applyFont="1" applyBorder="1" applyAlignment="1">
      <alignment wrapText="1"/>
    </xf>
    <xf numFmtId="0" fontId="37" fillId="0" borderId="6" xfId="0" applyFont="1" applyBorder="1" applyAlignment="1">
      <alignment horizontal="center" wrapText="1"/>
    </xf>
    <xf numFmtId="0" fontId="124" fillId="8" borderId="1" xfId="0" applyFont="1" applyFill="1" applyBorder="1" applyAlignment="1">
      <alignment wrapText="1"/>
    </xf>
    <xf numFmtId="0" fontId="49" fillId="15" borderId="1" xfId="0" applyFont="1" applyFill="1" applyBorder="1" applyAlignment="1">
      <alignment horizontal="left" wrapText="1"/>
    </xf>
    <xf numFmtId="0" fontId="49" fillId="15" borderId="1" xfId="0" applyFont="1" applyFill="1" applyBorder="1" applyAlignment="1">
      <alignment wrapText="1"/>
    </xf>
    <xf numFmtId="2" fontId="40" fillId="15" borderId="1" xfId="0" applyNumberFormat="1" applyFont="1" applyFill="1" applyBorder="1" applyAlignment="1">
      <alignment wrapText="1"/>
    </xf>
    <xf numFmtId="2" fontId="40" fillId="15" borderId="1" xfId="0" applyNumberFormat="1" applyFont="1" applyFill="1" applyBorder="1" applyAlignment="1">
      <alignment horizontal="right" wrapText="1"/>
    </xf>
    <xf numFmtId="0" fontId="49" fillId="6" borderId="2" xfId="0" applyFont="1" applyFill="1" applyBorder="1" applyAlignment="1">
      <alignment wrapText="1"/>
    </xf>
    <xf numFmtId="2" fontId="49" fillId="6" borderId="1" xfId="0" applyNumberFormat="1" applyFont="1" applyFill="1" applyBorder="1" applyAlignment="1">
      <alignment wrapText="1"/>
    </xf>
    <xf numFmtId="2" fontId="40" fillId="0" borderId="1" xfId="0" applyNumberFormat="1" applyFont="1" applyBorder="1" applyAlignment="1">
      <alignment wrapText="1"/>
    </xf>
    <xf numFmtId="4" fontId="58" fillId="0" borderId="0" xfId="0" applyNumberFormat="1" applyFont="1" applyAlignment="1">
      <alignment wrapText="1"/>
    </xf>
    <xf numFmtId="2" fontId="49" fillId="6" borderId="3" xfId="0" applyNumberFormat="1" applyFont="1" applyFill="1" applyBorder="1" applyAlignment="1">
      <alignment wrapText="1"/>
    </xf>
    <xf numFmtId="0" fontId="49" fillId="0" borderId="7" xfId="0" applyFont="1" applyBorder="1" applyAlignment="1">
      <alignment wrapText="1"/>
    </xf>
    <xf numFmtId="0" fontId="37" fillId="0" borderId="7" xfId="0" applyFont="1" applyBorder="1" applyAlignment="1">
      <alignment wrapText="1"/>
    </xf>
    <xf numFmtId="0" fontId="58" fillId="4" borderId="2" xfId="0" applyFont="1" applyFill="1" applyBorder="1" applyAlignment="1">
      <alignment wrapText="1"/>
    </xf>
    <xf numFmtId="0" fontId="49" fillId="4" borderId="2" xfId="0" applyFont="1" applyFill="1" applyBorder="1" applyAlignment="1">
      <alignment horizontal="left" wrapText="1"/>
    </xf>
    <xf numFmtId="0" fontId="49" fillId="4" borderId="3" xfId="0" applyFont="1" applyFill="1" applyBorder="1" applyAlignment="1">
      <alignment horizontal="left" wrapText="1"/>
    </xf>
    <xf numFmtId="0" fontId="37" fillId="4" borderId="4" xfId="0" applyFont="1" applyFill="1" applyBorder="1" applyAlignment="1">
      <alignment wrapText="1"/>
    </xf>
    <xf numFmtId="0" fontId="49" fillId="4" borderId="4" xfId="0" applyFont="1" applyFill="1" applyBorder="1" applyAlignment="1">
      <alignment wrapText="1"/>
    </xf>
    <xf numFmtId="0" fontId="49" fillId="8" borderId="1" xfId="0" applyFont="1" applyFill="1" applyBorder="1" applyAlignment="1">
      <alignment horizontal="left" wrapText="1"/>
    </xf>
    <xf numFmtId="0" fontId="58" fillId="8" borderId="4" xfId="0" applyFont="1" applyFill="1" applyBorder="1" applyAlignment="1">
      <alignment wrapText="1"/>
    </xf>
    <xf numFmtId="0" fontId="49" fillId="8" borderId="4" xfId="0" applyFont="1" applyFill="1" applyBorder="1" applyAlignment="1">
      <alignment wrapText="1"/>
    </xf>
    <xf numFmtId="2" fontId="37" fillId="8" borderId="1" xfId="0" applyNumberFormat="1" applyFont="1" applyFill="1" applyBorder="1" applyAlignment="1">
      <alignment wrapText="1"/>
    </xf>
    <xf numFmtId="0" fontId="49" fillId="8" borderId="2" xfId="0" applyFont="1" applyFill="1" applyBorder="1" applyAlignment="1">
      <alignment wrapText="1"/>
    </xf>
    <xf numFmtId="0" fontId="58" fillId="8" borderId="2" xfId="0" applyFont="1" applyFill="1" applyBorder="1" applyAlignment="1">
      <alignment wrapText="1"/>
    </xf>
    <xf numFmtId="0" fontId="40" fillId="8" borderId="1" xfId="0" applyFont="1" applyFill="1" applyBorder="1" applyAlignment="1">
      <alignment wrapText="1"/>
    </xf>
    <xf numFmtId="4" fontId="37" fillId="8" borderId="1" xfId="0" applyNumberFormat="1" applyFont="1" applyFill="1" applyBorder="1" applyAlignment="1">
      <alignment wrapText="1"/>
    </xf>
    <xf numFmtId="4" fontId="40" fillId="8" borderId="1" xfId="0" applyNumberFormat="1" applyFont="1" applyFill="1" applyBorder="1" applyAlignment="1">
      <alignment wrapText="1"/>
    </xf>
    <xf numFmtId="0" fontId="49" fillId="0" borderId="1" xfId="0" applyFont="1" applyBorder="1" applyAlignment="1">
      <alignment horizontal="right" wrapText="1"/>
    </xf>
    <xf numFmtId="0" fontId="37" fillId="8" borderId="3" xfId="0" applyFont="1" applyFill="1" applyBorder="1" applyAlignment="1">
      <alignment wrapText="1"/>
    </xf>
    <xf numFmtId="14" fontId="37" fillId="8" borderId="1" xfId="0" applyNumberFormat="1" applyFont="1" applyFill="1" applyBorder="1" applyAlignment="1">
      <alignment wrapText="1"/>
    </xf>
    <xf numFmtId="4" fontId="40" fillId="8" borderId="0" xfId="0" applyNumberFormat="1" applyFont="1" applyFill="1" applyAlignment="1">
      <alignment wrapText="1"/>
    </xf>
    <xf numFmtId="0" fontId="37" fillId="8" borderId="6" xfId="0" applyFont="1" applyFill="1" applyBorder="1" applyAlignment="1">
      <alignment horizontal="center" wrapText="1"/>
    </xf>
    <xf numFmtId="0" fontId="49" fillId="8" borderId="6" xfId="0" applyFont="1" applyFill="1" applyBorder="1" applyAlignment="1">
      <alignment wrapText="1"/>
    </xf>
    <xf numFmtId="14" fontId="37" fillId="0" borderId="6" xfId="0" applyNumberFormat="1" applyFont="1" applyBorder="1" applyAlignment="1">
      <alignment wrapText="1"/>
    </xf>
    <xf numFmtId="0" fontId="37" fillId="8" borderId="4" xfId="0" applyFont="1" applyFill="1" applyBorder="1" applyAlignment="1">
      <alignment wrapText="1"/>
    </xf>
    <xf numFmtId="0" fontId="58" fillId="8" borderId="6" xfId="0" applyFont="1" applyFill="1" applyBorder="1" applyAlignment="1">
      <alignment horizontal="center" wrapText="1"/>
    </xf>
    <xf numFmtId="14" fontId="37" fillId="0" borderId="4" xfId="0" applyNumberFormat="1" applyFont="1" applyBorder="1" applyAlignment="1">
      <alignment wrapText="1"/>
    </xf>
    <xf numFmtId="0" fontId="37" fillId="8" borderId="6" xfId="0" applyFont="1" applyFill="1" applyBorder="1" applyAlignment="1">
      <alignment wrapText="1"/>
    </xf>
    <xf numFmtId="0" fontId="49" fillId="4" borderId="6" xfId="0" applyFont="1" applyFill="1" applyBorder="1" applyAlignment="1">
      <alignment horizontal="right" wrapText="1"/>
    </xf>
    <xf numFmtId="14" fontId="37" fillId="8" borderId="8" xfId="0" applyNumberFormat="1" applyFont="1" applyFill="1" applyBorder="1" applyAlignment="1">
      <alignment wrapText="1"/>
    </xf>
    <xf numFmtId="0" fontId="49" fillId="8" borderId="5" xfId="0" applyFont="1" applyFill="1" applyBorder="1" applyAlignment="1">
      <alignment wrapText="1"/>
    </xf>
    <xf numFmtId="14" fontId="37" fillId="0" borderId="5" xfId="0" applyNumberFormat="1" applyFont="1" applyBorder="1" applyAlignment="1">
      <alignment wrapText="1"/>
    </xf>
    <xf numFmtId="0" fontId="58" fillId="8" borderId="5" xfId="0" applyFont="1" applyFill="1" applyBorder="1" applyAlignment="1">
      <alignment horizontal="right" wrapText="1"/>
    </xf>
    <xf numFmtId="0" fontId="40" fillId="22" borderId="1" xfId="0" applyFont="1" applyFill="1" applyBorder="1" applyAlignment="1">
      <alignment wrapText="1"/>
    </xf>
    <xf numFmtId="0" fontId="37" fillId="8" borderId="2" xfId="0" applyFont="1" applyFill="1" applyBorder="1" applyAlignment="1">
      <alignment horizontal="right" wrapText="1"/>
    </xf>
    <xf numFmtId="14" fontId="49" fillId="8" borderId="8" xfId="0" applyNumberFormat="1" applyFont="1" applyFill="1" applyBorder="1" applyAlignment="1">
      <alignment wrapText="1"/>
    </xf>
    <xf numFmtId="0" fontId="49" fillId="22" borderId="1" xfId="0" applyFont="1" applyFill="1" applyBorder="1" applyAlignment="1">
      <alignment wrapText="1"/>
    </xf>
    <xf numFmtId="0" fontId="37" fillId="3" borderId="1" xfId="0" applyFont="1" applyFill="1" applyBorder="1" applyAlignment="1">
      <alignment wrapText="1"/>
    </xf>
    <xf numFmtId="0" fontId="37" fillId="3" borderId="2" xfId="0" applyFont="1" applyFill="1" applyBorder="1" applyAlignment="1">
      <alignment wrapText="1"/>
    </xf>
    <xf numFmtId="0" fontId="37" fillId="3" borderId="0" xfId="0" applyFont="1" applyFill="1" applyAlignment="1">
      <alignment wrapText="1"/>
    </xf>
    <xf numFmtId="0" fontId="40" fillId="0" borderId="2" xfId="0" applyFont="1" applyBorder="1" applyAlignment="1">
      <alignment wrapText="1"/>
    </xf>
    <xf numFmtId="0" fontId="37" fillId="8" borderId="4" xfId="0" applyFont="1" applyFill="1" applyBorder="1" applyAlignment="1">
      <alignment horizontal="center" wrapText="1"/>
    </xf>
    <xf numFmtId="0" fontId="49" fillId="22" borderId="4" xfId="0" applyFont="1" applyFill="1" applyBorder="1" applyAlignment="1">
      <alignment horizontal="left" wrapText="1"/>
    </xf>
    <xf numFmtId="0" fontId="49" fillId="22" borderId="4" xfId="0" applyFont="1" applyFill="1" applyBorder="1" applyAlignment="1">
      <alignment wrapText="1"/>
    </xf>
    <xf numFmtId="0" fontId="37" fillId="4" borderId="1" xfId="0" applyFont="1" applyFill="1" applyBorder="1" applyAlignment="1">
      <alignment horizontal="right" wrapText="1"/>
    </xf>
    <xf numFmtId="0" fontId="40" fillId="0" borderId="0" xfId="0" applyFont="1" applyAlignment="1">
      <alignment wrapText="1"/>
    </xf>
    <xf numFmtId="4" fontId="37" fillId="0" borderId="0" xfId="0" applyNumberFormat="1" applyFont="1" applyAlignment="1">
      <alignment wrapText="1"/>
    </xf>
    <xf numFmtId="14" fontId="49" fillId="0" borderId="2" xfId="0" applyNumberFormat="1" applyFont="1" applyBorder="1" applyAlignment="1">
      <alignment wrapText="1"/>
    </xf>
    <xf numFmtId="0" fontId="37" fillId="0" borderId="11" xfId="0" applyFont="1" applyBorder="1" applyAlignment="1">
      <alignment wrapText="1"/>
    </xf>
    <xf numFmtId="0" fontId="37" fillId="23" borderId="1" xfId="0" applyFont="1" applyFill="1" applyBorder="1" applyAlignment="1">
      <alignment wrapText="1"/>
    </xf>
    <xf numFmtId="0" fontId="37" fillId="8" borderId="5" xfId="0" applyFont="1" applyFill="1" applyBorder="1" applyAlignment="1">
      <alignment horizontal="center" wrapText="1"/>
    </xf>
    <xf numFmtId="49" fontId="49" fillId="0" borderId="5" xfId="0" applyNumberFormat="1" applyFont="1" applyBorder="1" applyAlignment="1">
      <alignment horizontal="center" wrapText="1"/>
    </xf>
    <xf numFmtId="14" fontId="37" fillId="8" borderId="5" xfId="0" applyNumberFormat="1" applyFont="1" applyFill="1" applyBorder="1" applyAlignment="1">
      <alignment horizontal="center" wrapText="1"/>
    </xf>
    <xf numFmtId="0" fontId="49" fillId="4" borderId="1" xfId="0" applyFont="1" applyFill="1" applyBorder="1" applyAlignment="1">
      <alignment horizontal="right" wrapText="1"/>
    </xf>
    <xf numFmtId="14" fontId="37" fillId="0" borderId="1" xfId="0" applyNumberFormat="1" applyFont="1" applyBorder="1" applyAlignment="1">
      <alignment wrapText="1"/>
    </xf>
    <xf numFmtId="14" fontId="37" fillId="0" borderId="2" xfId="0" applyNumberFormat="1" applyFont="1" applyBorder="1" applyAlignment="1">
      <alignment horizontal="right" wrapText="1"/>
    </xf>
    <xf numFmtId="4" fontId="37" fillId="4" borderId="1" xfId="0" applyNumberFormat="1" applyFont="1" applyFill="1" applyBorder="1" applyAlignment="1">
      <alignment wrapText="1"/>
    </xf>
    <xf numFmtId="0" fontId="40" fillId="7" borderId="1" xfId="0" applyFont="1" applyFill="1" applyBorder="1" applyAlignment="1">
      <alignment wrapText="1"/>
    </xf>
    <xf numFmtId="0" fontId="40" fillId="7" borderId="2" xfId="0" applyFont="1" applyFill="1" applyBorder="1" applyAlignment="1">
      <alignment wrapText="1"/>
    </xf>
    <xf numFmtId="0" fontId="49" fillId="0" borderId="15" xfId="0" applyFont="1" applyBorder="1" applyAlignment="1">
      <alignment wrapText="1"/>
    </xf>
    <xf numFmtId="14" fontId="49" fillId="0" borderId="6" xfId="0" applyNumberFormat="1" applyFont="1" applyBorder="1" applyAlignment="1">
      <alignment wrapText="1"/>
    </xf>
    <xf numFmtId="4" fontId="37" fillId="0" borderId="13" xfId="0" applyNumberFormat="1" applyFont="1" applyBorder="1" applyAlignment="1">
      <alignment wrapText="1"/>
    </xf>
    <xf numFmtId="14" fontId="58" fillId="0" borderId="2" xfId="0" applyNumberFormat="1" applyFont="1" applyBorder="1" applyAlignment="1">
      <alignment wrapText="1"/>
    </xf>
    <xf numFmtId="164" fontId="49" fillId="0" borderId="1" xfId="0" applyNumberFormat="1" applyFont="1" applyBorder="1" applyAlignment="1">
      <alignment wrapText="1"/>
    </xf>
    <xf numFmtId="14" fontId="49" fillId="0" borderId="5" xfId="0" applyNumberFormat="1" applyFont="1" applyBorder="1" applyAlignment="1">
      <alignment wrapText="1"/>
    </xf>
    <xf numFmtId="4" fontId="37" fillId="0" borderId="5" xfId="0" applyNumberFormat="1" applyFont="1" applyBorder="1" applyAlignment="1">
      <alignment wrapText="1"/>
    </xf>
    <xf numFmtId="0" fontId="49" fillId="0" borderId="5" xfId="0" applyFont="1" applyBorder="1" applyAlignment="1">
      <alignment horizontal="right" wrapText="1"/>
    </xf>
    <xf numFmtId="0" fontId="49" fillId="10" borderId="1" xfId="0" applyFont="1" applyFill="1" applyBorder="1" applyAlignment="1">
      <alignment wrapText="1"/>
    </xf>
    <xf numFmtId="0" fontId="49" fillId="10" borderId="2" xfId="0" applyFont="1" applyFill="1" applyBorder="1" applyAlignment="1">
      <alignment wrapText="1"/>
    </xf>
    <xf numFmtId="4" fontId="37" fillId="8" borderId="4" xfId="0" applyNumberFormat="1" applyFont="1" applyFill="1" applyBorder="1" applyAlignment="1">
      <alignment horizontal="right" wrapText="1"/>
    </xf>
    <xf numFmtId="4" fontId="37" fillId="8" borderId="5" xfId="0" applyNumberFormat="1" applyFont="1" applyFill="1" applyBorder="1" applyAlignment="1">
      <alignment horizontal="right" wrapText="1"/>
    </xf>
    <xf numFmtId="14" fontId="49" fillId="0" borderId="1" xfId="0" applyNumberFormat="1" applyFont="1" applyBorder="1" applyAlignment="1">
      <alignment wrapText="1"/>
    </xf>
    <xf numFmtId="49" fontId="49" fillId="0" borderId="1" xfId="0" applyNumberFormat="1" applyFont="1" applyBorder="1" applyAlignment="1">
      <alignment wrapText="1"/>
    </xf>
    <xf numFmtId="4" fontId="58" fillId="0" borderId="2" xfId="0" applyNumberFormat="1" applyFont="1" applyBorder="1" applyAlignment="1">
      <alignment wrapText="1"/>
    </xf>
    <xf numFmtId="0" fontId="40" fillId="0" borderId="3" xfId="0" applyFont="1" applyBorder="1" applyAlignment="1">
      <alignment wrapText="1"/>
    </xf>
    <xf numFmtId="0" fontId="49" fillId="8" borderId="3" xfId="0" applyFont="1" applyFill="1" applyBorder="1" applyAlignment="1">
      <alignment wrapText="1"/>
    </xf>
    <xf numFmtId="14" fontId="40" fillId="8" borderId="2" xfId="0" applyNumberFormat="1" applyFont="1" applyFill="1" applyBorder="1" applyAlignment="1">
      <alignment wrapText="1"/>
    </xf>
    <xf numFmtId="0" fontId="40" fillId="8" borderId="1" xfId="0" applyFont="1" applyFill="1" applyBorder="1" applyAlignment="1">
      <alignment horizontal="center" wrapText="1"/>
    </xf>
    <xf numFmtId="49" fontId="37" fillId="0" borderId="1" xfId="0" applyNumberFormat="1" applyFont="1" applyBorder="1" applyAlignment="1">
      <alignment wrapText="1"/>
    </xf>
    <xf numFmtId="4" fontId="37" fillId="0" borderId="1" xfId="0" applyNumberFormat="1" applyFont="1" applyBorder="1" applyAlignment="1">
      <alignment horizontal="center" wrapText="1"/>
    </xf>
    <xf numFmtId="0" fontId="49" fillId="13" borderId="1" xfId="0" applyFont="1" applyFill="1" applyBorder="1" applyAlignment="1">
      <alignment wrapText="1"/>
    </xf>
    <xf numFmtId="14" fontId="49" fillId="6" borderId="1" xfId="0" applyNumberFormat="1" applyFont="1" applyFill="1" applyBorder="1" applyAlignment="1">
      <alignment wrapText="1"/>
    </xf>
    <xf numFmtId="49" fontId="131" fillId="0" borderId="1" xfId="0" applyNumberFormat="1" applyFont="1" applyBorder="1" applyAlignment="1">
      <alignment wrapText="1"/>
    </xf>
    <xf numFmtId="4" fontId="49" fillId="8" borderId="1" xfId="0" applyNumberFormat="1" applyFont="1" applyFill="1" applyBorder="1" applyAlignment="1">
      <alignment wrapText="1"/>
    </xf>
    <xf numFmtId="4" fontId="37" fillId="0" borderId="4" xfId="0" applyNumberFormat="1" applyFont="1" applyBorder="1" applyAlignment="1">
      <alignment wrapText="1"/>
    </xf>
    <xf numFmtId="4" fontId="49" fillId="0" borderId="8" xfId="0" applyNumberFormat="1" applyFont="1" applyBorder="1" applyAlignment="1">
      <alignment wrapText="1"/>
    </xf>
    <xf numFmtId="0" fontId="49" fillId="10" borderId="3" xfId="0" applyFont="1" applyFill="1" applyBorder="1" applyAlignment="1">
      <alignment wrapText="1"/>
    </xf>
    <xf numFmtId="0" fontId="124" fillId="10" borderId="1" xfId="0" applyFont="1" applyFill="1" applyBorder="1" applyAlignment="1">
      <alignment wrapText="1"/>
    </xf>
    <xf numFmtId="0" fontId="37" fillId="24" borderId="1" xfId="0" applyFont="1" applyFill="1" applyBorder="1" applyAlignment="1">
      <alignment wrapText="1"/>
    </xf>
    <xf numFmtId="14" fontId="37" fillId="10" borderId="2" xfId="0" applyNumberFormat="1" applyFont="1" applyFill="1" applyBorder="1" applyAlignment="1">
      <alignment wrapText="1"/>
    </xf>
    <xf numFmtId="4" fontId="37" fillId="8" borderId="6" xfId="0" applyNumberFormat="1" applyFont="1" applyFill="1" applyBorder="1" applyAlignment="1">
      <alignment horizontal="center" wrapText="1"/>
    </xf>
    <xf numFmtId="0" fontId="49" fillId="8" borderId="10" xfId="0" applyFont="1" applyFill="1" applyBorder="1" applyAlignment="1">
      <alignment wrapText="1"/>
    </xf>
    <xf numFmtId="0" fontId="132" fillId="8" borderId="1" xfId="0" applyFont="1" applyFill="1" applyBorder="1" applyAlignment="1">
      <alignment wrapText="1"/>
    </xf>
    <xf numFmtId="0" fontId="40" fillId="8" borderId="4" xfId="0" applyFont="1" applyFill="1" applyBorder="1" applyAlignment="1">
      <alignment horizontal="center" wrapText="1"/>
    </xf>
    <xf numFmtId="14" fontId="133" fillId="0" borderId="4" xfId="0" applyNumberFormat="1" applyFont="1" applyBorder="1" applyAlignment="1">
      <alignment wrapText="1"/>
    </xf>
    <xf numFmtId="49" fontId="131" fillId="0" borderId="4" xfId="0" applyNumberFormat="1" applyFont="1" applyBorder="1" applyAlignment="1">
      <alignment wrapText="1"/>
    </xf>
    <xf numFmtId="4" fontId="49" fillId="0" borderId="4" xfId="0" applyNumberFormat="1" applyFont="1" applyBorder="1" applyAlignment="1">
      <alignment wrapText="1"/>
    </xf>
    <xf numFmtId="4" fontId="131" fillId="0" borderId="4" xfId="0" applyNumberFormat="1" applyFont="1" applyBorder="1" applyAlignment="1">
      <alignment wrapText="1"/>
    </xf>
    <xf numFmtId="4" fontId="40" fillId="0" borderId="8" xfId="0" applyNumberFormat="1" applyFont="1" applyBorder="1" applyAlignment="1">
      <alignment wrapText="1"/>
    </xf>
    <xf numFmtId="14" fontId="133" fillId="6" borderId="4" xfId="0" applyNumberFormat="1" applyFont="1" applyFill="1" applyBorder="1" applyAlignment="1">
      <alignment wrapText="1"/>
    </xf>
    <xf numFmtId="3" fontId="37" fillId="8" borderId="1" xfId="0" applyNumberFormat="1" applyFont="1" applyFill="1" applyBorder="1" applyAlignment="1">
      <alignment wrapText="1"/>
    </xf>
    <xf numFmtId="3" fontId="37" fillId="0" borderId="1" xfId="0" applyNumberFormat="1" applyFont="1" applyBorder="1" applyAlignment="1">
      <alignment wrapText="1"/>
    </xf>
    <xf numFmtId="4" fontId="37" fillId="0" borderId="4" xfId="0" applyNumberFormat="1" applyFont="1" applyBorder="1" applyAlignment="1">
      <alignment horizontal="center" wrapText="1"/>
    </xf>
    <xf numFmtId="4" fontId="37" fillId="0" borderId="6" xfId="0" applyNumberFormat="1" applyFont="1" applyBorder="1" applyAlignment="1">
      <alignment horizontal="center" wrapText="1"/>
    </xf>
    <xf numFmtId="0" fontId="37" fillId="24" borderId="2" xfId="0" applyFont="1" applyFill="1" applyBorder="1" applyAlignment="1">
      <alignment wrapText="1"/>
    </xf>
    <xf numFmtId="14" fontId="37" fillId="24" borderId="2" xfId="0" applyNumberFormat="1" applyFont="1" applyFill="1" applyBorder="1" applyAlignment="1">
      <alignment wrapText="1"/>
    </xf>
    <xf numFmtId="0" fontId="49" fillId="6" borderId="10" xfId="0" applyFont="1" applyFill="1" applyBorder="1" applyAlignment="1">
      <alignment wrapText="1"/>
    </xf>
    <xf numFmtId="0" fontId="49" fillId="7" borderId="1" xfId="0" applyFont="1" applyFill="1" applyBorder="1" applyAlignment="1">
      <alignment wrapText="1"/>
    </xf>
    <xf numFmtId="0" fontId="37" fillId="7" borderId="1" xfId="0" applyFont="1" applyFill="1" applyBorder="1" applyAlignment="1">
      <alignment wrapText="1"/>
    </xf>
    <xf numFmtId="0" fontId="131" fillId="7" borderId="1" xfId="0" applyFont="1" applyFill="1" applyBorder="1" applyAlignment="1">
      <alignment horizontal="right" wrapText="1"/>
    </xf>
    <xf numFmtId="0" fontId="131" fillId="7" borderId="2" xfId="0" applyFont="1" applyFill="1" applyBorder="1" applyAlignment="1">
      <alignment horizontal="right" wrapText="1"/>
    </xf>
    <xf numFmtId="0" fontId="135" fillId="8" borderId="2" xfId="0" applyFont="1" applyFill="1" applyBorder="1" applyAlignment="1">
      <alignment wrapText="1"/>
    </xf>
    <xf numFmtId="14" fontId="135" fillId="8" borderId="2" xfId="0" applyNumberFormat="1" applyFont="1" applyFill="1" applyBorder="1" applyAlignment="1">
      <alignment wrapText="1"/>
    </xf>
    <xf numFmtId="0" fontId="37" fillId="21" borderId="2" xfId="0" applyFont="1" applyFill="1" applyBorder="1" applyAlignment="1">
      <alignment wrapText="1"/>
    </xf>
    <xf numFmtId="14" fontId="37" fillId="21" borderId="2" xfId="0" applyNumberFormat="1" applyFont="1" applyFill="1" applyBorder="1" applyAlignment="1">
      <alignment wrapText="1"/>
    </xf>
    <xf numFmtId="49" fontId="37" fillId="0" borderId="6" xfId="0" applyNumberFormat="1" applyFont="1" applyBorder="1" applyAlignment="1">
      <alignment horizontal="center" wrapText="1"/>
    </xf>
    <xf numFmtId="0" fontId="37" fillId="4" borderId="6" xfId="0" applyFont="1" applyFill="1" applyBorder="1" applyAlignment="1">
      <alignment horizontal="center" wrapText="1"/>
    </xf>
    <xf numFmtId="0" fontId="37" fillId="0" borderId="15" xfId="0" applyFont="1" applyBorder="1" applyAlignment="1">
      <alignment horizontal="center" wrapText="1"/>
    </xf>
    <xf numFmtId="0" fontId="49" fillId="6" borderId="6" xfId="0" applyFont="1" applyFill="1" applyBorder="1" applyAlignment="1">
      <alignment horizontal="center" wrapText="1"/>
    </xf>
    <xf numFmtId="49" fontId="37" fillId="0" borderId="4" xfId="0" applyNumberFormat="1" applyFont="1" applyBorder="1" applyAlignment="1">
      <alignment wrapText="1"/>
    </xf>
    <xf numFmtId="4" fontId="58" fillId="0" borderId="8" xfId="0" applyNumberFormat="1" applyFont="1" applyBorder="1" applyAlignment="1">
      <alignment wrapText="1"/>
    </xf>
    <xf numFmtId="14" fontId="49" fillId="6" borderId="4" xfId="0" applyNumberFormat="1" applyFont="1" applyFill="1" applyBorder="1" applyAlignment="1">
      <alignment wrapText="1"/>
    </xf>
    <xf numFmtId="4" fontId="40" fillId="0" borderId="4" xfId="0" applyNumberFormat="1" applyFont="1" applyBorder="1" applyAlignment="1">
      <alignment wrapText="1"/>
    </xf>
    <xf numFmtId="0" fontId="40" fillId="0" borderId="8" xfId="0" applyFont="1" applyBorder="1" applyAlignment="1">
      <alignment wrapText="1"/>
    </xf>
    <xf numFmtId="3" fontId="58" fillId="7" borderId="1" xfId="0" applyNumberFormat="1" applyFont="1" applyFill="1" applyBorder="1" applyAlignment="1">
      <alignment horizontal="right" wrapText="1"/>
    </xf>
    <xf numFmtId="3" fontId="131" fillId="7" borderId="1" xfId="0" applyNumberFormat="1" applyFont="1" applyFill="1" applyBorder="1" applyAlignment="1">
      <alignment horizontal="right" wrapText="1"/>
    </xf>
    <xf numFmtId="3" fontId="131" fillId="7" borderId="2" xfId="0" applyNumberFormat="1" applyFont="1" applyFill="1" applyBorder="1" applyAlignment="1">
      <alignment horizontal="right" wrapText="1"/>
    </xf>
    <xf numFmtId="4" fontId="40" fillId="8" borderId="4" xfId="0" applyNumberFormat="1" applyFont="1" applyFill="1" applyBorder="1" applyAlignment="1">
      <alignment wrapText="1"/>
    </xf>
    <xf numFmtId="0" fontId="37" fillId="8" borderId="8" xfId="0" applyFont="1" applyFill="1" applyBorder="1" applyAlignment="1">
      <alignment wrapText="1"/>
    </xf>
    <xf numFmtId="0" fontId="40" fillId="8" borderId="4" xfId="0" applyFont="1" applyFill="1" applyBorder="1" applyAlignment="1">
      <alignment wrapText="1"/>
    </xf>
    <xf numFmtId="0" fontId="37" fillId="24" borderId="4" xfId="0" applyFont="1" applyFill="1" applyBorder="1" applyAlignment="1">
      <alignment horizontal="center" wrapText="1"/>
    </xf>
    <xf numFmtId="0" fontId="49" fillId="24" borderId="1" xfId="0" applyFont="1" applyFill="1" applyBorder="1" applyAlignment="1">
      <alignment wrapText="1"/>
    </xf>
    <xf numFmtId="0" fontId="49" fillId="24" borderId="4" xfId="0" applyFont="1" applyFill="1" applyBorder="1" applyAlignment="1">
      <alignment wrapText="1"/>
    </xf>
    <xf numFmtId="0" fontId="37" fillId="24" borderId="4" xfId="0" applyFont="1" applyFill="1" applyBorder="1" applyAlignment="1">
      <alignment wrapText="1"/>
    </xf>
    <xf numFmtId="4" fontId="37" fillId="24" borderId="4" xfId="0" applyNumberFormat="1" applyFont="1" applyFill="1" applyBorder="1" applyAlignment="1">
      <alignment wrapText="1"/>
    </xf>
    <xf numFmtId="4" fontId="40" fillId="24" borderId="4" xfId="0" applyNumberFormat="1" applyFont="1" applyFill="1" applyBorder="1" applyAlignment="1">
      <alignment wrapText="1"/>
    </xf>
    <xf numFmtId="0" fontId="37" fillId="24" borderId="8" xfId="0" applyFont="1" applyFill="1" applyBorder="1" applyAlignment="1">
      <alignment wrapText="1"/>
    </xf>
    <xf numFmtId="0" fontId="40" fillId="24" borderId="4" xfId="0" applyFont="1" applyFill="1" applyBorder="1" applyAlignment="1">
      <alignment wrapText="1"/>
    </xf>
    <xf numFmtId="0" fontId="37" fillId="24" borderId="10" xfId="0" applyFont="1" applyFill="1" applyBorder="1" applyAlignment="1">
      <alignment wrapText="1"/>
    </xf>
    <xf numFmtId="0" fontId="37" fillId="24" borderId="3" xfId="0" applyFont="1" applyFill="1" applyBorder="1" applyAlignment="1">
      <alignment wrapText="1"/>
    </xf>
    <xf numFmtId="0" fontId="37" fillId="24" borderId="0" xfId="0" applyFont="1" applyFill="1" applyAlignment="1">
      <alignment wrapText="1"/>
    </xf>
    <xf numFmtId="0" fontId="49" fillId="23" borderId="1" xfId="0" applyFont="1" applyFill="1" applyBorder="1" applyAlignment="1">
      <alignment horizontal="left" wrapText="1"/>
    </xf>
    <xf numFmtId="164" fontId="49" fillId="24" borderId="1" xfId="0" applyNumberFormat="1" applyFont="1" applyFill="1" applyBorder="1" applyAlignment="1">
      <alignment wrapText="1"/>
    </xf>
    <xf numFmtId="0" fontId="58" fillId="0" borderId="4" xfId="0" applyFont="1" applyBorder="1" applyAlignment="1">
      <alignment wrapText="1"/>
    </xf>
    <xf numFmtId="0" fontId="49" fillId="7" borderId="3" xfId="0" applyFont="1" applyFill="1" applyBorder="1" applyAlignment="1">
      <alignment wrapText="1"/>
    </xf>
    <xf numFmtId="4" fontId="40" fillId="0" borderId="1" xfId="0" applyNumberFormat="1" applyFont="1" applyBorder="1" applyAlignment="1">
      <alignment wrapText="1"/>
    </xf>
    <xf numFmtId="49" fontId="37" fillId="0" borderId="5" xfId="0" applyNumberFormat="1" applyFont="1" applyBorder="1" applyAlignment="1">
      <alignment wrapText="1"/>
    </xf>
    <xf numFmtId="0" fontId="37" fillId="4" borderId="5" xfId="0" applyFont="1" applyFill="1" applyBorder="1" applyAlignment="1">
      <alignment wrapText="1"/>
    </xf>
    <xf numFmtId="0" fontId="37" fillId="0" borderId="12" xfId="0" applyFont="1" applyBorder="1" applyAlignment="1">
      <alignment wrapText="1"/>
    </xf>
    <xf numFmtId="3" fontId="130" fillId="8" borderId="2" xfId="0" applyNumberFormat="1" applyFont="1" applyFill="1" applyBorder="1" applyAlignment="1">
      <alignment wrapText="1"/>
    </xf>
    <xf numFmtId="164" fontId="49" fillId="8" borderId="6" xfId="0" applyNumberFormat="1" applyFont="1" applyFill="1" applyBorder="1" applyAlignment="1">
      <alignment horizontal="center" wrapText="1"/>
    </xf>
    <xf numFmtId="164" fontId="49" fillId="8" borderId="1" xfId="0" applyNumberFormat="1" applyFont="1" applyFill="1" applyBorder="1" applyAlignment="1">
      <alignment wrapText="1"/>
    </xf>
    <xf numFmtId="14" fontId="58" fillId="0" borderId="5" xfId="0" applyNumberFormat="1" applyFont="1" applyBorder="1" applyAlignment="1">
      <alignment wrapText="1"/>
    </xf>
    <xf numFmtId="3" fontId="37" fillId="0" borderId="5" xfId="0" applyNumberFormat="1" applyFont="1" applyBorder="1" applyAlignment="1">
      <alignment horizontal="center" wrapText="1"/>
    </xf>
    <xf numFmtId="0" fontId="37" fillId="0" borderId="11" xfId="0" applyFont="1" applyBorder="1" applyAlignment="1">
      <alignment horizontal="center" wrapText="1"/>
    </xf>
    <xf numFmtId="164" fontId="49" fillId="6" borderId="1" xfId="0" applyNumberFormat="1" applyFont="1" applyFill="1" applyBorder="1" applyAlignment="1">
      <alignment wrapText="1"/>
    </xf>
    <xf numFmtId="14" fontId="49" fillId="24" borderId="2" xfId="0" applyNumberFormat="1" applyFont="1" applyFill="1" applyBorder="1" applyAlignment="1">
      <alignment wrapText="1"/>
    </xf>
    <xf numFmtId="0" fontId="37" fillId="0" borderId="13" xfId="0" applyFont="1" applyBorder="1" applyAlignment="1">
      <alignment wrapText="1"/>
    </xf>
    <xf numFmtId="164" fontId="49" fillId="8" borderId="6" xfId="0" applyNumberFormat="1" applyFont="1" applyFill="1" applyBorder="1" applyAlignment="1">
      <alignment wrapText="1"/>
    </xf>
    <xf numFmtId="49" fontId="37" fillId="0" borderId="6" xfId="0" applyNumberFormat="1" applyFont="1" applyBorder="1" applyAlignment="1">
      <alignment wrapText="1"/>
    </xf>
    <xf numFmtId="4" fontId="37" fillId="0" borderId="6" xfId="0" applyNumberFormat="1" applyFont="1" applyBorder="1" applyAlignment="1">
      <alignment wrapText="1"/>
    </xf>
    <xf numFmtId="4" fontId="40" fillId="0" borderId="6" xfId="0" applyNumberFormat="1" applyFont="1" applyBorder="1" applyAlignment="1">
      <alignment wrapText="1"/>
    </xf>
    <xf numFmtId="0" fontId="37" fillId="4" borderId="6" xfId="0" applyFont="1" applyFill="1" applyBorder="1" applyAlignment="1">
      <alignment wrapText="1"/>
    </xf>
    <xf numFmtId="0" fontId="58" fillId="0" borderId="6" xfId="0" applyFont="1" applyBorder="1" applyAlignment="1">
      <alignment wrapText="1"/>
    </xf>
    <xf numFmtId="4" fontId="37" fillId="8" borderId="2" xfId="0" applyNumberFormat="1" applyFont="1" applyFill="1" applyBorder="1" applyAlignment="1">
      <alignment wrapText="1"/>
    </xf>
    <xf numFmtId="14" fontId="49" fillId="8" borderId="6" xfId="0" applyNumberFormat="1" applyFont="1" applyFill="1" applyBorder="1" applyAlignment="1">
      <alignment wrapText="1"/>
    </xf>
    <xf numFmtId="4" fontId="37" fillId="8" borderId="6" xfId="0" applyNumberFormat="1" applyFont="1" applyFill="1" applyBorder="1" applyAlignment="1">
      <alignment wrapText="1"/>
    </xf>
    <xf numFmtId="3" fontId="37" fillId="8" borderId="6" xfId="0" applyNumberFormat="1" applyFont="1" applyFill="1" applyBorder="1" applyAlignment="1">
      <alignment horizontal="center" wrapText="1"/>
    </xf>
    <xf numFmtId="4" fontId="37" fillId="4" borderId="6" xfId="0" applyNumberFormat="1" applyFont="1" applyFill="1" applyBorder="1" applyAlignment="1">
      <alignment wrapText="1"/>
    </xf>
    <xf numFmtId="14" fontId="49" fillId="7" borderId="2" xfId="0" applyNumberFormat="1" applyFont="1" applyFill="1" applyBorder="1" applyAlignment="1">
      <alignment wrapText="1"/>
    </xf>
    <xf numFmtId="0" fontId="40" fillId="8" borderId="6" xfId="0" applyFont="1" applyFill="1" applyBorder="1" applyAlignment="1">
      <alignment horizontal="center" wrapText="1"/>
    </xf>
    <xf numFmtId="14" fontId="49" fillId="8" borderId="4" xfId="0" applyNumberFormat="1" applyFont="1" applyFill="1" applyBorder="1" applyAlignment="1">
      <alignment horizontal="center" wrapText="1"/>
    </xf>
    <xf numFmtId="14" fontId="49" fillId="8" borderId="5" xfId="0" applyNumberFormat="1" applyFont="1" applyFill="1" applyBorder="1" applyAlignment="1">
      <alignment horizontal="center" wrapText="1"/>
    </xf>
    <xf numFmtId="0" fontId="37" fillId="8" borderId="15" xfId="0" applyFont="1" applyFill="1" applyBorder="1" applyAlignment="1">
      <alignment horizontal="center" wrapText="1"/>
    </xf>
    <xf numFmtId="164" fontId="49" fillId="6" borderId="12" xfId="0" applyNumberFormat="1" applyFont="1" applyFill="1" applyBorder="1" applyAlignment="1">
      <alignment horizontal="center" wrapText="1"/>
    </xf>
    <xf numFmtId="0" fontId="37" fillId="8" borderId="11" xfId="0" applyFont="1" applyFill="1" applyBorder="1" applyAlignment="1">
      <alignment horizontal="center" wrapText="1"/>
    </xf>
    <xf numFmtId="14" fontId="49" fillId="8" borderId="11" xfId="0" applyNumberFormat="1" applyFont="1" applyFill="1" applyBorder="1" applyAlignment="1">
      <alignment horizontal="center" wrapText="1"/>
    </xf>
    <xf numFmtId="164" fontId="49" fillId="8" borderId="4" xfId="0" applyNumberFormat="1" applyFont="1" applyFill="1" applyBorder="1" applyAlignment="1">
      <alignment wrapText="1"/>
    </xf>
    <xf numFmtId="49" fontId="37" fillId="8" borderId="4" xfId="0" applyNumberFormat="1" applyFont="1" applyFill="1" applyBorder="1" applyAlignment="1">
      <alignment wrapText="1"/>
    </xf>
    <xf numFmtId="49" fontId="37" fillId="8" borderId="8" xfId="0" applyNumberFormat="1" applyFont="1" applyFill="1" applyBorder="1" applyAlignment="1">
      <alignment wrapText="1"/>
    </xf>
    <xf numFmtId="0" fontId="37" fillId="8" borderId="10" xfId="0" applyFont="1" applyFill="1" applyBorder="1" applyAlignment="1">
      <alignment wrapText="1"/>
    </xf>
    <xf numFmtId="164" fontId="49" fillId="8" borderId="1" xfId="0" applyNumberFormat="1" applyFont="1" applyFill="1" applyBorder="1" applyAlignment="1">
      <alignment horizontal="center" wrapText="1"/>
    </xf>
    <xf numFmtId="49" fontId="37" fillId="8" borderId="4" xfId="0" applyNumberFormat="1" applyFont="1" applyFill="1" applyBorder="1" applyAlignment="1">
      <alignment horizontal="center" wrapText="1"/>
    </xf>
    <xf numFmtId="2" fontId="37" fillId="8" borderId="1" xfId="0" applyNumberFormat="1" applyFont="1" applyFill="1" applyBorder="1" applyAlignment="1">
      <alignment horizontal="center" wrapText="1"/>
    </xf>
    <xf numFmtId="0" fontId="58" fillId="4" borderId="4" xfId="0" applyFont="1" applyFill="1" applyBorder="1" applyAlignment="1">
      <alignment wrapText="1"/>
    </xf>
    <xf numFmtId="3" fontId="40" fillId="8" borderId="8" xfId="0" applyNumberFormat="1" applyFont="1" applyFill="1" applyBorder="1" applyAlignment="1">
      <alignment wrapText="1"/>
    </xf>
    <xf numFmtId="0" fontId="49" fillId="6" borderId="4" xfId="0" applyFont="1" applyFill="1" applyBorder="1" applyAlignment="1">
      <alignment horizontal="center" wrapText="1"/>
    </xf>
    <xf numFmtId="0" fontId="37" fillId="8" borderId="8" xfId="0" applyFont="1" applyFill="1" applyBorder="1" applyAlignment="1">
      <alignment horizontal="center" wrapText="1"/>
    </xf>
    <xf numFmtId="49" fontId="37" fillId="8" borderId="6" xfId="0" applyNumberFormat="1" applyFont="1" applyFill="1" applyBorder="1" applyAlignment="1">
      <alignment horizontal="center" wrapText="1"/>
    </xf>
    <xf numFmtId="0" fontId="49" fillId="6" borderId="5" xfId="0" applyFont="1" applyFill="1" applyBorder="1" applyAlignment="1">
      <alignment horizontal="center" wrapText="1"/>
    </xf>
    <xf numFmtId="14" fontId="40" fillId="8" borderId="1" xfId="0" applyNumberFormat="1" applyFont="1" applyFill="1" applyBorder="1" applyAlignment="1">
      <alignment wrapText="1"/>
    </xf>
    <xf numFmtId="14" fontId="37" fillId="8" borderId="4" xfId="0" applyNumberFormat="1" applyFont="1" applyFill="1" applyBorder="1" applyAlignment="1">
      <alignment wrapText="1"/>
    </xf>
    <xf numFmtId="2" fontId="37" fillId="0" borderId="1" xfId="0" applyNumberFormat="1" applyFont="1" applyBorder="1" applyAlignment="1">
      <alignment horizontal="center" wrapText="1"/>
    </xf>
    <xf numFmtId="0" fontId="37" fillId="8" borderId="15" xfId="0" applyFont="1" applyFill="1" applyBorder="1" applyAlignment="1">
      <alignment wrapText="1"/>
    </xf>
    <xf numFmtId="0" fontId="49" fillId="7" borderId="13" xfId="0" applyFont="1" applyFill="1" applyBorder="1" applyAlignment="1">
      <alignment wrapText="1"/>
    </xf>
    <xf numFmtId="0" fontId="49" fillId="7" borderId="5" xfId="0" applyFont="1" applyFill="1" applyBorder="1" applyAlignment="1">
      <alignment wrapText="1"/>
    </xf>
    <xf numFmtId="4" fontId="37" fillId="7" borderId="5" xfId="0" applyNumberFormat="1" applyFont="1" applyFill="1" applyBorder="1" applyAlignment="1">
      <alignment wrapText="1"/>
    </xf>
    <xf numFmtId="4" fontId="37" fillId="7" borderId="11" xfId="0" applyNumberFormat="1" applyFont="1" applyFill="1" applyBorder="1" applyAlignment="1">
      <alignment wrapText="1"/>
    </xf>
    <xf numFmtId="0" fontId="58" fillId="8" borderId="11" xfId="0" applyFont="1" applyFill="1" applyBorder="1" applyAlignment="1">
      <alignment wrapText="1"/>
    </xf>
    <xf numFmtId="14" fontId="37" fillId="8" borderId="11" xfId="0" applyNumberFormat="1" applyFont="1" applyFill="1" applyBorder="1" applyAlignment="1">
      <alignment wrapText="1"/>
    </xf>
    <xf numFmtId="49" fontId="37" fillId="8" borderId="5" xfId="0" applyNumberFormat="1" applyFont="1" applyFill="1" applyBorder="1" applyAlignment="1">
      <alignment horizontal="center" wrapText="1"/>
    </xf>
    <xf numFmtId="4" fontId="49" fillId="8" borderId="4" xfId="0" applyNumberFormat="1" applyFont="1" applyFill="1" applyBorder="1" applyAlignment="1">
      <alignment wrapText="1"/>
    </xf>
    <xf numFmtId="4" fontId="58" fillId="8" borderId="4" xfId="0" applyNumberFormat="1" applyFont="1" applyFill="1" applyBorder="1" applyAlignment="1">
      <alignment wrapText="1"/>
    </xf>
    <xf numFmtId="2" fontId="37" fillId="8" borderId="8" xfId="0" applyNumberFormat="1" applyFont="1" applyFill="1" applyBorder="1" applyAlignment="1">
      <alignment wrapText="1"/>
    </xf>
    <xf numFmtId="0" fontId="49" fillId="7" borderId="10" xfId="0" applyFont="1" applyFill="1" applyBorder="1" applyAlignment="1">
      <alignment wrapText="1"/>
    </xf>
    <xf numFmtId="4" fontId="37" fillId="7" borderId="1" xfId="0" applyNumberFormat="1" applyFont="1" applyFill="1" applyBorder="1" applyAlignment="1">
      <alignment wrapText="1"/>
    </xf>
    <xf numFmtId="4" fontId="37" fillId="7" borderId="2" xfId="0" applyNumberFormat="1" applyFont="1" applyFill="1" applyBorder="1" applyAlignment="1">
      <alignment wrapText="1"/>
    </xf>
    <xf numFmtId="164" fontId="49" fillId="8" borderId="3" xfId="0" applyNumberFormat="1" applyFont="1" applyFill="1" applyBorder="1" applyAlignment="1">
      <alignment horizontal="center" wrapText="1"/>
    </xf>
    <xf numFmtId="0" fontId="49" fillId="6" borderId="1" xfId="0" applyFont="1" applyFill="1" applyBorder="1" applyAlignment="1">
      <alignment horizontal="center" wrapText="1"/>
    </xf>
    <xf numFmtId="0" fontId="58" fillId="22" borderId="1" xfId="0" applyFont="1" applyFill="1" applyBorder="1" applyAlignment="1">
      <alignment wrapText="1"/>
    </xf>
    <xf numFmtId="14" fontId="37" fillId="22" borderId="1" xfId="0" applyNumberFormat="1" applyFont="1" applyFill="1" applyBorder="1" applyAlignment="1">
      <alignment wrapText="1"/>
    </xf>
    <xf numFmtId="0" fontId="37" fillId="23" borderId="4" xfId="0" applyFont="1" applyFill="1" applyBorder="1" applyAlignment="1">
      <alignment wrapText="1"/>
    </xf>
    <xf numFmtId="0" fontId="37" fillId="22" borderId="2" xfId="0" applyFont="1" applyFill="1" applyBorder="1" applyAlignment="1">
      <alignment wrapText="1"/>
    </xf>
    <xf numFmtId="14" fontId="58" fillId="22" borderId="2" xfId="0" applyNumberFormat="1" applyFont="1" applyFill="1" applyBorder="1" applyAlignment="1">
      <alignment wrapText="1"/>
    </xf>
    <xf numFmtId="14" fontId="58" fillId="8" borderId="2" xfId="0" applyNumberFormat="1" applyFont="1" applyFill="1" applyBorder="1" applyAlignment="1">
      <alignment wrapText="1"/>
    </xf>
    <xf numFmtId="166" fontId="37" fillId="4" borderId="4" xfId="0" applyNumberFormat="1" applyFont="1" applyFill="1" applyBorder="1" applyAlignment="1">
      <alignment wrapText="1"/>
    </xf>
    <xf numFmtId="0" fontId="40" fillId="8" borderId="8" xfId="0" applyFont="1" applyFill="1" applyBorder="1" applyAlignment="1">
      <alignment wrapText="1"/>
    </xf>
    <xf numFmtId="0" fontId="49" fillId="7" borderId="4" xfId="0" applyFont="1" applyFill="1" applyBorder="1" applyAlignment="1">
      <alignment wrapText="1"/>
    </xf>
    <xf numFmtId="4" fontId="40" fillId="4" borderId="4" xfId="0" applyNumberFormat="1" applyFont="1" applyFill="1" applyBorder="1" applyAlignment="1">
      <alignment wrapText="1"/>
    </xf>
    <xf numFmtId="14" fontId="58" fillId="27" borderId="2" xfId="0" applyNumberFormat="1" applyFont="1" applyFill="1" applyBorder="1" applyAlignment="1">
      <alignment wrapText="1"/>
    </xf>
    <xf numFmtId="49" fontId="37" fillId="8" borderId="1" xfId="0" applyNumberFormat="1" applyFont="1" applyFill="1" applyBorder="1" applyAlignment="1">
      <alignment wrapText="1"/>
    </xf>
    <xf numFmtId="49" fontId="40" fillId="8" borderId="4" xfId="0" applyNumberFormat="1" applyFont="1" applyFill="1" applyBorder="1" applyAlignment="1">
      <alignment wrapText="1"/>
    </xf>
    <xf numFmtId="4" fontId="40" fillId="8" borderId="4" xfId="0" applyNumberFormat="1" applyFont="1" applyFill="1" applyBorder="1" applyAlignment="1">
      <alignment horizontal="center" wrapText="1"/>
    </xf>
    <xf numFmtId="4" fontId="40" fillId="8" borderId="6" xfId="0" applyNumberFormat="1" applyFont="1" applyFill="1" applyBorder="1" applyAlignment="1">
      <alignment horizontal="center" wrapText="1"/>
    </xf>
    <xf numFmtId="2" fontId="49" fillId="8" borderId="2" xfId="0" applyNumberFormat="1" applyFont="1" applyFill="1" applyBorder="1" applyAlignment="1">
      <alignment wrapText="1"/>
    </xf>
    <xf numFmtId="2" fontId="37" fillId="8" borderId="5" xfId="0" applyNumberFormat="1" applyFont="1" applyFill="1" applyBorder="1" applyAlignment="1">
      <alignment horizontal="center" wrapText="1"/>
    </xf>
    <xf numFmtId="4" fontId="40" fillId="8" borderId="5" xfId="0" applyNumberFormat="1" applyFont="1" applyFill="1" applyBorder="1" applyAlignment="1">
      <alignment horizontal="center" wrapText="1"/>
    </xf>
    <xf numFmtId="2" fontId="40" fillId="8" borderId="8" xfId="0" applyNumberFormat="1" applyFont="1" applyFill="1" applyBorder="1" applyAlignment="1">
      <alignment wrapText="1"/>
    </xf>
    <xf numFmtId="0" fontId="124" fillId="22" borderId="1" xfId="0" applyFont="1" applyFill="1" applyBorder="1" applyAlignment="1">
      <alignment wrapText="1"/>
    </xf>
    <xf numFmtId="2" fontId="37" fillId="8" borderId="6" xfId="0" applyNumberFormat="1" applyFont="1" applyFill="1" applyBorder="1" applyAlignment="1">
      <alignment horizontal="center" wrapText="1"/>
    </xf>
    <xf numFmtId="14" fontId="49" fillId="22" borderId="2" xfId="0" applyNumberFormat="1" applyFont="1" applyFill="1" applyBorder="1" applyAlignment="1">
      <alignment wrapText="1"/>
    </xf>
    <xf numFmtId="2" fontId="49" fillId="26" borderId="2" xfId="0" applyNumberFormat="1" applyFont="1" applyFill="1" applyBorder="1" applyAlignment="1">
      <alignment wrapText="1"/>
    </xf>
    <xf numFmtId="164" fontId="124" fillId="8" borderId="4" xfId="0" applyNumberFormat="1" applyFont="1" applyFill="1" applyBorder="1" applyAlignment="1">
      <alignment horizontal="center" wrapText="1"/>
    </xf>
    <xf numFmtId="3" fontId="37" fillId="7" borderId="1" xfId="0" applyNumberFormat="1" applyFont="1" applyFill="1" applyBorder="1" applyAlignment="1">
      <alignment wrapText="1"/>
    </xf>
    <xf numFmtId="164" fontId="49" fillId="22" borderId="10" xfId="0" applyNumberFormat="1" applyFont="1" applyFill="1" applyBorder="1" applyAlignment="1">
      <alignment wrapText="1"/>
    </xf>
    <xf numFmtId="49" fontId="117" fillId="8" borderId="10" xfId="0" applyNumberFormat="1" applyFont="1" applyFill="1" applyBorder="1" applyAlignment="1">
      <alignment wrapText="1"/>
    </xf>
    <xf numFmtId="49" fontId="117" fillId="8" borderId="4" xfId="0" applyNumberFormat="1" applyFont="1" applyFill="1" applyBorder="1" applyAlignment="1">
      <alignment wrapText="1"/>
    </xf>
    <xf numFmtId="14" fontId="49" fillId="8" borderId="10" xfId="0" applyNumberFormat="1" applyFont="1" applyFill="1" applyBorder="1" applyAlignment="1">
      <alignment wrapText="1"/>
    </xf>
    <xf numFmtId="14" fontId="37" fillId="8" borderId="2" xfId="0" applyNumberFormat="1" applyFont="1" applyFill="1" applyBorder="1" applyAlignment="1">
      <alignment horizontal="right" wrapText="1"/>
    </xf>
    <xf numFmtId="0" fontId="40" fillId="4" borderId="4" xfId="0" applyFont="1" applyFill="1" applyBorder="1" applyAlignment="1">
      <alignment wrapText="1"/>
    </xf>
    <xf numFmtId="0" fontId="37" fillId="7" borderId="2" xfId="0" applyFont="1" applyFill="1" applyBorder="1" applyAlignment="1">
      <alignment wrapText="1"/>
    </xf>
    <xf numFmtId="3" fontId="37" fillId="4" borderId="4" xfId="0" applyNumberFormat="1" applyFont="1" applyFill="1" applyBorder="1" applyAlignment="1">
      <alignment wrapText="1"/>
    </xf>
    <xf numFmtId="0" fontId="124" fillId="8" borderId="4" xfId="0" applyFont="1" applyFill="1" applyBorder="1" applyAlignment="1">
      <alignment wrapText="1"/>
    </xf>
    <xf numFmtId="0" fontId="37" fillId="18" borderId="4" xfId="0" applyFont="1" applyFill="1" applyBorder="1" applyAlignment="1">
      <alignment wrapText="1"/>
    </xf>
    <xf numFmtId="49" fontId="49" fillId="8" borderId="8" xfId="0" applyNumberFormat="1" applyFont="1" applyFill="1" applyBorder="1" applyAlignment="1">
      <alignment wrapText="1"/>
    </xf>
    <xf numFmtId="0" fontId="49" fillId="8" borderId="4" xfId="0" applyFont="1" applyFill="1" applyBorder="1" applyAlignment="1">
      <alignment horizontal="left" wrapText="1"/>
    </xf>
    <xf numFmtId="49" fontId="37" fillId="8" borderId="1" xfId="0" applyNumberFormat="1" applyFont="1" applyFill="1" applyBorder="1" applyAlignment="1">
      <alignment horizontal="right" wrapText="1"/>
    </xf>
    <xf numFmtId="0" fontId="37" fillId="8" borderId="4" xfId="0" applyFont="1" applyFill="1" applyBorder="1" applyAlignment="1">
      <alignment horizontal="right" wrapText="1"/>
    </xf>
    <xf numFmtId="14" fontId="49" fillId="6" borderId="2" xfId="0" applyNumberFormat="1" applyFont="1" applyFill="1" applyBorder="1" applyAlignment="1">
      <alignment horizontal="right" wrapText="1"/>
    </xf>
    <xf numFmtId="4" fontId="37" fillId="8" borderId="8" xfId="0" applyNumberFormat="1" applyFont="1" applyFill="1" applyBorder="1" applyAlignment="1">
      <alignment wrapText="1"/>
    </xf>
    <xf numFmtId="14" fontId="49" fillId="6" borderId="2" xfId="0" applyNumberFormat="1" applyFont="1" applyFill="1" applyBorder="1" applyAlignment="1">
      <alignment wrapText="1"/>
    </xf>
    <xf numFmtId="49" fontId="138" fillId="22" borderId="1" xfId="0" applyNumberFormat="1" applyFont="1" applyFill="1" applyBorder="1" applyAlignment="1">
      <alignment wrapText="1"/>
    </xf>
    <xf numFmtId="4" fontId="40" fillId="8" borderId="8" xfId="0" applyNumberFormat="1" applyFont="1" applyFill="1" applyBorder="1" applyAlignment="1">
      <alignment wrapText="1"/>
    </xf>
    <xf numFmtId="0" fontId="138" fillId="22" borderId="1" xfId="0" applyFont="1" applyFill="1" applyBorder="1" applyAlignment="1">
      <alignment wrapText="1"/>
    </xf>
    <xf numFmtId="0" fontId="37" fillId="10" borderId="1" xfId="0" applyFont="1" applyFill="1" applyBorder="1" applyAlignment="1">
      <alignment wrapText="1"/>
    </xf>
    <xf numFmtId="14" fontId="49" fillId="8" borderId="1" xfId="0" applyNumberFormat="1" applyFont="1" applyFill="1" applyBorder="1" applyAlignment="1">
      <alignment wrapText="1"/>
    </xf>
    <xf numFmtId="4" fontId="37" fillId="8" borderId="4" xfId="0" applyNumberFormat="1" applyFont="1" applyFill="1" applyBorder="1" applyAlignment="1">
      <alignment horizontal="center" wrapText="1"/>
    </xf>
    <xf numFmtId="0" fontId="37" fillId="4" borderId="4" xfId="0" applyFont="1" applyFill="1" applyBorder="1" applyAlignment="1">
      <alignment horizontal="center" wrapText="1"/>
    </xf>
    <xf numFmtId="49" fontId="37" fillId="8" borderId="4" xfId="0" applyNumberFormat="1" applyFont="1" applyFill="1" applyBorder="1" applyAlignment="1">
      <alignment horizontal="right" wrapText="1"/>
    </xf>
    <xf numFmtId="14" fontId="58" fillId="8" borderId="1" xfId="0" applyNumberFormat="1" applyFont="1" applyFill="1" applyBorder="1" applyAlignment="1">
      <alignment wrapText="1"/>
    </xf>
    <xf numFmtId="4" fontId="37" fillId="4" borderId="4" xfId="0" applyNumberFormat="1" applyFont="1" applyFill="1" applyBorder="1" applyAlignment="1">
      <alignment wrapText="1"/>
    </xf>
    <xf numFmtId="0" fontId="124" fillId="6" borderId="1" xfId="0" applyFont="1" applyFill="1" applyBorder="1" applyAlignment="1">
      <alignment wrapText="1"/>
    </xf>
    <xf numFmtId="49" fontId="138" fillId="8" borderId="1" xfId="0" applyNumberFormat="1" applyFont="1" applyFill="1" applyBorder="1" applyAlignment="1">
      <alignment wrapText="1"/>
    </xf>
    <xf numFmtId="0" fontId="40" fillId="8" borderId="8" xfId="0" applyFont="1" applyFill="1" applyBorder="1" applyAlignment="1">
      <alignment horizontal="center" wrapText="1"/>
    </xf>
    <xf numFmtId="0" fontId="49" fillId="0" borderId="10" xfId="0" applyFont="1" applyBorder="1" applyAlignment="1">
      <alignment wrapText="1"/>
    </xf>
    <xf numFmtId="3" fontId="37" fillId="0" borderId="4" xfId="0" applyNumberFormat="1" applyFont="1" applyBorder="1" applyAlignment="1">
      <alignment wrapText="1"/>
    </xf>
    <xf numFmtId="3" fontId="40" fillId="8" borderId="4" xfId="0" applyNumberFormat="1" applyFont="1" applyFill="1" applyBorder="1" applyAlignment="1">
      <alignment wrapText="1"/>
    </xf>
    <xf numFmtId="14" fontId="88" fillId="8" borderId="1" xfId="0" applyNumberFormat="1" applyFont="1" applyFill="1" applyBorder="1" applyAlignment="1">
      <alignment wrapText="1"/>
    </xf>
    <xf numFmtId="0" fontId="140" fillId="8" borderId="1" xfId="0" applyFont="1" applyFill="1" applyBorder="1" applyAlignment="1">
      <alignment horizontal="center" wrapText="1"/>
    </xf>
    <xf numFmtId="0" fontId="138" fillId="0" borderId="1" xfId="0" applyFont="1" applyBorder="1" applyAlignment="1">
      <alignment wrapText="1"/>
    </xf>
    <xf numFmtId="0" fontId="141" fillId="8" borderId="1" xfId="0" applyFont="1" applyFill="1" applyBorder="1" applyAlignment="1">
      <alignment wrapText="1"/>
    </xf>
    <xf numFmtId="0" fontId="88" fillId="8" borderId="1" xfId="0" applyFont="1" applyFill="1" applyBorder="1" applyAlignment="1">
      <alignment wrapText="1"/>
    </xf>
    <xf numFmtId="2" fontId="37" fillId="8" borderId="4" xfId="0" applyNumberFormat="1" applyFont="1" applyFill="1" applyBorder="1" applyAlignment="1">
      <alignment horizontal="right" wrapText="1"/>
    </xf>
    <xf numFmtId="0" fontId="37" fillId="10" borderId="5" xfId="0" applyFont="1" applyFill="1" applyBorder="1" applyAlignment="1">
      <alignment wrapText="1"/>
    </xf>
    <xf numFmtId="49" fontId="142" fillId="8" borderId="1" xfId="0" applyNumberFormat="1" applyFont="1" applyFill="1" applyBorder="1" applyAlignment="1">
      <alignment wrapText="1"/>
    </xf>
    <xf numFmtId="0" fontId="37" fillId="12" borderId="1" xfId="0" applyFont="1" applyFill="1" applyBorder="1" applyAlignment="1">
      <alignment wrapText="1"/>
    </xf>
    <xf numFmtId="0" fontId="117" fillId="0" borderId="1" xfId="0" applyFont="1" applyBorder="1" applyAlignment="1">
      <alignment wrapText="1"/>
    </xf>
    <xf numFmtId="0" fontId="49" fillId="8" borderId="8" xfId="0" applyFont="1" applyFill="1" applyBorder="1" applyAlignment="1">
      <alignment wrapText="1"/>
    </xf>
    <xf numFmtId="0" fontId="40" fillId="10" borderId="4" xfId="0" applyFont="1" applyFill="1" applyBorder="1" applyAlignment="1">
      <alignment horizontal="center" wrapText="1"/>
    </xf>
    <xf numFmtId="0" fontId="58" fillId="10" borderId="1" xfId="0" applyFont="1" applyFill="1" applyBorder="1" applyAlignment="1">
      <alignment wrapText="1"/>
    </xf>
    <xf numFmtId="0" fontId="58" fillId="10" borderId="4" xfId="0" applyFont="1" applyFill="1" applyBorder="1" applyAlignment="1">
      <alignment wrapText="1"/>
    </xf>
    <xf numFmtId="0" fontId="37" fillId="10" borderId="4" xfId="0" applyFont="1" applyFill="1" applyBorder="1" applyAlignment="1">
      <alignment wrapText="1"/>
    </xf>
    <xf numFmtId="0" fontId="37" fillId="10" borderId="8" xfId="0" applyFont="1" applyFill="1" applyBorder="1" applyAlignment="1">
      <alignment wrapText="1"/>
    </xf>
    <xf numFmtId="0" fontId="37" fillId="10" borderId="10" xfId="0" applyFont="1" applyFill="1" applyBorder="1" applyAlignment="1">
      <alignment wrapText="1"/>
    </xf>
    <xf numFmtId="0" fontId="37" fillId="10" borderId="2" xfId="0" applyFont="1" applyFill="1" applyBorder="1" applyAlignment="1">
      <alignment wrapText="1"/>
    </xf>
    <xf numFmtId="0" fontId="37" fillId="10" borderId="0" xfId="0" applyFont="1" applyFill="1" applyAlignment="1">
      <alignment wrapText="1"/>
    </xf>
    <xf numFmtId="4" fontId="49" fillId="0" borderId="0" xfId="0" applyNumberFormat="1" applyFont="1" applyAlignment="1">
      <alignment wrapText="1"/>
    </xf>
    <xf numFmtId="0" fontId="37" fillId="10" borderId="1" xfId="0" applyFont="1" applyFill="1" applyBorder="1" applyAlignment="1">
      <alignment horizontal="right" wrapText="1"/>
    </xf>
    <xf numFmtId="14" fontId="145" fillId="8" borderId="1" xfId="0" applyNumberFormat="1" applyFont="1" applyFill="1" applyBorder="1" applyAlignment="1">
      <alignment wrapText="1"/>
    </xf>
    <xf numFmtId="3" fontId="37" fillId="0" borderId="4" xfId="0" applyNumberFormat="1" applyFont="1" applyBorder="1" applyAlignment="1">
      <alignment horizontal="center" wrapText="1"/>
    </xf>
    <xf numFmtId="1" fontId="37" fillId="0" borderId="1" xfId="0" applyNumberFormat="1" applyFont="1" applyBorder="1" applyAlignment="1">
      <alignment wrapText="1"/>
    </xf>
    <xf numFmtId="14" fontId="39" fillId="0" borderId="1" xfId="0" applyNumberFormat="1" applyFont="1" applyBorder="1" applyAlignment="1">
      <alignment wrapText="1"/>
    </xf>
    <xf numFmtId="0" fontId="138" fillId="8" borderId="1" xfId="0" applyFont="1" applyFill="1" applyBorder="1" applyAlignment="1">
      <alignment wrapText="1"/>
    </xf>
    <xf numFmtId="14" fontId="37" fillId="0" borderId="1" xfId="0" applyNumberFormat="1" applyFont="1" applyBorder="1" applyAlignment="1">
      <alignment horizontal="right" wrapText="1"/>
    </xf>
    <xf numFmtId="0" fontId="124" fillId="24" borderId="1" xfId="0" applyFont="1" applyFill="1" applyBorder="1" applyAlignment="1">
      <alignment wrapText="1"/>
    </xf>
    <xf numFmtId="0" fontId="88" fillId="22" borderId="1" xfId="0" applyFont="1" applyFill="1" applyBorder="1" applyAlignment="1">
      <alignment wrapText="1"/>
    </xf>
    <xf numFmtId="0" fontId="124" fillId="19" borderId="1" xfId="0" applyFont="1" applyFill="1" applyBorder="1" applyAlignment="1">
      <alignment wrapText="1"/>
    </xf>
    <xf numFmtId="14" fontId="40" fillId="0" borderId="1" xfId="0" applyNumberFormat="1" applyFont="1" applyBorder="1" applyAlignment="1">
      <alignment wrapText="1"/>
    </xf>
    <xf numFmtId="14" fontId="49" fillId="8" borderId="1" xfId="0" applyNumberFormat="1" applyFont="1" applyFill="1" applyBorder="1" applyAlignment="1">
      <alignment horizontal="right" wrapText="1"/>
    </xf>
    <xf numFmtId="0" fontId="49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3" fontId="37" fillId="0" borderId="1" xfId="0" applyNumberFormat="1" applyFont="1" applyBorder="1" applyAlignment="1">
      <alignment horizontal="center" wrapText="1"/>
    </xf>
    <xf numFmtId="3" fontId="37" fillId="8" borderId="1" xfId="0" applyNumberFormat="1" applyFont="1" applyFill="1" applyBorder="1" applyAlignment="1">
      <alignment horizontal="center" wrapText="1"/>
    </xf>
    <xf numFmtId="0" fontId="40" fillId="8" borderId="5" xfId="0" applyFont="1" applyFill="1" applyBorder="1" applyAlignment="1">
      <alignment horizontal="center" wrapText="1"/>
    </xf>
    <xf numFmtId="0" fontId="58" fillId="0" borderId="5" xfId="0" applyFont="1" applyBorder="1" applyAlignment="1">
      <alignment wrapText="1"/>
    </xf>
    <xf numFmtId="3" fontId="37" fillId="0" borderId="5" xfId="0" applyNumberFormat="1" applyFont="1" applyBorder="1" applyAlignment="1">
      <alignment wrapText="1"/>
    </xf>
    <xf numFmtId="0" fontId="37" fillId="0" borderId="0" xfId="0" applyFont="1" applyAlignment="1">
      <alignment horizontal="center" wrapText="1"/>
    </xf>
    <xf numFmtId="3" fontId="40" fillId="0" borderId="2" xfId="0" applyNumberFormat="1" applyFont="1" applyBorder="1" applyAlignment="1">
      <alignment wrapText="1"/>
    </xf>
    <xf numFmtId="0" fontId="39" fillId="0" borderId="1" xfId="0" applyFont="1" applyBorder="1" applyAlignment="1">
      <alignment wrapText="1"/>
    </xf>
    <xf numFmtId="14" fontId="146" fillId="0" borderId="1" xfId="0" applyNumberFormat="1" applyFont="1" applyBorder="1" applyAlignment="1">
      <alignment wrapText="1"/>
    </xf>
    <xf numFmtId="0" fontId="37" fillId="0" borderId="0" xfId="0" applyFont="1" applyAlignment="1">
      <alignment horizontal="right" wrapText="1"/>
    </xf>
    <xf numFmtId="0" fontId="124" fillId="10" borderId="0" xfId="0" applyFont="1" applyFill="1" applyAlignment="1">
      <alignment wrapText="1"/>
    </xf>
    <xf numFmtId="3" fontId="40" fillId="8" borderId="1" xfId="0" applyNumberFormat="1" applyFont="1" applyFill="1" applyBorder="1" applyAlignment="1">
      <alignment wrapText="1"/>
    </xf>
    <xf numFmtId="0" fontId="140" fillId="8" borderId="1" xfId="0" applyFont="1" applyFill="1" applyBorder="1" applyAlignment="1">
      <alignment wrapText="1"/>
    </xf>
    <xf numFmtId="3" fontId="40" fillId="0" borderId="1" xfId="0" applyNumberFormat="1" applyFont="1" applyBorder="1" applyAlignment="1">
      <alignment horizontal="right" wrapText="1"/>
    </xf>
    <xf numFmtId="3" fontId="40" fillId="8" borderId="2" xfId="0" applyNumberFormat="1" applyFont="1" applyFill="1" applyBorder="1" applyAlignment="1">
      <alignment wrapText="1"/>
    </xf>
    <xf numFmtId="3" fontId="37" fillId="0" borderId="1" xfId="0" applyNumberFormat="1" applyFont="1" applyBorder="1" applyAlignment="1">
      <alignment horizontal="right" wrapText="1"/>
    </xf>
    <xf numFmtId="3" fontId="58" fillId="8" borderId="2" xfId="0" applyNumberFormat="1" applyFont="1" applyFill="1" applyBorder="1" applyAlignment="1">
      <alignment wrapText="1"/>
    </xf>
    <xf numFmtId="3" fontId="40" fillId="0" borderId="4" xfId="0" applyNumberFormat="1" applyFont="1" applyBorder="1" applyAlignment="1">
      <alignment wrapText="1"/>
    </xf>
    <xf numFmtId="3" fontId="37" fillId="8" borderId="2" xfId="0" applyNumberFormat="1" applyFont="1" applyFill="1" applyBorder="1" applyAlignment="1">
      <alignment wrapText="1"/>
    </xf>
    <xf numFmtId="0" fontId="37" fillId="0" borderId="6" xfId="0" applyFont="1" applyBorder="1" applyAlignment="1">
      <alignment vertical="center" wrapText="1"/>
    </xf>
    <xf numFmtId="3" fontId="58" fillId="0" borderId="4" xfId="0" applyNumberFormat="1" applyFont="1" applyBorder="1" applyAlignment="1">
      <alignment horizontal="center" vertical="center" wrapText="1"/>
    </xf>
    <xf numFmtId="0" fontId="58" fillId="8" borderId="8" xfId="0" applyFont="1" applyFill="1" applyBorder="1" applyAlignment="1">
      <alignment wrapText="1"/>
    </xf>
    <xf numFmtId="0" fontId="147" fillId="0" borderId="1" xfId="0" applyFont="1" applyBorder="1" applyAlignment="1">
      <alignment wrapText="1"/>
    </xf>
    <xf numFmtId="0" fontId="37" fillId="0" borderId="4" xfId="0" applyFont="1" applyBorder="1" applyAlignment="1">
      <alignment vertical="center" wrapText="1"/>
    </xf>
    <xf numFmtId="0" fontId="147" fillId="3" borderId="1" xfId="0" applyFont="1" applyFill="1" applyBorder="1" applyAlignment="1">
      <alignment wrapText="1"/>
    </xf>
    <xf numFmtId="0" fontId="37" fillId="0" borderId="5" xfId="0" applyFont="1" applyBorder="1" applyAlignment="1">
      <alignment vertical="center" wrapText="1"/>
    </xf>
    <xf numFmtId="3" fontId="37" fillId="24" borderId="2" xfId="0" applyNumberFormat="1" applyFont="1" applyFill="1" applyBorder="1" applyAlignment="1">
      <alignment wrapText="1"/>
    </xf>
    <xf numFmtId="0" fontId="148" fillId="0" borderId="2" xfId="0" applyFont="1" applyBorder="1" applyAlignment="1">
      <alignment wrapText="1"/>
    </xf>
    <xf numFmtId="0" fontId="37" fillId="0" borderId="4" xfId="0" applyFont="1" applyBorder="1" applyAlignment="1">
      <alignment horizontal="right" wrapText="1"/>
    </xf>
    <xf numFmtId="3" fontId="37" fillId="0" borderId="4" xfId="0" applyNumberFormat="1" applyFont="1" applyBorder="1" applyAlignment="1">
      <alignment horizontal="right" wrapText="1"/>
    </xf>
    <xf numFmtId="3" fontId="37" fillId="24" borderId="1" xfId="0" applyNumberFormat="1" applyFont="1" applyFill="1" applyBorder="1" applyAlignment="1">
      <alignment wrapText="1"/>
    </xf>
    <xf numFmtId="0" fontId="148" fillId="0" borderId="1" xfId="0" applyFont="1" applyBorder="1" applyAlignment="1">
      <alignment wrapText="1"/>
    </xf>
    <xf numFmtId="3" fontId="49" fillId="0" borderId="4" xfId="0" applyNumberFormat="1" applyFont="1" applyBorder="1" applyAlignment="1">
      <alignment horizontal="center" wrapText="1"/>
    </xf>
    <xf numFmtId="14" fontId="128" fillId="8" borderId="2" xfId="0" applyNumberFormat="1" applyFont="1" applyFill="1" applyBorder="1" applyAlignment="1">
      <alignment wrapText="1"/>
    </xf>
    <xf numFmtId="0" fontId="147" fillId="15" borderId="1" xfId="0" applyFont="1" applyFill="1" applyBorder="1" applyAlignment="1">
      <alignment wrapText="1"/>
    </xf>
    <xf numFmtId="14" fontId="149" fillId="8" borderId="2" xfId="0" applyNumberFormat="1" applyFont="1" applyFill="1" applyBorder="1" applyAlignment="1">
      <alignment wrapText="1"/>
    </xf>
    <xf numFmtId="14" fontId="49" fillId="8" borderId="2" xfId="0" applyNumberFormat="1" applyFont="1" applyFill="1" applyBorder="1" applyAlignment="1">
      <alignment wrapText="1"/>
    </xf>
    <xf numFmtId="0" fontId="124" fillId="8" borderId="3" xfId="0" applyFont="1" applyFill="1" applyBorder="1" applyAlignment="1">
      <alignment wrapText="1"/>
    </xf>
    <xf numFmtId="3" fontId="37" fillId="8" borderId="4" xfId="0" applyNumberFormat="1" applyFont="1" applyFill="1" applyBorder="1" applyAlignment="1">
      <alignment wrapText="1"/>
    </xf>
    <xf numFmtId="0" fontId="131" fillId="0" borderId="1" xfId="0" applyFont="1" applyBorder="1" applyAlignment="1">
      <alignment wrapText="1"/>
    </xf>
    <xf numFmtId="3" fontId="150" fillId="24" borderId="2" xfId="0" applyNumberFormat="1" applyFont="1" applyFill="1" applyBorder="1" applyAlignment="1">
      <alignment horizontal="right" wrapText="1"/>
    </xf>
    <xf numFmtId="14" fontId="88" fillId="8" borderId="2" xfId="0" applyNumberFormat="1" applyFont="1" applyFill="1" applyBorder="1" applyAlignment="1">
      <alignment wrapText="1"/>
    </xf>
    <xf numFmtId="0" fontId="151" fillId="8" borderId="1" xfId="0" applyFont="1" applyFill="1" applyBorder="1" applyAlignment="1">
      <alignment wrapText="1"/>
    </xf>
    <xf numFmtId="0" fontId="39" fillId="22" borderId="1" xfId="0" applyFont="1" applyFill="1" applyBorder="1" applyAlignment="1">
      <alignment wrapText="1"/>
    </xf>
    <xf numFmtId="0" fontId="37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4" fontId="37" fillId="0" borderId="1" xfId="0" applyNumberFormat="1" applyFont="1" applyBorder="1" applyAlignment="1">
      <alignment vertical="center" wrapText="1"/>
    </xf>
    <xf numFmtId="0" fontId="37" fillId="8" borderId="9" xfId="0" applyFont="1" applyFill="1" applyBorder="1" applyAlignment="1">
      <alignment vertical="center" wrapText="1"/>
    </xf>
    <xf numFmtId="0" fontId="147" fillId="0" borderId="2" xfId="0" applyFont="1" applyBorder="1" applyAlignment="1">
      <alignment wrapText="1"/>
    </xf>
    <xf numFmtId="4" fontId="37" fillId="0" borderId="3" xfId="0" applyNumberFormat="1" applyFont="1" applyBorder="1" applyAlignment="1">
      <alignment vertical="center" wrapText="1"/>
    </xf>
    <xf numFmtId="0" fontId="40" fillId="0" borderId="13" xfId="0" applyFont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 wrapText="1"/>
    </xf>
    <xf numFmtId="0" fontId="49" fillId="0" borderId="4" xfId="0" applyFont="1" applyBorder="1" applyAlignment="1">
      <alignment vertical="center" wrapText="1"/>
    </xf>
    <xf numFmtId="4" fontId="37" fillId="0" borderId="4" xfId="0" applyNumberFormat="1" applyFont="1" applyBorder="1" applyAlignment="1">
      <alignment vertical="center" wrapText="1"/>
    </xf>
    <xf numFmtId="0" fontId="40" fillId="8" borderId="14" xfId="0" applyFont="1" applyFill="1" applyBorder="1" applyAlignment="1">
      <alignment vertical="center" wrapText="1"/>
    </xf>
    <xf numFmtId="0" fontId="49" fillId="0" borderId="8" xfId="0" applyFont="1" applyBorder="1" applyAlignment="1">
      <alignment wrapText="1"/>
    </xf>
    <xf numFmtId="14" fontId="149" fillId="8" borderId="8" xfId="0" applyNumberFormat="1" applyFont="1" applyFill="1" applyBorder="1" applyAlignment="1">
      <alignment wrapText="1"/>
    </xf>
    <xf numFmtId="0" fontId="117" fillId="0" borderId="3" xfId="0" applyFont="1" applyBorder="1" applyAlignment="1">
      <alignment wrapText="1"/>
    </xf>
    <xf numFmtId="4" fontId="37" fillId="0" borderId="13" xfId="0" applyNumberFormat="1" applyFont="1" applyBorder="1" applyAlignment="1">
      <alignment horizontal="center" wrapText="1"/>
    </xf>
    <xf numFmtId="16" fontId="37" fillId="0" borderId="6" xfId="0" applyNumberFormat="1" applyFont="1" applyBorder="1" applyAlignment="1">
      <alignment wrapText="1"/>
    </xf>
    <xf numFmtId="0" fontId="37" fillId="8" borderId="6" xfId="0" applyFont="1" applyFill="1" applyBorder="1" applyAlignment="1">
      <alignment horizontal="center" vertical="center" wrapText="1"/>
    </xf>
    <xf numFmtId="0" fontId="40" fillId="0" borderId="6" xfId="0" applyFont="1" applyBorder="1" applyAlignment="1">
      <alignment wrapText="1"/>
    </xf>
    <xf numFmtId="3" fontId="37" fillId="8" borderId="7" xfId="0" applyNumberFormat="1" applyFont="1" applyFill="1" applyBorder="1" applyAlignment="1">
      <alignment wrapText="1"/>
    </xf>
    <xf numFmtId="0" fontId="117" fillId="0" borderId="12" xfId="0" applyFont="1" applyBorder="1" applyAlignment="1">
      <alignment wrapText="1"/>
    </xf>
    <xf numFmtId="16" fontId="37" fillId="0" borderId="4" xfId="0" applyNumberFormat="1" applyFont="1" applyBorder="1" applyAlignment="1">
      <alignment wrapText="1"/>
    </xf>
    <xf numFmtId="0" fontId="40" fillId="0" borderId="6" xfId="0" applyFont="1" applyBorder="1" applyAlignment="1">
      <alignment horizontal="center" vertical="center" wrapText="1"/>
    </xf>
    <xf numFmtId="0" fontId="37" fillId="0" borderId="15" xfId="0" applyFont="1" applyBorder="1" applyAlignment="1">
      <alignment wrapText="1"/>
    </xf>
    <xf numFmtId="3" fontId="37" fillId="8" borderId="1" xfId="0" applyNumberFormat="1" applyFont="1" applyFill="1" applyBorder="1" applyAlignment="1">
      <alignment horizontal="right" wrapText="1"/>
    </xf>
    <xf numFmtId="3" fontId="37" fillId="8" borderId="2" xfId="0" applyNumberFormat="1" applyFont="1" applyFill="1" applyBorder="1" applyAlignment="1">
      <alignment horizontal="right" wrapText="1"/>
    </xf>
    <xf numFmtId="3" fontId="58" fillId="0" borderId="1" xfId="0" applyNumberFormat="1" applyFont="1" applyBorder="1" applyAlignment="1">
      <alignment horizontal="center" vertical="center" wrapText="1"/>
    </xf>
    <xf numFmtId="0" fontId="39" fillId="8" borderId="1" xfId="0" applyFont="1" applyFill="1" applyBorder="1" applyAlignment="1">
      <alignment wrapText="1"/>
    </xf>
    <xf numFmtId="3" fontId="37" fillId="8" borderId="5" xfId="0" applyNumberFormat="1" applyFont="1" applyFill="1" applyBorder="1" applyAlignment="1">
      <alignment horizontal="right" wrapText="1"/>
    </xf>
    <xf numFmtId="0" fontId="124" fillId="24" borderId="3" xfId="0" applyFont="1" applyFill="1" applyBorder="1" applyAlignment="1">
      <alignment wrapText="1"/>
    </xf>
    <xf numFmtId="3" fontId="49" fillId="8" borderId="1" xfId="0" applyNumberFormat="1" applyFont="1" applyFill="1" applyBorder="1" applyAlignment="1">
      <alignment wrapText="1"/>
    </xf>
    <xf numFmtId="49" fontId="142" fillId="8" borderId="2" xfId="0" applyNumberFormat="1" applyFont="1" applyFill="1" applyBorder="1" applyAlignment="1">
      <alignment wrapText="1"/>
    </xf>
    <xf numFmtId="49" fontId="49" fillId="8" borderId="2" xfId="0" applyNumberFormat="1" applyFont="1" applyFill="1" applyBorder="1" applyAlignment="1">
      <alignment wrapText="1"/>
    </xf>
    <xf numFmtId="0" fontId="124" fillId="0" borderId="3" xfId="0" applyFont="1" applyBorder="1" applyAlignment="1">
      <alignment wrapText="1"/>
    </xf>
    <xf numFmtId="49" fontId="58" fillId="0" borderId="8" xfId="0" applyNumberFormat="1" applyFont="1" applyBorder="1" applyAlignment="1">
      <alignment wrapText="1"/>
    </xf>
    <xf numFmtId="49" fontId="58" fillId="0" borderId="4" xfId="0" applyNumberFormat="1" applyFont="1" applyBorder="1" applyAlignment="1">
      <alignment wrapText="1"/>
    </xf>
    <xf numFmtId="0" fontId="49" fillId="5" borderId="4" xfId="0" applyFont="1" applyFill="1" applyBorder="1" applyAlignment="1">
      <alignment wrapText="1"/>
    </xf>
    <xf numFmtId="0" fontId="49" fillId="5" borderId="10" xfId="0" applyFont="1" applyFill="1" applyBorder="1" applyAlignment="1">
      <alignment wrapText="1"/>
    </xf>
    <xf numFmtId="3" fontId="58" fillId="5" borderId="1" xfId="0" applyNumberFormat="1" applyFont="1" applyFill="1" applyBorder="1" applyAlignment="1">
      <alignment wrapText="1"/>
    </xf>
    <xf numFmtId="49" fontId="58" fillId="5" borderId="1" xfId="0" applyNumberFormat="1" applyFont="1" applyFill="1" applyBorder="1" applyAlignment="1">
      <alignment wrapText="1"/>
    </xf>
    <xf numFmtId="0" fontId="37" fillId="5" borderId="2" xfId="0" applyFont="1" applyFill="1" applyBorder="1" applyAlignment="1">
      <alignment wrapText="1"/>
    </xf>
    <xf numFmtId="0" fontId="37" fillId="4" borderId="4" xfId="0" applyFont="1" applyFill="1" applyBorder="1" applyAlignment="1">
      <alignment horizontal="right" wrapText="1"/>
    </xf>
    <xf numFmtId="0" fontId="148" fillId="0" borderId="5" xfId="0" applyFont="1" applyBorder="1" applyAlignment="1">
      <alignment wrapText="1"/>
    </xf>
    <xf numFmtId="1" fontId="58" fillId="0" borderId="1" xfId="0" applyNumberFormat="1" applyFont="1" applyBorder="1" applyAlignment="1">
      <alignment wrapText="1"/>
    </xf>
    <xf numFmtId="0" fontId="148" fillId="8" borderId="1" xfId="0" applyFont="1" applyFill="1" applyBorder="1" applyAlignment="1">
      <alignment wrapText="1"/>
    </xf>
    <xf numFmtId="0" fontId="49" fillId="24" borderId="7" xfId="0" applyFont="1" applyFill="1" applyBorder="1" applyAlignment="1">
      <alignment wrapText="1"/>
    </xf>
    <xf numFmtId="3" fontId="49" fillId="8" borderId="2" xfId="0" applyNumberFormat="1" applyFont="1" applyFill="1" applyBorder="1" applyAlignment="1">
      <alignment wrapText="1"/>
    </xf>
    <xf numFmtId="0" fontId="152" fillId="5" borderId="2" xfId="0" applyFont="1" applyFill="1" applyBorder="1" applyAlignment="1">
      <alignment wrapText="1"/>
    </xf>
    <xf numFmtId="0" fontId="49" fillId="8" borderId="2" xfId="0" applyFont="1" applyFill="1" applyBorder="1" applyAlignment="1">
      <alignment horizontal="right" wrapText="1"/>
    </xf>
    <xf numFmtId="0" fontId="149" fillId="0" borderId="2" xfId="0" applyFont="1" applyBorder="1" applyAlignment="1">
      <alignment wrapText="1"/>
    </xf>
    <xf numFmtId="0" fontId="49" fillId="22" borderId="2" xfId="0" applyFont="1" applyFill="1" applyBorder="1" applyAlignment="1">
      <alignment wrapText="1"/>
    </xf>
    <xf numFmtId="0" fontId="49" fillId="24" borderId="3" xfId="0" applyFont="1" applyFill="1" applyBorder="1" applyAlignment="1">
      <alignment wrapText="1"/>
    </xf>
    <xf numFmtId="0" fontId="147" fillId="8" borderId="1" xfId="0" applyFont="1" applyFill="1" applyBorder="1" applyAlignment="1">
      <alignment wrapText="1"/>
    </xf>
    <xf numFmtId="0" fontId="152" fillId="5" borderId="1" xfId="0" applyFont="1" applyFill="1" applyBorder="1" applyAlignment="1">
      <alignment wrapText="1"/>
    </xf>
    <xf numFmtId="0" fontId="117" fillId="0" borderId="4" xfId="0" applyFont="1" applyBorder="1" applyAlignment="1">
      <alignment wrapText="1"/>
    </xf>
    <xf numFmtId="2" fontId="58" fillId="0" borderId="8" xfId="0" applyNumberFormat="1" applyFont="1" applyBorder="1" applyAlignment="1">
      <alignment wrapText="1"/>
    </xf>
    <xf numFmtId="0" fontId="49" fillId="22" borderId="7" xfId="0" applyFont="1" applyFill="1" applyBorder="1" applyAlignment="1">
      <alignment wrapText="1"/>
    </xf>
    <xf numFmtId="4" fontId="37" fillId="0" borderId="3" xfId="0" applyNumberFormat="1" applyFont="1" applyBorder="1" applyAlignment="1">
      <alignment horizontal="center" wrapText="1"/>
    </xf>
    <xf numFmtId="0" fontId="37" fillId="0" borderId="10" xfId="0" applyFont="1" applyBorder="1" applyAlignment="1">
      <alignment horizontal="right" wrapText="1"/>
    </xf>
    <xf numFmtId="0" fontId="148" fillId="4" borderId="4" xfId="0" applyFont="1" applyFill="1" applyBorder="1" applyAlignment="1">
      <alignment wrapText="1"/>
    </xf>
    <xf numFmtId="4" fontId="37" fillId="0" borderId="3" xfId="0" applyNumberFormat="1" applyFont="1" applyBorder="1" applyAlignment="1">
      <alignment wrapText="1"/>
    </xf>
    <xf numFmtId="4" fontId="148" fillId="0" borderId="1" xfId="0" applyNumberFormat="1" applyFont="1" applyBorder="1" applyAlignment="1">
      <alignment wrapText="1"/>
    </xf>
    <xf numFmtId="0" fontId="49" fillId="0" borderId="5" xfId="0" applyFont="1" applyBorder="1" applyAlignment="1">
      <alignment vertical="center" wrapText="1"/>
    </xf>
    <xf numFmtId="0" fontId="49" fillId="20" borderId="1" xfId="0" applyFont="1" applyFill="1" applyBorder="1" applyAlignment="1">
      <alignment wrapText="1"/>
    </xf>
    <xf numFmtId="0" fontId="49" fillId="20" borderId="3" xfId="0" applyFont="1" applyFill="1" applyBorder="1" applyAlignment="1">
      <alignment wrapText="1"/>
    </xf>
    <xf numFmtId="4" fontId="37" fillId="0" borderId="8" xfId="0" applyNumberFormat="1" applyFont="1" applyBorder="1" applyAlignment="1">
      <alignment wrapText="1"/>
    </xf>
    <xf numFmtId="0" fontId="147" fillId="22" borderId="1" xfId="0" applyFont="1" applyFill="1" applyBorder="1" applyAlignment="1">
      <alignment wrapText="1"/>
    </xf>
    <xf numFmtId="0" fontId="37" fillId="4" borderId="5" xfId="0" applyFont="1" applyFill="1" applyBorder="1" applyAlignment="1">
      <alignment vertical="center" wrapText="1"/>
    </xf>
    <xf numFmtId="0" fontId="147" fillId="5" borderId="2" xfId="0" applyFont="1" applyFill="1" applyBorder="1" applyAlignment="1">
      <alignment wrapText="1"/>
    </xf>
    <xf numFmtId="0" fontId="49" fillId="22" borderId="12" xfId="0" applyFont="1" applyFill="1" applyBorder="1" applyAlignment="1">
      <alignment wrapText="1"/>
    </xf>
    <xf numFmtId="3" fontId="49" fillId="0" borderId="1" xfId="0" applyNumberFormat="1" applyFont="1" applyBorder="1" applyAlignment="1">
      <alignment wrapText="1"/>
    </xf>
    <xf numFmtId="3" fontId="58" fillId="22" borderId="1" xfId="0" applyNumberFormat="1" applyFont="1" applyFill="1" applyBorder="1" applyAlignment="1">
      <alignment wrapText="1"/>
    </xf>
    <xf numFmtId="0" fontId="117" fillId="0" borderId="6" xfId="0" applyFont="1" applyBorder="1" applyAlignment="1">
      <alignment wrapText="1"/>
    </xf>
    <xf numFmtId="0" fontId="58" fillId="4" borderId="8" xfId="0" applyFont="1" applyFill="1" applyBorder="1" applyAlignment="1">
      <alignment wrapText="1"/>
    </xf>
    <xf numFmtId="0" fontId="49" fillId="22" borderId="13" xfId="0" applyFont="1" applyFill="1" applyBorder="1" applyAlignment="1">
      <alignment wrapText="1"/>
    </xf>
    <xf numFmtId="3" fontId="49" fillId="0" borderId="2" xfId="0" applyNumberFormat="1" applyFont="1" applyBorder="1" applyAlignment="1">
      <alignment wrapText="1"/>
    </xf>
    <xf numFmtId="0" fontId="40" fillId="24" borderId="6" xfId="0" applyFont="1" applyFill="1" applyBorder="1" applyAlignment="1">
      <alignment wrapText="1"/>
    </xf>
    <xf numFmtId="0" fontId="37" fillId="8" borderId="9" xfId="0" applyFont="1" applyFill="1" applyBorder="1" applyAlignment="1">
      <alignment wrapText="1"/>
    </xf>
    <xf numFmtId="4" fontId="40" fillId="8" borderId="10" xfId="0" applyNumberFormat="1" applyFont="1" applyFill="1" applyBorder="1" applyAlignment="1">
      <alignment wrapText="1"/>
    </xf>
    <xf numFmtId="3" fontId="58" fillId="0" borderId="1" xfId="0" applyNumberFormat="1" applyFont="1" applyBorder="1" applyAlignment="1">
      <alignment wrapText="1"/>
    </xf>
    <xf numFmtId="3" fontId="58" fillId="0" borderId="2" xfId="0" applyNumberFormat="1" applyFont="1" applyBorder="1" applyAlignment="1">
      <alignment wrapText="1"/>
    </xf>
    <xf numFmtId="49" fontId="37" fillId="0" borderId="2" xfId="0" applyNumberFormat="1" applyFont="1" applyBorder="1" applyAlignment="1">
      <alignment wrapText="1"/>
    </xf>
    <xf numFmtId="4" fontId="37" fillId="0" borderId="2" xfId="0" applyNumberFormat="1" applyFont="1" applyBorder="1" applyAlignment="1">
      <alignment wrapText="1"/>
    </xf>
    <xf numFmtId="0" fontId="49" fillId="22" borderId="10" xfId="0" applyFont="1" applyFill="1" applyBorder="1" applyAlignment="1">
      <alignment wrapText="1"/>
    </xf>
    <xf numFmtId="3" fontId="49" fillId="22" borderId="1" xfId="0" applyNumberFormat="1" applyFont="1" applyFill="1" applyBorder="1" applyAlignment="1">
      <alignment wrapText="1"/>
    </xf>
    <xf numFmtId="0" fontId="58" fillId="4" borderId="1" xfId="0" applyFont="1" applyFill="1" applyBorder="1" applyAlignment="1">
      <alignment horizontal="center" wrapText="1"/>
    </xf>
    <xf numFmtId="3" fontId="37" fillId="22" borderId="1" xfId="0" applyNumberFormat="1" applyFont="1" applyFill="1" applyBorder="1" applyAlignment="1">
      <alignment wrapText="1"/>
    </xf>
    <xf numFmtId="0" fontId="58" fillId="4" borderId="3" xfId="0" applyFont="1" applyFill="1" applyBorder="1" applyAlignment="1">
      <alignment horizontal="center" wrapText="1"/>
    </xf>
    <xf numFmtId="3" fontId="58" fillId="0" borderId="3" xfId="0" applyNumberFormat="1" applyFont="1" applyBorder="1" applyAlignment="1">
      <alignment wrapText="1"/>
    </xf>
    <xf numFmtId="2" fontId="37" fillId="0" borderId="4" xfId="0" applyNumberFormat="1" applyFont="1" applyBorder="1" applyAlignment="1">
      <alignment wrapText="1"/>
    </xf>
    <xf numFmtId="0" fontId="58" fillId="8" borderId="0" xfId="0" applyFont="1" applyFill="1" applyAlignment="1">
      <alignment wrapText="1"/>
    </xf>
    <xf numFmtId="0" fontId="124" fillId="8" borderId="12" xfId="0" applyFont="1" applyFill="1" applyBorder="1" applyAlignment="1">
      <alignment wrapText="1"/>
    </xf>
    <xf numFmtId="4" fontId="117" fillId="0" borderId="4" xfId="0" applyNumberFormat="1" applyFont="1" applyBorder="1" applyAlignment="1">
      <alignment wrapText="1"/>
    </xf>
    <xf numFmtId="0" fontId="58" fillId="8" borderId="6" xfId="0" applyFont="1" applyFill="1" applyBorder="1" applyAlignment="1">
      <alignment wrapText="1"/>
    </xf>
    <xf numFmtId="0" fontId="58" fillId="8" borderId="11" xfId="0" applyFont="1" applyFill="1" applyBorder="1" applyAlignment="1">
      <alignment horizontal="center" wrapText="1"/>
    </xf>
    <xf numFmtId="3" fontId="88" fillId="22" borderId="1" xfId="0" applyNumberFormat="1" applyFont="1" applyFill="1" applyBorder="1" applyAlignment="1">
      <alignment wrapText="1"/>
    </xf>
    <xf numFmtId="3" fontId="88" fillId="0" borderId="1" xfId="0" applyNumberFormat="1" applyFont="1" applyBorder="1" applyAlignment="1">
      <alignment wrapText="1"/>
    </xf>
    <xf numFmtId="0" fontId="49" fillId="26" borderId="2" xfId="0" applyFont="1" applyFill="1" applyBorder="1" applyAlignment="1">
      <alignment wrapText="1"/>
    </xf>
    <xf numFmtId="0" fontId="58" fillId="8" borderId="4" xfId="0" applyFont="1" applyFill="1" applyBorder="1" applyAlignment="1">
      <alignment horizontal="center" wrapText="1"/>
    </xf>
    <xf numFmtId="0" fontId="49" fillId="8" borderId="1" xfId="0" applyFont="1" applyFill="1" applyBorder="1" applyAlignment="1">
      <alignment horizontal="center" vertical="center" wrapText="1"/>
    </xf>
    <xf numFmtId="14" fontId="49" fillId="8" borderId="1" xfId="0" applyNumberFormat="1" applyFont="1" applyFill="1" applyBorder="1" applyAlignment="1">
      <alignment horizontal="center" wrapText="1"/>
    </xf>
    <xf numFmtId="0" fontId="49" fillId="22" borderId="6" xfId="0" applyFont="1" applyFill="1" applyBorder="1" applyAlignment="1">
      <alignment wrapText="1"/>
    </xf>
    <xf numFmtId="4" fontId="37" fillId="0" borderId="4" xfId="0" applyNumberFormat="1" applyFont="1" applyBorder="1" applyAlignment="1">
      <alignment horizontal="right" wrapText="1"/>
    </xf>
    <xf numFmtId="0" fontId="40" fillId="0" borderId="15" xfId="0" applyFont="1" applyBorder="1" applyAlignment="1">
      <alignment wrapText="1"/>
    </xf>
    <xf numFmtId="0" fontId="88" fillId="0" borderId="2" xfId="0" applyFont="1" applyBorder="1" applyAlignment="1">
      <alignment horizontal="right" wrapText="1"/>
    </xf>
    <xf numFmtId="3" fontId="152" fillId="0" borderId="2" xfId="0" applyNumberFormat="1" applyFont="1" applyBorder="1" applyAlignment="1">
      <alignment wrapText="1"/>
    </xf>
    <xf numFmtId="3" fontId="39" fillId="0" borderId="4" xfId="0" applyNumberFormat="1" applyFont="1" applyBorder="1" applyAlignment="1">
      <alignment wrapText="1"/>
    </xf>
    <xf numFmtId="0" fontId="58" fillId="4" borderId="9" xfId="0" applyFont="1" applyFill="1" applyBorder="1" applyAlignment="1">
      <alignment horizontal="center" wrapText="1"/>
    </xf>
    <xf numFmtId="3" fontId="49" fillId="22" borderId="4" xfId="0" applyNumberFormat="1" applyFont="1" applyFill="1" applyBorder="1" applyAlignment="1">
      <alignment wrapText="1"/>
    </xf>
    <xf numFmtId="3" fontId="49" fillId="0" borderId="4" xfId="0" applyNumberFormat="1" applyFont="1" applyBorder="1" applyAlignment="1">
      <alignment wrapText="1"/>
    </xf>
    <xf numFmtId="3" fontId="37" fillId="0" borderId="8" xfId="0" applyNumberFormat="1" applyFont="1" applyBorder="1" applyAlignment="1">
      <alignment wrapText="1"/>
    </xf>
    <xf numFmtId="0" fontId="58" fillId="8" borderId="10" xfId="0" applyFont="1" applyFill="1" applyBorder="1" applyAlignment="1">
      <alignment wrapText="1"/>
    </xf>
    <xf numFmtId="3" fontId="49" fillId="0" borderId="3" xfId="0" applyNumberFormat="1" applyFont="1" applyBorder="1" applyAlignment="1">
      <alignment wrapText="1"/>
    </xf>
    <xf numFmtId="3" fontId="58" fillId="0" borderId="4" xfId="0" applyNumberFormat="1" applyFont="1" applyBorder="1" applyAlignment="1">
      <alignment wrapText="1"/>
    </xf>
    <xf numFmtId="3" fontId="49" fillId="19" borderId="1" xfId="0" applyNumberFormat="1" applyFont="1" applyFill="1" applyBorder="1" applyAlignment="1">
      <alignment wrapText="1"/>
    </xf>
    <xf numFmtId="3" fontId="49" fillId="19" borderId="3" xfId="0" applyNumberFormat="1" applyFont="1" applyFill="1" applyBorder="1" applyAlignment="1">
      <alignment wrapText="1"/>
    </xf>
    <xf numFmtId="3" fontId="49" fillId="19" borderId="2" xfId="0" applyNumberFormat="1" applyFont="1" applyFill="1" applyBorder="1" applyAlignment="1">
      <alignment wrapText="1"/>
    </xf>
    <xf numFmtId="0" fontId="49" fillId="19" borderId="1" xfId="0" applyFont="1" applyFill="1" applyBorder="1" applyAlignment="1">
      <alignment wrapText="1"/>
    </xf>
    <xf numFmtId="0" fontId="37" fillId="19" borderId="7" xfId="0" applyFont="1" applyFill="1" applyBorder="1" applyAlignment="1">
      <alignment wrapText="1"/>
    </xf>
    <xf numFmtId="0" fontId="37" fillId="19" borderId="2" xfId="0" applyFont="1" applyFill="1" applyBorder="1" applyAlignment="1">
      <alignment wrapText="1"/>
    </xf>
    <xf numFmtId="0" fontId="37" fillId="19" borderId="1" xfId="0" applyFont="1" applyFill="1" applyBorder="1" applyAlignment="1">
      <alignment wrapText="1"/>
    </xf>
    <xf numFmtId="0" fontId="37" fillId="19" borderId="0" xfId="0" applyFont="1" applyFill="1" applyAlignment="1">
      <alignment wrapText="1"/>
    </xf>
    <xf numFmtId="0" fontId="49" fillId="8" borderId="6" xfId="0" applyFont="1" applyFill="1" applyBorder="1" applyAlignment="1">
      <alignment horizontal="center" vertical="center" wrapText="1"/>
    </xf>
    <xf numFmtId="3" fontId="37" fillId="0" borderId="15" xfId="0" applyNumberFormat="1" applyFont="1" applyBorder="1" applyAlignment="1">
      <alignment wrapText="1"/>
    </xf>
    <xf numFmtId="3" fontId="58" fillId="0" borderId="13" xfId="0" applyNumberFormat="1" applyFont="1" applyBorder="1" applyAlignment="1">
      <alignment wrapText="1"/>
    </xf>
    <xf numFmtId="3" fontId="58" fillId="0" borderId="11" xfId="0" applyNumberFormat="1" applyFont="1" applyBorder="1" applyAlignment="1">
      <alignment wrapText="1"/>
    </xf>
    <xf numFmtId="0" fontId="49" fillId="24" borderId="12" xfId="0" applyFont="1" applyFill="1" applyBorder="1" applyAlignment="1">
      <alignment wrapText="1"/>
    </xf>
    <xf numFmtId="3" fontId="88" fillId="0" borderId="5" xfId="0" applyNumberFormat="1" applyFont="1" applyBorder="1" applyAlignment="1">
      <alignment wrapText="1"/>
    </xf>
    <xf numFmtId="14" fontId="49" fillId="4" borderId="1" xfId="0" applyNumberFormat="1" applyFont="1" applyFill="1" applyBorder="1" applyAlignment="1">
      <alignment wrapText="1"/>
    </xf>
    <xf numFmtId="0" fontId="49" fillId="8" borderId="9" xfId="0" applyFont="1" applyFill="1" applyBorder="1" applyAlignment="1">
      <alignment wrapText="1"/>
    </xf>
    <xf numFmtId="0" fontId="49" fillId="8" borderId="1" xfId="0" applyFont="1" applyFill="1" applyBorder="1" applyAlignment="1">
      <alignment horizontal="right" wrapText="1"/>
    </xf>
    <xf numFmtId="4" fontId="37" fillId="22" borderId="4" xfId="0" applyNumberFormat="1" applyFont="1" applyFill="1" applyBorder="1" applyAlignment="1">
      <alignment wrapText="1"/>
    </xf>
    <xf numFmtId="14" fontId="49" fillId="4" borderId="3" xfId="0" applyNumberFormat="1" applyFont="1" applyFill="1" applyBorder="1" applyAlignment="1">
      <alignment horizontal="center" wrapText="1"/>
    </xf>
    <xf numFmtId="0" fontId="37" fillId="22" borderId="3" xfId="0" applyFont="1" applyFill="1" applyBorder="1" applyAlignment="1">
      <alignment wrapText="1"/>
    </xf>
    <xf numFmtId="0" fontId="37" fillId="8" borderId="8" xfId="0" applyFont="1" applyFill="1" applyBorder="1" applyAlignment="1">
      <alignment horizontal="right" wrapText="1"/>
    </xf>
    <xf numFmtId="14" fontId="58" fillId="8" borderId="11" xfId="0" applyNumberFormat="1" applyFont="1" applyFill="1" applyBorder="1" applyAlignment="1">
      <alignment wrapText="1"/>
    </xf>
    <xf numFmtId="14" fontId="58" fillId="4" borderId="1" xfId="0" applyNumberFormat="1" applyFont="1" applyFill="1" applyBorder="1" applyAlignment="1">
      <alignment wrapText="1"/>
    </xf>
    <xf numFmtId="0" fontId="150" fillId="0" borderId="4" xfId="0" applyFont="1" applyBorder="1" applyAlignment="1">
      <alignment wrapText="1"/>
    </xf>
    <xf numFmtId="0" fontId="150" fillId="0" borderId="1" xfId="0" applyFont="1" applyBorder="1" applyAlignment="1">
      <alignment wrapText="1"/>
    </xf>
    <xf numFmtId="0" fontId="40" fillId="0" borderId="9" xfId="0" applyFont="1" applyBorder="1" applyAlignment="1">
      <alignment wrapText="1"/>
    </xf>
    <xf numFmtId="0" fontId="40" fillId="8" borderId="1" xfId="0" applyFont="1" applyFill="1" applyBorder="1" applyAlignment="1">
      <alignment horizontal="right" wrapText="1"/>
    </xf>
    <xf numFmtId="0" fontId="148" fillId="0" borderId="7" xfId="0" applyFont="1" applyBorder="1" applyAlignment="1">
      <alignment wrapText="1"/>
    </xf>
    <xf numFmtId="0" fontId="49" fillId="0" borderId="10" xfId="0" applyFont="1" applyBorder="1" applyAlignment="1">
      <alignment horizontal="center" wrapText="1"/>
    </xf>
    <xf numFmtId="0" fontId="58" fillId="6" borderId="1" xfId="0" applyFont="1" applyFill="1" applyBorder="1" applyAlignment="1">
      <alignment wrapText="1"/>
    </xf>
    <xf numFmtId="0" fontId="49" fillId="8" borderId="3" xfId="0" applyFont="1" applyFill="1" applyBorder="1" applyAlignment="1">
      <alignment horizontal="center" vertical="center" wrapText="1"/>
    </xf>
    <xf numFmtId="0" fontId="49" fillId="6" borderId="11" xfId="0" applyFont="1" applyFill="1" applyBorder="1" applyAlignment="1">
      <alignment wrapText="1"/>
    </xf>
    <xf numFmtId="0" fontId="37" fillId="4" borderId="15" xfId="0" applyFont="1" applyFill="1" applyBorder="1" applyAlignment="1">
      <alignment wrapText="1"/>
    </xf>
    <xf numFmtId="0" fontId="37" fillId="8" borderId="12" xfId="0" applyFont="1" applyFill="1" applyBorder="1" applyAlignment="1">
      <alignment wrapText="1"/>
    </xf>
    <xf numFmtId="16" fontId="37" fillId="0" borderId="1" xfId="0" applyNumberFormat="1" applyFont="1" applyBorder="1" applyAlignment="1">
      <alignment wrapText="1"/>
    </xf>
    <xf numFmtId="4" fontId="58" fillId="8" borderId="1" xfId="0" applyNumberFormat="1" applyFont="1" applyFill="1" applyBorder="1" applyAlignment="1">
      <alignment wrapText="1"/>
    </xf>
    <xf numFmtId="16" fontId="37" fillId="0" borderId="6" xfId="0" applyNumberFormat="1" applyFont="1" applyBorder="1" applyAlignment="1">
      <alignment horizontal="center" wrapText="1"/>
    </xf>
    <xf numFmtId="0" fontId="37" fillId="22" borderId="13" xfId="0" applyFont="1" applyFill="1" applyBorder="1" applyAlignment="1">
      <alignment wrapText="1"/>
    </xf>
    <xf numFmtId="0" fontId="49" fillId="24" borderId="10" xfId="0" applyFont="1" applyFill="1" applyBorder="1" applyAlignment="1">
      <alignment wrapText="1"/>
    </xf>
    <xf numFmtId="16" fontId="37" fillId="0" borderId="4" xfId="0" applyNumberFormat="1" applyFont="1" applyBorder="1" applyAlignment="1">
      <alignment horizontal="center" wrapText="1"/>
    </xf>
    <xf numFmtId="0" fontId="37" fillId="22" borderId="10" xfId="0" applyFont="1" applyFill="1" applyBorder="1" applyAlignment="1">
      <alignment wrapText="1"/>
    </xf>
    <xf numFmtId="0" fontId="88" fillId="22" borderId="1" xfId="0" applyFont="1" applyFill="1" applyBorder="1" applyAlignment="1">
      <alignment horizontal="right" wrapText="1"/>
    </xf>
    <xf numFmtId="0" fontId="40" fillId="0" borderId="1" xfId="0" applyFont="1" applyBorder="1" applyAlignment="1">
      <alignment horizontal="center" wrapText="1"/>
    </xf>
    <xf numFmtId="0" fontId="49" fillId="8" borderId="4" xfId="0" applyFont="1" applyFill="1" applyBorder="1" applyAlignment="1">
      <alignment horizontal="right" wrapText="1"/>
    </xf>
    <xf numFmtId="0" fontId="49" fillId="8" borderId="9" xfId="0" applyFont="1" applyFill="1" applyBorder="1" applyAlignment="1">
      <alignment horizontal="right" wrapText="1"/>
    </xf>
    <xf numFmtId="0" fontId="58" fillId="8" borderId="4" xfId="0" applyFont="1" applyFill="1" applyBorder="1" applyAlignment="1">
      <alignment horizontal="right" wrapText="1"/>
    </xf>
    <xf numFmtId="0" fontId="127" fillId="8" borderId="10" xfId="0" applyFont="1" applyFill="1" applyBorder="1" applyAlignment="1">
      <alignment wrapText="1"/>
    </xf>
    <xf numFmtId="0" fontId="127" fillId="8" borderId="2" xfId="0" applyFont="1" applyFill="1" applyBorder="1" applyAlignment="1">
      <alignment horizontal="right" wrapText="1"/>
    </xf>
    <xf numFmtId="0" fontId="127" fillId="8" borderId="3" xfId="0" applyFont="1" applyFill="1" applyBorder="1" applyAlignment="1">
      <alignment horizontal="right" wrapText="1"/>
    </xf>
    <xf numFmtId="0" fontId="153" fillId="13" borderId="10" xfId="0" applyFont="1" applyFill="1" applyBorder="1" applyAlignment="1">
      <alignment wrapText="1"/>
    </xf>
    <xf numFmtId="2" fontId="49" fillId="8" borderId="3" xfId="0" applyNumberFormat="1" applyFont="1" applyFill="1" applyBorder="1" applyAlignment="1">
      <alignment horizontal="right" wrapText="1"/>
    </xf>
    <xf numFmtId="0" fontId="49" fillId="8" borderId="3" xfId="0" applyFont="1" applyFill="1" applyBorder="1" applyAlignment="1">
      <alignment horizontal="right" wrapText="1"/>
    </xf>
    <xf numFmtId="14" fontId="49" fillId="8" borderId="4" xfId="0" applyNumberFormat="1" applyFont="1" applyFill="1" applyBorder="1" applyAlignment="1">
      <alignment horizontal="right" wrapText="1"/>
    </xf>
    <xf numFmtId="0" fontId="49" fillId="23" borderId="10" xfId="0" applyFont="1" applyFill="1" applyBorder="1" applyAlignment="1">
      <alignment wrapText="1"/>
    </xf>
    <xf numFmtId="0" fontId="88" fillId="22" borderId="8" xfId="0" applyFont="1" applyFill="1" applyBorder="1" applyAlignment="1">
      <alignment horizontal="right" wrapText="1"/>
    </xf>
    <xf numFmtId="0" fontId="49" fillId="8" borderId="10" xfId="0" applyFont="1" applyFill="1" applyBorder="1" applyAlignment="1">
      <alignment horizontal="right" wrapText="1"/>
    </xf>
    <xf numFmtId="0" fontId="88" fillId="8" borderId="8" xfId="0" applyFont="1" applyFill="1" applyBorder="1" applyAlignment="1">
      <alignment horizontal="right" wrapText="1"/>
    </xf>
    <xf numFmtId="14" fontId="58" fillId="8" borderId="4" xfId="0" applyNumberFormat="1" applyFont="1" applyFill="1" applyBorder="1" applyAlignment="1">
      <alignment horizontal="right" wrapText="1"/>
    </xf>
    <xf numFmtId="0" fontId="49" fillId="13" borderId="9" xfId="0" applyFont="1" applyFill="1" applyBorder="1" applyAlignment="1">
      <alignment wrapText="1"/>
    </xf>
    <xf numFmtId="0" fontId="37" fillId="13" borderId="9" xfId="0" applyFont="1" applyFill="1" applyBorder="1" applyAlignment="1">
      <alignment wrapText="1"/>
    </xf>
    <xf numFmtId="1" fontId="49" fillId="8" borderId="4" xfId="0" applyNumberFormat="1" applyFont="1" applyFill="1" applyBorder="1" applyAlignment="1">
      <alignment horizontal="right" wrapText="1"/>
    </xf>
    <xf numFmtId="0" fontId="154" fillId="13" borderId="1" xfId="0" applyFont="1" applyFill="1" applyBorder="1" applyAlignment="1">
      <alignment wrapText="1"/>
    </xf>
    <xf numFmtId="1" fontId="49" fillId="8" borderId="1" xfId="0" applyNumberFormat="1" applyFont="1" applyFill="1" applyBorder="1" applyAlignment="1">
      <alignment horizontal="right" wrapText="1"/>
    </xf>
    <xf numFmtId="0" fontId="58" fillId="0" borderId="1" xfId="0" applyFont="1" applyBorder="1" applyAlignment="1">
      <alignment horizontal="right" wrapText="1"/>
    </xf>
    <xf numFmtId="14" fontId="58" fillId="0" borderId="1" xfId="0" applyNumberFormat="1" applyFont="1" applyBorder="1" applyAlignment="1">
      <alignment horizontal="right" wrapText="1"/>
    </xf>
    <xf numFmtId="14" fontId="58" fillId="0" borderId="4" xfId="0" applyNumberFormat="1" applyFont="1" applyBorder="1" applyAlignment="1">
      <alignment horizontal="right" wrapText="1"/>
    </xf>
    <xf numFmtId="0" fontId="49" fillId="8" borderId="7" xfId="0" applyFont="1" applyFill="1" applyBorder="1" applyAlignment="1">
      <alignment wrapText="1"/>
    </xf>
    <xf numFmtId="0" fontId="155" fillId="13" borderId="1" xfId="0" applyFont="1" applyFill="1" applyBorder="1" applyAlignment="1">
      <alignment wrapText="1"/>
    </xf>
    <xf numFmtId="0" fontId="58" fillId="22" borderId="1" xfId="0" applyFont="1" applyFill="1" applyBorder="1" applyAlignment="1">
      <alignment horizontal="right" wrapText="1"/>
    </xf>
    <xf numFmtId="14" fontId="58" fillId="22" borderId="1" xfId="0" applyNumberFormat="1" applyFont="1" applyFill="1" applyBorder="1" applyAlignment="1">
      <alignment horizontal="right" wrapText="1"/>
    </xf>
    <xf numFmtId="14" fontId="58" fillId="22" borderId="4" xfId="0" applyNumberFormat="1" applyFont="1" applyFill="1" applyBorder="1" applyAlignment="1">
      <alignment horizontal="right" wrapText="1"/>
    </xf>
    <xf numFmtId="0" fontId="155" fillId="23" borderId="1" xfId="0" applyFont="1" applyFill="1" applyBorder="1" applyAlignment="1">
      <alignment wrapText="1"/>
    </xf>
    <xf numFmtId="0" fontId="157" fillId="13" borderId="1" xfId="0" applyFont="1" applyFill="1" applyBorder="1" applyAlignment="1">
      <alignment wrapText="1"/>
    </xf>
    <xf numFmtId="0" fontId="157" fillId="8" borderId="1" xfId="0" applyFont="1" applyFill="1" applyBorder="1" applyAlignment="1">
      <alignment wrapText="1"/>
    </xf>
    <xf numFmtId="14" fontId="58" fillId="8" borderId="1" xfId="0" applyNumberFormat="1" applyFont="1" applyFill="1" applyBorder="1" applyAlignment="1">
      <alignment horizontal="right" wrapText="1"/>
    </xf>
    <xf numFmtId="0" fontId="117" fillId="13" borderId="1" xfId="0" applyFont="1" applyFill="1" applyBorder="1" applyAlignment="1">
      <alignment wrapText="1"/>
    </xf>
    <xf numFmtId="14" fontId="49" fillId="0" borderId="4" xfId="0" applyNumberFormat="1" applyFont="1" applyBorder="1" applyAlignment="1">
      <alignment horizontal="right" wrapText="1"/>
    </xf>
    <xf numFmtId="3" fontId="37" fillId="8" borderId="6" xfId="0" applyNumberFormat="1" applyFont="1" applyFill="1" applyBorder="1" applyAlignment="1">
      <alignment wrapText="1"/>
    </xf>
    <xf numFmtId="3" fontId="58" fillId="8" borderId="5" xfId="0" applyNumberFormat="1" applyFont="1" applyFill="1" applyBorder="1" applyAlignment="1">
      <alignment wrapText="1"/>
    </xf>
    <xf numFmtId="0" fontId="148" fillId="0" borderId="14" xfId="0" applyFont="1" applyBorder="1" applyAlignment="1">
      <alignment wrapText="1"/>
    </xf>
    <xf numFmtId="49" fontId="49" fillId="8" borderId="11" xfId="0" applyNumberFormat="1" applyFont="1" applyFill="1" applyBorder="1" applyAlignment="1">
      <alignment wrapText="1"/>
    </xf>
    <xf numFmtId="3" fontId="40" fillId="8" borderId="11" xfId="0" applyNumberFormat="1" applyFont="1" applyFill="1" applyBorder="1" applyAlignment="1">
      <alignment wrapText="1"/>
    </xf>
    <xf numFmtId="3" fontId="49" fillId="0" borderId="5" xfId="0" applyNumberFormat="1" applyFont="1" applyBorder="1" applyAlignment="1">
      <alignment wrapText="1"/>
    </xf>
    <xf numFmtId="0" fontId="117" fillId="8" borderId="1" xfId="0" applyFont="1" applyFill="1" applyBorder="1" applyAlignment="1">
      <alignment wrapText="1"/>
    </xf>
    <xf numFmtId="3" fontId="49" fillId="0" borderId="1" xfId="0" applyNumberFormat="1" applyFont="1" applyBorder="1" applyAlignment="1">
      <alignment horizontal="right" wrapText="1"/>
    </xf>
    <xf numFmtId="14" fontId="49" fillId="0" borderId="4" xfId="0" applyNumberFormat="1" applyFont="1" applyBorder="1" applyAlignment="1">
      <alignment horizontal="left" wrapText="1"/>
    </xf>
    <xf numFmtId="0" fontId="89" fillId="29" borderId="1" xfId="0" applyFont="1" applyFill="1" applyBorder="1" applyAlignment="1">
      <alignment wrapText="1"/>
    </xf>
    <xf numFmtId="3" fontId="89" fillId="29" borderId="1" xfId="0" applyNumberFormat="1" applyFont="1" applyFill="1" applyBorder="1" applyAlignment="1">
      <alignment wrapText="1"/>
    </xf>
    <xf numFmtId="3" fontId="49" fillId="29" borderId="14" xfId="0" applyNumberFormat="1" applyFont="1" applyFill="1" applyBorder="1" applyAlignment="1">
      <alignment wrapText="1"/>
    </xf>
    <xf numFmtId="3" fontId="89" fillId="29" borderId="5" xfId="0" applyNumberFormat="1" applyFont="1" applyFill="1" applyBorder="1" applyAlignment="1">
      <alignment wrapText="1"/>
    </xf>
    <xf numFmtId="14" fontId="89" fillId="35" borderId="5" xfId="0" applyNumberFormat="1" applyFont="1" applyFill="1" applyBorder="1" applyAlignment="1">
      <alignment wrapText="1"/>
    </xf>
    <xf numFmtId="0" fontId="37" fillId="0" borderId="14" xfId="0" applyFont="1" applyBorder="1" applyAlignment="1">
      <alignment wrapText="1"/>
    </xf>
    <xf numFmtId="0" fontId="131" fillId="0" borderId="0" xfId="0" applyFont="1" applyAlignment="1">
      <alignment horizontal="right" vertical="center"/>
    </xf>
    <xf numFmtId="3" fontId="58" fillId="0" borderId="5" xfId="0" applyNumberFormat="1" applyFont="1" applyBorder="1" applyAlignment="1">
      <alignment wrapText="1"/>
    </xf>
    <xf numFmtId="4" fontId="37" fillId="0" borderId="1" xfId="0" applyNumberFormat="1" applyFont="1" applyBorder="1" applyAlignment="1">
      <alignment horizontal="center" vertical="center" wrapText="1"/>
    </xf>
    <xf numFmtId="0" fontId="37" fillId="4" borderId="5" xfId="0" applyFont="1" applyFill="1" applyBorder="1" applyAlignment="1">
      <alignment horizontal="right" vertical="center" wrapText="1"/>
    </xf>
    <xf numFmtId="0" fontId="58" fillId="0" borderId="1" xfId="0" applyFont="1" applyBorder="1" applyAlignment="1">
      <alignment horizontal="center" wrapText="1"/>
    </xf>
    <xf numFmtId="0" fontId="89" fillId="0" borderId="11" xfId="0" applyFont="1" applyBorder="1" applyAlignment="1">
      <alignment wrapText="1"/>
    </xf>
    <xf numFmtId="0" fontId="89" fillId="0" borderId="1" xfId="0" applyFont="1" applyBorder="1" applyAlignment="1">
      <alignment wrapText="1"/>
    </xf>
    <xf numFmtId="3" fontId="89" fillId="0" borderId="1" xfId="0" applyNumberFormat="1" applyFont="1" applyBorder="1" applyAlignment="1">
      <alignment wrapText="1"/>
    </xf>
    <xf numFmtId="3" fontId="89" fillId="0" borderId="5" xfId="0" applyNumberFormat="1" applyFont="1" applyBorder="1" applyAlignment="1">
      <alignment wrapText="1"/>
    </xf>
    <xf numFmtId="14" fontId="89" fillId="8" borderId="5" xfId="0" applyNumberFormat="1" applyFont="1" applyFill="1" applyBorder="1" applyAlignment="1">
      <alignment wrapText="1"/>
    </xf>
    <xf numFmtId="0" fontId="49" fillId="8" borderId="5" xfId="0" applyFont="1" applyFill="1" applyBorder="1" applyAlignment="1">
      <alignment horizontal="center" vertical="center" wrapText="1"/>
    </xf>
    <xf numFmtId="3" fontId="37" fillId="0" borderId="6" xfId="0" applyNumberFormat="1" applyFont="1" applyBorder="1" applyAlignment="1">
      <alignment wrapText="1"/>
    </xf>
    <xf numFmtId="4" fontId="37" fillId="0" borderId="15" xfId="0" applyNumberFormat="1" applyFont="1" applyBorder="1" applyAlignment="1">
      <alignment wrapText="1"/>
    </xf>
    <xf numFmtId="0" fontId="58" fillId="0" borderId="6" xfId="0" applyFont="1" applyBorder="1" applyAlignment="1">
      <alignment horizontal="center" wrapText="1"/>
    </xf>
    <xf numFmtId="0" fontId="88" fillId="8" borderId="1" xfId="0" applyFont="1" applyFill="1" applyBorder="1" applyAlignment="1">
      <alignment horizontal="right" wrapText="1"/>
    </xf>
    <xf numFmtId="0" fontId="127" fillId="6" borderId="1" xfId="0" applyFont="1" applyFill="1" applyBorder="1" applyAlignment="1">
      <alignment wrapText="1"/>
    </xf>
    <xf numFmtId="0" fontId="127" fillId="8" borderId="1" xfId="0" applyFont="1" applyFill="1" applyBorder="1" applyAlignment="1">
      <alignment wrapText="1"/>
    </xf>
    <xf numFmtId="0" fontId="127" fillId="8" borderId="1" xfId="0" applyFont="1" applyFill="1" applyBorder="1" applyAlignment="1">
      <alignment horizontal="right" wrapText="1"/>
    </xf>
    <xf numFmtId="0" fontId="127" fillId="0" borderId="1" xfId="0" applyFont="1" applyBorder="1" applyAlignment="1">
      <alignment horizontal="center" wrapText="1"/>
    </xf>
    <xf numFmtId="0" fontId="49" fillId="24" borderId="13" xfId="0" applyFont="1" applyFill="1" applyBorder="1" applyAlignment="1">
      <alignment wrapText="1"/>
    </xf>
    <xf numFmtId="0" fontId="58" fillId="8" borderId="15" xfId="0" applyFont="1" applyFill="1" applyBorder="1" applyAlignment="1">
      <alignment wrapText="1"/>
    </xf>
    <xf numFmtId="3" fontId="88" fillId="8" borderId="1" xfId="0" applyNumberFormat="1" applyFont="1" applyFill="1" applyBorder="1" applyAlignment="1">
      <alignment wrapText="1"/>
    </xf>
    <xf numFmtId="0" fontId="37" fillId="0" borderId="2" xfId="0" applyFont="1" applyBorder="1" applyAlignment="1">
      <alignment horizontal="center" wrapText="1"/>
    </xf>
    <xf numFmtId="3" fontId="37" fillId="0" borderId="12" xfId="0" applyNumberFormat="1" applyFont="1" applyBorder="1" applyAlignment="1">
      <alignment horizontal="right" wrapText="1"/>
    </xf>
    <xf numFmtId="4" fontId="37" fillId="0" borderId="12" xfId="0" applyNumberFormat="1" applyFont="1" applyBorder="1" applyAlignment="1">
      <alignment horizontal="center" wrapText="1"/>
    </xf>
    <xf numFmtId="4" fontId="37" fillId="0" borderId="5" xfId="0" applyNumberFormat="1" applyFont="1" applyBorder="1" applyAlignment="1">
      <alignment horizontal="right" wrapText="1"/>
    </xf>
    <xf numFmtId="0" fontId="88" fillId="8" borderId="5" xfId="0" applyFont="1" applyFill="1" applyBorder="1" applyAlignment="1">
      <alignment horizontal="center" wrapText="1"/>
    </xf>
    <xf numFmtId="0" fontId="49" fillId="6" borderId="0" xfId="0" applyFont="1" applyFill="1" applyAlignment="1">
      <alignment wrapText="1"/>
    </xf>
    <xf numFmtId="0" fontId="37" fillId="8" borderId="14" xfId="0" applyFont="1" applyFill="1" applyBorder="1" applyAlignment="1">
      <alignment wrapText="1"/>
    </xf>
    <xf numFmtId="0" fontId="37" fillId="8" borderId="3" xfId="0" applyFont="1" applyFill="1" applyBorder="1" applyAlignment="1">
      <alignment horizontal="right" wrapText="1"/>
    </xf>
    <xf numFmtId="0" fontId="58" fillId="8" borderId="5" xfId="0" applyFont="1" applyFill="1" applyBorder="1" applyAlignment="1">
      <alignment horizontal="center" wrapText="1"/>
    </xf>
    <xf numFmtId="0" fontId="37" fillId="8" borderId="7" xfId="0" applyFont="1" applyFill="1" applyBorder="1" applyAlignment="1">
      <alignment wrapText="1"/>
    </xf>
    <xf numFmtId="4" fontId="37" fillId="8" borderId="15" xfId="0" applyNumberFormat="1" applyFont="1" applyFill="1" applyBorder="1" applyAlignment="1">
      <alignment wrapText="1"/>
    </xf>
    <xf numFmtId="14" fontId="49" fillId="8" borderId="0" xfId="0" applyNumberFormat="1" applyFont="1" applyFill="1" applyAlignment="1">
      <alignment wrapText="1"/>
    </xf>
    <xf numFmtId="0" fontId="37" fillId="0" borderId="8" xfId="0" applyFont="1" applyBorder="1" applyAlignment="1">
      <alignment horizontal="right" wrapText="1"/>
    </xf>
    <xf numFmtId="0" fontId="40" fillId="8" borderId="2" xfId="0" applyFont="1" applyFill="1" applyBorder="1" applyAlignment="1">
      <alignment horizontal="right" wrapText="1"/>
    </xf>
    <xf numFmtId="4" fontId="136" fillId="8" borderId="4" xfId="0" applyNumberFormat="1" applyFont="1" applyFill="1" applyBorder="1" applyAlignment="1">
      <alignment horizontal="right" wrapText="1"/>
    </xf>
    <xf numFmtId="14" fontId="136" fillId="0" borderId="4" xfId="0" applyNumberFormat="1" applyFont="1" applyBorder="1" applyAlignment="1">
      <alignment wrapText="1"/>
    </xf>
    <xf numFmtId="0" fontId="148" fillId="0" borderId="9" xfId="0" applyFont="1" applyBorder="1" applyAlignment="1">
      <alignment wrapText="1"/>
    </xf>
    <xf numFmtId="4" fontId="40" fillId="0" borderId="1" xfId="0" applyNumberFormat="1" applyFont="1" applyBorder="1" applyAlignment="1">
      <alignment horizontal="right" wrapText="1"/>
    </xf>
    <xf numFmtId="49" fontId="49" fillId="8" borderId="1" xfId="0" applyNumberFormat="1" applyFont="1" applyFill="1" applyBorder="1" applyAlignment="1">
      <alignment wrapText="1"/>
    </xf>
    <xf numFmtId="4" fontId="40" fillId="8" borderId="4" xfId="0" applyNumberFormat="1" applyFont="1" applyFill="1" applyBorder="1" applyAlignment="1">
      <alignment horizontal="right" wrapText="1"/>
    </xf>
    <xf numFmtId="0" fontId="49" fillId="22" borderId="3" xfId="0" applyFont="1" applyFill="1" applyBorder="1" applyAlignment="1">
      <alignment wrapText="1"/>
    </xf>
    <xf numFmtId="0" fontId="88" fillId="8" borderId="2" xfId="0" applyFont="1" applyFill="1" applyBorder="1" applyAlignment="1">
      <alignment horizontal="right" wrapText="1"/>
    </xf>
    <xf numFmtId="0" fontId="58" fillId="22" borderId="4" xfId="0" applyFont="1" applyFill="1" applyBorder="1" applyAlignment="1">
      <alignment horizontal="right" wrapText="1"/>
    </xf>
    <xf numFmtId="4" fontId="37" fillId="0" borderId="0" xfId="0" applyNumberFormat="1" applyFont="1" applyAlignment="1">
      <alignment horizontal="right" wrapText="1"/>
    </xf>
    <xf numFmtId="0" fontId="49" fillId="0" borderId="9" xfId="0" applyFont="1" applyBorder="1" applyAlignment="1">
      <alignment wrapText="1"/>
    </xf>
    <xf numFmtId="0" fontId="148" fillId="0" borderId="0" xfId="0" applyFont="1" applyAlignment="1">
      <alignment wrapText="1"/>
    </xf>
    <xf numFmtId="49" fontId="49" fillId="8" borderId="0" xfId="0" applyNumberFormat="1" applyFont="1" applyFill="1" applyAlignment="1">
      <alignment wrapText="1"/>
    </xf>
    <xf numFmtId="3" fontId="40" fillId="8" borderId="0" xfId="0" applyNumberFormat="1" applyFont="1" applyFill="1" applyAlignment="1">
      <alignment wrapText="1"/>
    </xf>
    <xf numFmtId="3" fontId="37" fillId="0" borderId="0" xfId="0" applyNumberFormat="1" applyFont="1" applyAlignment="1">
      <alignment wrapText="1"/>
    </xf>
    <xf numFmtId="3" fontId="49" fillId="0" borderId="0" xfId="0" applyNumberFormat="1" applyFont="1" applyAlignment="1">
      <alignment wrapText="1"/>
    </xf>
    <xf numFmtId="4" fontId="37" fillId="0" borderId="10" xfId="0" applyNumberFormat="1" applyFont="1" applyBorder="1" applyAlignment="1">
      <alignment horizontal="right" wrapText="1"/>
    </xf>
    <xf numFmtId="0" fontId="37" fillId="0" borderId="9" xfId="0" applyFont="1" applyBorder="1" applyAlignment="1">
      <alignment wrapText="1"/>
    </xf>
    <xf numFmtId="3" fontId="58" fillId="8" borderId="1" xfId="0" applyNumberFormat="1" applyFont="1" applyFill="1" applyBorder="1" applyAlignment="1">
      <alignment horizontal="right" wrapText="1"/>
    </xf>
    <xf numFmtId="4" fontId="37" fillId="0" borderId="6" xfId="0" applyNumberFormat="1" applyFont="1" applyBorder="1" applyAlignment="1">
      <alignment horizontal="right" wrapText="1"/>
    </xf>
    <xf numFmtId="0" fontId="58" fillId="0" borderId="8" xfId="0" applyFont="1" applyBorder="1" applyAlignment="1">
      <alignment wrapText="1"/>
    </xf>
    <xf numFmtId="0" fontId="58" fillId="8" borderId="5" xfId="0" applyFont="1" applyFill="1" applyBorder="1" applyAlignment="1">
      <alignment wrapText="1"/>
    </xf>
    <xf numFmtId="0" fontId="49" fillId="22" borderId="5" xfId="0" applyFont="1" applyFill="1" applyBorder="1" applyAlignment="1">
      <alignment wrapText="1"/>
    </xf>
    <xf numFmtId="0" fontId="154" fillId="8" borderId="1" xfId="0" applyFont="1" applyFill="1" applyBorder="1" applyAlignment="1">
      <alignment wrapText="1"/>
    </xf>
    <xf numFmtId="3" fontId="58" fillId="0" borderId="1" xfId="0" applyNumberFormat="1" applyFont="1" applyBorder="1" applyAlignment="1">
      <alignment horizontal="right" wrapText="1"/>
    </xf>
    <xf numFmtId="0" fontId="89" fillId="0" borderId="1" xfId="0" applyFont="1" applyBorder="1" applyAlignment="1">
      <alignment horizontal="center" wrapText="1"/>
    </xf>
    <xf numFmtId="0" fontId="157" fillId="22" borderId="1" xfId="0" applyFont="1" applyFill="1" applyBorder="1" applyAlignment="1">
      <alignment wrapText="1"/>
    </xf>
    <xf numFmtId="0" fontId="156" fillId="0" borderId="1" xfId="0" applyFont="1" applyBorder="1" applyAlignment="1">
      <alignment wrapText="1"/>
    </xf>
    <xf numFmtId="3" fontId="37" fillId="8" borderId="5" xfId="0" applyNumberFormat="1" applyFont="1" applyFill="1" applyBorder="1" applyAlignment="1">
      <alignment wrapText="1"/>
    </xf>
    <xf numFmtId="0" fontId="124" fillId="0" borderId="1" xfId="0" applyFont="1" applyBorder="1" applyAlignment="1">
      <alignment horizontal="center" wrapText="1"/>
    </xf>
    <xf numFmtId="14" fontId="49" fillId="8" borderId="5" xfId="0" applyNumberFormat="1" applyFont="1" applyFill="1" applyBorder="1" applyAlignment="1">
      <alignment wrapText="1"/>
    </xf>
    <xf numFmtId="4" fontId="40" fillId="0" borderId="5" xfId="0" applyNumberFormat="1" applyFont="1" applyBorder="1" applyAlignment="1">
      <alignment horizontal="center" wrapText="1"/>
    </xf>
    <xf numFmtId="14" fontId="131" fillId="0" borderId="1" xfId="0" applyNumberFormat="1" applyFont="1" applyBorder="1" applyAlignment="1">
      <alignment wrapText="1"/>
    </xf>
    <xf numFmtId="0" fontId="49" fillId="22" borderId="1" xfId="0" applyFont="1" applyFill="1" applyBorder="1" applyAlignment="1">
      <alignment horizontal="center" wrapText="1"/>
    </xf>
    <xf numFmtId="0" fontId="58" fillId="28" borderId="1" xfId="0" applyFont="1" applyFill="1" applyBorder="1" applyAlignment="1">
      <alignment wrapText="1"/>
    </xf>
    <xf numFmtId="3" fontId="49" fillId="0" borderId="5" xfId="0" applyNumberFormat="1" applyFont="1" applyBorder="1" applyAlignment="1">
      <alignment horizontal="right" wrapText="1"/>
    </xf>
    <xf numFmtId="0" fontId="49" fillId="8" borderId="0" xfId="0" applyFont="1" applyFill="1" applyAlignment="1">
      <alignment wrapText="1"/>
    </xf>
    <xf numFmtId="4" fontId="37" fillId="22" borderId="5" xfId="0" applyNumberFormat="1" applyFont="1" applyFill="1" applyBorder="1" applyAlignment="1">
      <alignment horizontal="right" wrapText="1"/>
    </xf>
    <xf numFmtId="0" fontId="40" fillId="0" borderId="5" xfId="0" applyFont="1" applyBorder="1" applyAlignment="1">
      <alignment wrapText="1"/>
    </xf>
    <xf numFmtId="4" fontId="37" fillId="22" borderId="1" xfId="0" applyNumberFormat="1" applyFont="1" applyFill="1" applyBorder="1" applyAlignment="1">
      <alignment horizontal="right" wrapText="1"/>
    </xf>
    <xf numFmtId="4" fontId="130" fillId="22" borderId="1" xfId="0" applyNumberFormat="1" applyFont="1" applyFill="1" applyBorder="1" applyAlignment="1">
      <alignment horizontal="right" wrapText="1"/>
    </xf>
    <xf numFmtId="1" fontId="49" fillId="0" borderId="1" xfId="0" applyNumberFormat="1" applyFont="1" applyBorder="1" applyAlignment="1">
      <alignment horizontal="right" wrapText="1"/>
    </xf>
    <xf numFmtId="14" fontId="49" fillId="0" borderId="1" xfId="0" applyNumberFormat="1" applyFont="1" applyBorder="1" applyAlignment="1">
      <alignment horizontal="center" wrapText="1"/>
    </xf>
    <xf numFmtId="167" fontId="38" fillId="0" borderId="1" xfId="1" applyFont="1" applyBorder="1" applyAlignment="1" applyProtection="1">
      <alignment wrapText="1"/>
    </xf>
    <xf numFmtId="14" fontId="58" fillId="0" borderId="1" xfId="0" applyNumberFormat="1" applyFont="1" applyBorder="1" applyAlignment="1">
      <alignment horizontal="center" wrapText="1"/>
    </xf>
    <xf numFmtId="167" fontId="37" fillId="0" borderId="1" xfId="1" applyFont="1" applyBorder="1" applyAlignment="1" applyProtection="1">
      <alignment wrapText="1"/>
    </xf>
    <xf numFmtId="3" fontId="58" fillId="0" borderId="14" xfId="0" applyNumberFormat="1" applyFont="1" applyBorder="1" applyAlignment="1">
      <alignment wrapText="1"/>
    </xf>
    <xf numFmtId="0" fontId="49" fillId="22" borderId="5" xfId="0" applyFont="1" applyFill="1" applyBorder="1" applyAlignment="1">
      <alignment horizontal="center" wrapText="1"/>
    </xf>
    <xf numFmtId="167" fontId="37" fillId="0" borderId="5" xfId="1" applyFont="1" applyBorder="1" applyAlignment="1" applyProtection="1">
      <alignment horizontal="center" wrapText="1"/>
    </xf>
    <xf numFmtId="4" fontId="58" fillId="22" borderId="0" xfId="0" applyNumberFormat="1" applyFont="1" applyFill="1" applyAlignment="1">
      <alignment wrapText="1"/>
    </xf>
    <xf numFmtId="3" fontId="37" fillId="0" borderId="14" xfId="0" applyNumberFormat="1" applyFont="1" applyBorder="1" applyAlignment="1">
      <alignment horizontal="right" wrapText="1"/>
    </xf>
    <xf numFmtId="14" fontId="58" fillId="8" borderId="5" xfId="0" applyNumberFormat="1" applyFont="1" applyFill="1" applyBorder="1" applyAlignment="1">
      <alignment wrapText="1"/>
    </xf>
    <xf numFmtId="4" fontId="117" fillId="13" borderId="1" xfId="0" applyNumberFormat="1" applyFont="1" applyFill="1" applyBorder="1" applyAlignment="1">
      <alignment wrapText="1"/>
    </xf>
    <xf numFmtId="2" fontId="49" fillId="8" borderId="1" xfId="0" applyNumberFormat="1" applyFont="1" applyFill="1" applyBorder="1" applyAlignment="1">
      <alignment horizontal="right" wrapText="1"/>
    </xf>
    <xf numFmtId="1" fontId="49" fillId="8" borderId="5" xfId="0" applyNumberFormat="1" applyFont="1" applyFill="1" applyBorder="1" applyAlignment="1">
      <alignment horizontal="right" wrapText="1"/>
    </xf>
    <xf numFmtId="2" fontId="49" fillId="8" borderId="5" xfId="0" applyNumberFormat="1" applyFont="1" applyFill="1" applyBorder="1" applyAlignment="1">
      <alignment horizontal="right" wrapText="1"/>
    </xf>
    <xf numFmtId="0" fontId="37" fillId="0" borderId="12" xfId="0" applyFont="1" applyBorder="1" applyAlignment="1">
      <alignment horizontal="center" wrapText="1"/>
    </xf>
    <xf numFmtId="3" fontId="49" fillId="0" borderId="6" xfId="0" applyNumberFormat="1" applyFont="1" applyBorder="1" applyAlignment="1">
      <alignment horizontal="right" wrapText="1"/>
    </xf>
    <xf numFmtId="0" fontId="133" fillId="0" borderId="1" xfId="0" applyFont="1" applyBorder="1" applyAlignment="1">
      <alignment wrapText="1"/>
    </xf>
    <xf numFmtId="3" fontId="58" fillId="0" borderId="5" xfId="0" applyNumberFormat="1" applyFont="1" applyBorder="1" applyAlignment="1">
      <alignment horizontal="right" wrapText="1"/>
    </xf>
    <xf numFmtId="14" fontId="58" fillId="0" borderId="5" xfId="0" applyNumberFormat="1" applyFont="1" applyBorder="1" applyAlignment="1">
      <alignment horizontal="left" wrapText="1"/>
    </xf>
    <xf numFmtId="0" fontId="58" fillId="0" borderId="5" xfId="0" applyFont="1" applyBorder="1" applyAlignment="1">
      <alignment horizontal="center" wrapText="1"/>
    </xf>
    <xf numFmtId="3" fontId="58" fillId="22" borderId="5" xfId="0" applyNumberFormat="1" applyFont="1" applyFill="1" applyBorder="1" applyAlignment="1">
      <alignment wrapText="1"/>
    </xf>
    <xf numFmtId="0" fontId="58" fillId="22" borderId="5" xfId="0" applyFont="1" applyFill="1" applyBorder="1" applyAlignment="1">
      <alignment wrapText="1"/>
    </xf>
    <xf numFmtId="167" fontId="49" fillId="0" borderId="5" xfId="1" applyFont="1" applyBorder="1" applyAlignment="1" applyProtection="1">
      <alignment wrapText="1"/>
    </xf>
    <xf numFmtId="4" fontId="40" fillId="0" borderId="5" xfId="0" applyNumberFormat="1" applyFont="1" applyBorder="1" applyAlignment="1">
      <alignment wrapText="1"/>
    </xf>
    <xf numFmtId="0" fontId="117" fillId="8" borderId="4" xfId="0" applyFont="1" applyFill="1" applyBorder="1" applyAlignment="1">
      <alignment wrapText="1"/>
    </xf>
    <xf numFmtId="0" fontId="49" fillId="8" borderId="11" xfId="0" applyFont="1" applyFill="1" applyBorder="1" applyAlignment="1">
      <alignment wrapText="1"/>
    </xf>
    <xf numFmtId="0" fontId="140" fillId="8" borderId="11" xfId="0" applyFont="1" applyFill="1" applyBorder="1" applyAlignment="1">
      <alignment wrapText="1"/>
    </xf>
    <xf numFmtId="2" fontId="58" fillId="8" borderId="1" xfId="0" applyNumberFormat="1" applyFont="1" applyFill="1" applyBorder="1" applyAlignment="1">
      <alignment horizontal="right" wrapText="1"/>
    </xf>
    <xf numFmtId="167" fontId="49" fillId="0" borderId="4" xfId="1" applyFont="1" applyBorder="1" applyAlignment="1" applyProtection="1">
      <alignment horizontal="center" wrapText="1"/>
    </xf>
    <xf numFmtId="16" fontId="37" fillId="0" borderId="0" xfId="0" applyNumberFormat="1" applyFont="1" applyAlignment="1">
      <alignment wrapText="1"/>
    </xf>
    <xf numFmtId="0" fontId="37" fillId="8" borderId="2" xfId="0" applyFont="1" applyFill="1" applyBorder="1" applyAlignment="1">
      <alignment horizontal="center" wrapText="1"/>
    </xf>
    <xf numFmtId="4" fontId="37" fillId="0" borderId="7" xfId="0" applyNumberFormat="1" applyFont="1" applyBorder="1" applyAlignment="1">
      <alignment wrapText="1"/>
    </xf>
    <xf numFmtId="0" fontId="131" fillId="0" borderId="21" xfId="0" applyFont="1" applyBorder="1" applyAlignment="1">
      <alignment horizontal="right" vertical="center"/>
    </xf>
    <xf numFmtId="0" fontId="131" fillId="0" borderId="1" xfId="0" applyFont="1" applyBorder="1" applyAlignment="1">
      <alignment horizontal="right" vertical="center"/>
    </xf>
    <xf numFmtId="14" fontId="49" fillId="8" borderId="5" xfId="0" applyNumberFormat="1" applyFont="1" applyFill="1" applyBorder="1" applyAlignment="1">
      <alignment horizontal="left" wrapText="1"/>
    </xf>
    <xf numFmtId="0" fontId="37" fillId="0" borderId="1" xfId="0" applyFont="1" applyBorder="1" applyAlignment="1">
      <alignment horizontal="right" vertical="center"/>
    </xf>
    <xf numFmtId="0" fontId="158" fillId="0" borderId="5" xfId="0" applyFont="1" applyBorder="1" applyAlignment="1">
      <alignment horizontal="center" wrapText="1"/>
    </xf>
    <xf numFmtId="0" fontId="37" fillId="8" borderId="5" xfId="0" applyFont="1" applyFill="1" applyBorder="1" applyAlignment="1">
      <alignment horizontal="right" wrapText="1"/>
    </xf>
    <xf numFmtId="0" fontId="140" fillId="8" borderId="2" xfId="0" applyFont="1" applyFill="1" applyBorder="1" applyAlignment="1">
      <alignment wrapText="1"/>
    </xf>
    <xf numFmtId="0" fontId="131" fillId="0" borderId="22" xfId="0" applyFont="1" applyBorder="1" applyAlignment="1">
      <alignment horizontal="center" vertical="center"/>
    </xf>
    <xf numFmtId="0" fontId="133" fillId="8" borderId="1" xfId="0" applyFont="1" applyFill="1" applyBorder="1" applyAlignment="1">
      <alignment wrapText="1"/>
    </xf>
    <xf numFmtId="0" fontId="131" fillId="0" borderId="14" xfId="0" applyFont="1" applyBorder="1" applyAlignment="1">
      <alignment wrapText="1"/>
    </xf>
    <xf numFmtId="3" fontId="37" fillId="0" borderId="14" xfId="0" applyNumberFormat="1" applyFont="1" applyBorder="1" applyAlignment="1">
      <alignment wrapText="1"/>
    </xf>
    <xf numFmtId="0" fontId="49" fillId="22" borderId="11" xfId="0" applyFont="1" applyFill="1" applyBorder="1" applyAlignment="1">
      <alignment wrapText="1"/>
    </xf>
    <xf numFmtId="3" fontId="49" fillId="22" borderId="14" xfId="0" applyNumberFormat="1" applyFont="1" applyFill="1" applyBorder="1" applyAlignment="1">
      <alignment wrapText="1"/>
    </xf>
    <xf numFmtId="0" fontId="89" fillId="0" borderId="5" xfId="0" applyFont="1" applyBorder="1" applyAlignment="1">
      <alignment wrapText="1"/>
    </xf>
    <xf numFmtId="0" fontId="49" fillId="8" borderId="12" xfId="0" applyFont="1" applyFill="1" applyBorder="1" applyAlignment="1">
      <alignment wrapText="1"/>
    </xf>
    <xf numFmtId="3" fontId="37" fillId="0" borderId="11" xfId="0" applyNumberFormat="1" applyFont="1" applyBorder="1" applyAlignment="1">
      <alignment wrapText="1"/>
    </xf>
    <xf numFmtId="0" fontId="34" fillId="0" borderId="1" xfId="0" applyFont="1" applyBorder="1" applyAlignment="1">
      <alignment horizontal="left"/>
    </xf>
    <xf numFmtId="0" fontId="38" fillId="0" borderId="10" xfId="0" applyFont="1" applyBorder="1" applyAlignment="1">
      <alignment horizontal="center" wrapText="1"/>
    </xf>
    <xf numFmtId="0" fontId="38" fillId="0" borderId="4" xfId="0" applyFont="1" applyBorder="1" applyAlignment="1">
      <alignment horizontal="center"/>
    </xf>
    <xf numFmtId="0" fontId="62" fillId="0" borderId="4" xfId="0" applyFont="1" applyBorder="1" applyAlignment="1">
      <alignment horizontal="center"/>
    </xf>
    <xf numFmtId="0" fontId="38" fillId="0" borderId="4" xfId="0" applyFont="1" applyBorder="1"/>
    <xf numFmtId="0" fontId="38" fillId="0" borderId="1" xfId="0" applyFont="1" applyBorder="1"/>
    <xf numFmtId="3" fontId="152" fillId="8" borderId="1" xfId="0" applyNumberFormat="1" applyFont="1" applyFill="1" applyBorder="1" applyAlignment="1">
      <alignment wrapText="1"/>
    </xf>
    <xf numFmtId="165" fontId="37" fillId="0" borderId="8" xfId="0" applyNumberFormat="1" applyFont="1" applyBorder="1" applyAlignment="1">
      <alignment horizontal="right" wrapText="1"/>
    </xf>
    <xf numFmtId="0" fontId="37" fillId="22" borderId="5" xfId="0" applyFont="1" applyFill="1" applyBorder="1" applyAlignment="1">
      <alignment wrapText="1"/>
    </xf>
    <xf numFmtId="165" fontId="58" fillId="0" borderId="1" xfId="0" applyNumberFormat="1" applyFont="1" applyBorder="1" applyAlignment="1">
      <alignment horizontal="right" wrapText="1"/>
    </xf>
    <xf numFmtId="14" fontId="58" fillId="8" borderId="5" xfId="0" applyNumberFormat="1" applyFont="1" applyFill="1" applyBorder="1" applyAlignment="1">
      <alignment horizontal="right" wrapText="1"/>
    </xf>
    <xf numFmtId="0" fontId="133" fillId="0" borderId="1" xfId="0" applyFont="1" applyBorder="1" applyAlignment="1">
      <alignment horizontal="left" wrapText="1"/>
    </xf>
    <xf numFmtId="3" fontId="49" fillId="0" borderId="14" xfId="0" applyNumberFormat="1" applyFont="1" applyBorder="1" applyAlignment="1">
      <alignment horizontal="right" wrapText="1"/>
    </xf>
    <xf numFmtId="0" fontId="37" fillId="8" borderId="0" xfId="0" applyFont="1" applyFill="1" applyAlignment="1">
      <alignment horizontal="center" wrapText="1"/>
    </xf>
    <xf numFmtId="0" fontId="40" fillId="8" borderId="6" xfId="0" applyFont="1" applyFill="1" applyBorder="1" applyAlignment="1">
      <alignment wrapText="1"/>
    </xf>
    <xf numFmtId="0" fontId="133" fillId="0" borderId="3" xfId="0" applyFont="1" applyBorder="1" applyAlignment="1">
      <alignment wrapText="1"/>
    </xf>
    <xf numFmtId="3" fontId="133" fillId="0" borderId="1" xfId="0" applyNumberFormat="1" applyFont="1" applyBorder="1" applyAlignment="1">
      <alignment wrapText="1"/>
    </xf>
    <xf numFmtId="0" fontId="131" fillId="0" borderId="7" xfId="0" applyFont="1" applyBorder="1" applyAlignment="1">
      <alignment wrapText="1"/>
    </xf>
    <xf numFmtId="0" fontId="49" fillId="13" borderId="3" xfId="0" applyFont="1" applyFill="1" applyBorder="1" applyAlignment="1">
      <alignment wrapText="1"/>
    </xf>
    <xf numFmtId="3" fontId="49" fillId="13" borderId="1" xfId="0" applyNumberFormat="1" applyFont="1" applyFill="1" applyBorder="1" applyAlignment="1">
      <alignment horizontal="center" wrapText="1"/>
    </xf>
    <xf numFmtId="0" fontId="37" fillId="13" borderId="1" xfId="0" applyFont="1" applyFill="1" applyBorder="1" applyAlignment="1">
      <alignment wrapText="1"/>
    </xf>
    <xf numFmtId="0" fontId="37" fillId="13" borderId="7" xfId="0" applyFont="1" applyFill="1" applyBorder="1" applyAlignment="1">
      <alignment wrapText="1"/>
    </xf>
    <xf numFmtId="0" fontId="40" fillId="8" borderId="5" xfId="0" applyFont="1" applyFill="1" applyBorder="1" applyAlignment="1">
      <alignment wrapText="1"/>
    </xf>
    <xf numFmtId="14" fontId="159" fillId="8" borderId="1" xfId="0" applyNumberFormat="1" applyFont="1" applyFill="1" applyBorder="1" applyAlignment="1">
      <alignment wrapText="1"/>
    </xf>
    <xf numFmtId="14" fontId="49" fillId="0" borderId="1" xfId="0" applyNumberFormat="1" applyFont="1" applyBorder="1" applyAlignment="1">
      <alignment horizontal="left" wrapText="1"/>
    </xf>
    <xf numFmtId="3" fontId="49" fillId="0" borderId="5" xfId="0" applyNumberFormat="1" applyFont="1" applyBorder="1" applyAlignment="1">
      <alignment horizontal="left" wrapText="1"/>
    </xf>
    <xf numFmtId="14" fontId="58" fillId="8" borderId="5" xfId="0" applyNumberFormat="1" applyFont="1" applyFill="1" applyBorder="1" applyAlignment="1">
      <alignment horizontal="left" wrapText="1"/>
    </xf>
    <xf numFmtId="0" fontId="37" fillId="30" borderId="1" xfId="0" applyFont="1" applyFill="1" applyBorder="1" applyAlignment="1">
      <alignment wrapText="1"/>
    </xf>
    <xf numFmtId="0" fontId="160" fillId="0" borderId="5" xfId="0" applyFont="1" applyBorder="1" applyAlignment="1">
      <alignment wrapText="1"/>
    </xf>
    <xf numFmtId="4" fontId="49" fillId="29" borderId="1" xfId="0" applyNumberFormat="1" applyFont="1" applyFill="1" applyBorder="1" applyAlignment="1">
      <alignment wrapText="1"/>
    </xf>
    <xf numFmtId="14" fontId="49" fillId="8" borderId="1" xfId="0" applyNumberFormat="1" applyFont="1" applyFill="1" applyBorder="1" applyAlignment="1">
      <alignment horizontal="left" wrapText="1"/>
    </xf>
    <xf numFmtId="0" fontId="49" fillId="29" borderId="5" xfId="0" applyFont="1" applyFill="1" applyBorder="1" applyAlignment="1">
      <alignment horizontal="center" wrapText="1"/>
    </xf>
    <xf numFmtId="3" fontId="49" fillId="13" borderId="1" xfId="0" applyNumberFormat="1" applyFont="1" applyFill="1" applyBorder="1" applyAlignment="1">
      <alignment wrapText="1"/>
    </xf>
    <xf numFmtId="14" fontId="49" fillId="13" borderId="5" xfId="0" applyNumberFormat="1" applyFont="1" applyFill="1" applyBorder="1" applyAlignment="1">
      <alignment wrapText="1"/>
    </xf>
    <xf numFmtId="0" fontId="117" fillId="22" borderId="1" xfId="0" applyFont="1" applyFill="1" applyBorder="1" applyAlignment="1">
      <alignment wrapText="1"/>
    </xf>
    <xf numFmtId="0" fontId="40" fillId="0" borderId="7" xfId="0" applyFont="1" applyBorder="1" applyAlignment="1">
      <alignment wrapText="1"/>
    </xf>
    <xf numFmtId="0" fontId="37" fillId="22" borderId="7" xfId="0" applyFont="1" applyFill="1" applyBorder="1" applyAlignment="1">
      <alignment wrapText="1"/>
    </xf>
    <xf numFmtId="0" fontId="40" fillId="0" borderId="4" xfId="0" applyFont="1" applyBorder="1" applyAlignment="1">
      <alignment horizontal="right" wrapText="1"/>
    </xf>
    <xf numFmtId="0" fontId="40" fillId="22" borderId="4" xfId="0" applyFont="1" applyFill="1" applyBorder="1" applyAlignment="1">
      <alignment wrapText="1"/>
    </xf>
    <xf numFmtId="0" fontId="140" fillId="8" borderId="4" xfId="0" applyFont="1" applyFill="1" applyBorder="1" applyAlignment="1">
      <alignment wrapText="1"/>
    </xf>
    <xf numFmtId="3" fontId="58" fillId="0" borderId="8" xfId="0" applyNumberFormat="1" applyFont="1" applyBorder="1" applyAlignment="1">
      <alignment wrapText="1"/>
    </xf>
    <xf numFmtId="4" fontId="156" fillId="0" borderId="4" xfId="0" applyNumberFormat="1" applyFont="1" applyBorder="1" applyAlignment="1">
      <alignment wrapText="1"/>
    </xf>
    <xf numFmtId="14" fontId="156" fillId="0" borderId="4" xfId="0" applyNumberFormat="1" applyFont="1" applyBorder="1" applyAlignment="1">
      <alignment wrapText="1"/>
    </xf>
    <xf numFmtId="0" fontId="152" fillId="0" borderId="1" xfId="0" applyFont="1" applyBorder="1" applyAlignment="1">
      <alignment wrapText="1"/>
    </xf>
    <xf numFmtId="14" fontId="128" fillId="0" borderId="1" xfId="0" applyNumberFormat="1" applyFont="1" applyBorder="1" applyAlignment="1">
      <alignment wrapText="1"/>
    </xf>
    <xf numFmtId="3" fontId="40" fillId="0" borderId="1" xfId="0" applyNumberFormat="1" applyFont="1" applyBorder="1" applyAlignment="1">
      <alignment wrapText="1"/>
    </xf>
    <xf numFmtId="0" fontId="140" fillId="0" borderId="1" xfId="0" applyFont="1" applyBorder="1" applyAlignment="1">
      <alignment wrapText="1"/>
    </xf>
    <xf numFmtId="4" fontId="156" fillId="8" borderId="1" xfId="0" applyNumberFormat="1" applyFont="1" applyFill="1" applyBorder="1" applyAlignment="1">
      <alignment wrapText="1"/>
    </xf>
    <xf numFmtId="14" fontId="156" fillId="0" borderId="1" xfId="0" applyNumberFormat="1" applyFont="1" applyBorder="1" applyAlignment="1">
      <alignment wrapText="1"/>
    </xf>
    <xf numFmtId="0" fontId="49" fillId="0" borderId="14" xfId="0" applyFont="1" applyBorder="1" applyAlignment="1">
      <alignment wrapText="1"/>
    </xf>
    <xf numFmtId="4" fontId="37" fillId="0" borderId="14" xfId="0" applyNumberFormat="1" applyFont="1" applyBorder="1" applyAlignment="1">
      <alignment horizontal="right" wrapText="1"/>
    </xf>
    <xf numFmtId="0" fontId="37" fillId="0" borderId="5" xfId="0" applyFont="1" applyBorder="1" applyAlignment="1">
      <alignment horizontal="right" wrapText="1"/>
    </xf>
    <xf numFmtId="4" fontId="156" fillId="8" borderId="0" xfId="0" applyNumberFormat="1" applyFont="1" applyFill="1" applyAlignment="1">
      <alignment wrapText="1"/>
    </xf>
    <xf numFmtId="14" fontId="156" fillId="0" borderId="6" xfId="0" applyNumberFormat="1" applyFont="1" applyBorder="1" applyAlignment="1">
      <alignment wrapText="1"/>
    </xf>
    <xf numFmtId="0" fontId="37" fillId="0" borderId="6" xfId="0" applyFont="1" applyBorder="1" applyAlignment="1">
      <alignment horizontal="right" wrapText="1"/>
    </xf>
    <xf numFmtId="0" fontId="49" fillId="23" borderId="1" xfId="0" applyFont="1" applyFill="1" applyBorder="1" applyAlignment="1">
      <alignment wrapText="1"/>
    </xf>
    <xf numFmtId="14" fontId="58" fillId="0" borderId="6" xfId="0" applyNumberFormat="1" applyFont="1" applyBorder="1" applyAlignment="1">
      <alignment wrapText="1"/>
    </xf>
    <xf numFmtId="4" fontId="37" fillId="8" borderId="5" xfId="0" applyNumberFormat="1" applyFont="1" applyFill="1" applyBorder="1" applyAlignment="1">
      <alignment wrapText="1"/>
    </xf>
    <xf numFmtId="2" fontId="154" fillId="0" borderId="5" xfId="0" applyNumberFormat="1" applyFont="1" applyBorder="1" applyAlignment="1">
      <alignment wrapText="1"/>
    </xf>
    <xf numFmtId="14" fontId="154" fillId="0" borderId="1" xfId="0" applyNumberFormat="1" applyFont="1" applyBorder="1" applyAlignment="1">
      <alignment wrapText="1"/>
    </xf>
    <xf numFmtId="2" fontId="156" fillId="0" borderId="1" xfId="0" applyNumberFormat="1" applyFont="1" applyBorder="1" applyAlignment="1">
      <alignment wrapText="1"/>
    </xf>
    <xf numFmtId="0" fontId="140" fillId="8" borderId="0" xfId="0" applyFont="1" applyFill="1" applyAlignment="1">
      <alignment wrapText="1"/>
    </xf>
    <xf numFmtId="14" fontId="49" fillId="13" borderId="1" xfId="0" applyNumberFormat="1" applyFont="1" applyFill="1" applyBorder="1" applyAlignment="1">
      <alignment horizontal="center" wrapText="1"/>
    </xf>
    <xf numFmtId="3" fontId="58" fillId="0" borderId="0" xfId="0" applyNumberFormat="1" applyFont="1" applyAlignment="1">
      <alignment wrapText="1"/>
    </xf>
    <xf numFmtId="3" fontId="128" fillId="0" borderId="5" xfId="0" applyNumberFormat="1" applyFont="1" applyBorder="1" applyAlignment="1">
      <alignment horizontal="right" wrapText="1"/>
    </xf>
    <xf numFmtId="0" fontId="128" fillId="8" borderId="5" xfId="0" applyFont="1" applyFill="1" applyBorder="1" applyAlignment="1">
      <alignment wrapText="1"/>
    </xf>
    <xf numFmtId="14" fontId="58" fillId="8" borderId="1" xfId="0" applyNumberFormat="1" applyFont="1" applyFill="1" applyBorder="1" applyAlignment="1">
      <alignment horizontal="left" wrapText="1"/>
    </xf>
    <xf numFmtId="0" fontId="37" fillId="15" borderId="4" xfId="0" applyFont="1" applyFill="1" applyBorder="1" applyAlignment="1">
      <alignment wrapText="1"/>
    </xf>
    <xf numFmtId="4" fontId="37" fillId="15" borderId="1" xfId="0" applyNumberFormat="1" applyFont="1" applyFill="1" applyBorder="1" applyAlignment="1">
      <alignment wrapText="1"/>
    </xf>
    <xf numFmtId="0" fontId="58" fillId="6" borderId="3" xfId="0" applyFont="1" applyFill="1" applyBorder="1" applyAlignment="1">
      <alignment wrapText="1"/>
    </xf>
    <xf numFmtId="0" fontId="91" fillId="15" borderId="2" xfId="0" applyFont="1" applyFill="1" applyBorder="1" applyAlignment="1">
      <alignment wrapText="1"/>
    </xf>
    <xf numFmtId="14" fontId="40" fillId="15" borderId="2" xfId="0" applyNumberFormat="1" applyFont="1" applyFill="1" applyBorder="1" applyAlignment="1">
      <alignment horizontal="left" wrapText="1"/>
    </xf>
    <xf numFmtId="14" fontId="37" fillId="0" borderId="1" xfId="0" applyNumberFormat="1" applyFont="1" applyBorder="1" applyAlignment="1">
      <alignment horizontal="left" wrapText="1"/>
    </xf>
    <xf numFmtId="0" fontId="40" fillId="0" borderId="0" xfId="0" applyFont="1" applyAlignment="1">
      <alignment horizontal="right" wrapText="1"/>
    </xf>
    <xf numFmtId="0" fontId="163" fillId="0" borderId="1" xfId="0" applyFont="1" applyBorder="1" applyAlignment="1">
      <alignment wrapText="1"/>
    </xf>
    <xf numFmtId="2" fontId="49" fillId="8" borderId="1" xfId="0" applyNumberFormat="1" applyFont="1" applyFill="1" applyBorder="1" applyAlignment="1">
      <alignment wrapText="1"/>
    </xf>
    <xf numFmtId="14" fontId="163" fillId="0" borderId="1" xfId="0" applyNumberFormat="1" applyFont="1" applyBorder="1" applyAlignment="1">
      <alignment wrapText="1"/>
    </xf>
    <xf numFmtId="14" fontId="160" fillId="0" borderId="1" xfId="0" applyNumberFormat="1" applyFont="1" applyBorder="1" applyAlignment="1">
      <alignment wrapText="1"/>
    </xf>
    <xf numFmtId="0" fontId="122" fillId="8" borderId="1" xfId="0" applyFont="1" applyFill="1" applyBorder="1" applyAlignment="1">
      <alignment wrapText="1"/>
    </xf>
    <xf numFmtId="2" fontId="58" fillId="29" borderId="1" xfId="0" applyNumberFormat="1" applyFont="1" applyFill="1" applyBorder="1" applyAlignment="1">
      <alignment wrapText="1"/>
    </xf>
    <xf numFmtId="2" fontId="122" fillId="0" borderId="1" xfId="0" applyNumberFormat="1" applyFont="1" applyBorder="1" applyAlignment="1">
      <alignment wrapText="1"/>
    </xf>
    <xf numFmtId="0" fontId="58" fillId="30" borderId="7" xfId="0" applyFont="1" applyFill="1" applyBorder="1" applyAlignment="1">
      <alignment wrapText="1"/>
    </xf>
    <xf numFmtId="3" fontId="37" fillId="41" borderId="1" xfId="0" applyNumberFormat="1" applyFont="1" applyFill="1" applyBorder="1" applyAlignment="1">
      <alignment wrapText="1"/>
    </xf>
    <xf numFmtId="3" fontId="37" fillId="35" borderId="1" xfId="0" applyNumberFormat="1" applyFont="1" applyFill="1" applyBorder="1" applyAlignment="1">
      <alignment wrapText="1"/>
    </xf>
    <xf numFmtId="0" fontId="163" fillId="0" borderId="7" xfId="0" applyFont="1" applyBorder="1" applyAlignment="1">
      <alignment wrapText="1"/>
    </xf>
    <xf numFmtId="0" fontId="160" fillId="0" borderId="0" xfId="0" applyFont="1" applyAlignment="1">
      <alignment wrapText="1"/>
    </xf>
    <xf numFmtId="49" fontId="122" fillId="8" borderId="1" xfId="0" applyNumberFormat="1" applyFont="1" applyFill="1" applyBorder="1" applyAlignment="1">
      <alignment wrapText="1"/>
    </xf>
    <xf numFmtId="0" fontId="123" fillId="8" borderId="1" xfId="0" applyFont="1" applyFill="1" applyBorder="1" applyAlignment="1">
      <alignment wrapText="1"/>
    </xf>
    <xf numFmtId="0" fontId="140" fillId="8" borderId="5" xfId="0" applyFont="1" applyFill="1" applyBorder="1" applyAlignment="1">
      <alignment wrapText="1"/>
    </xf>
    <xf numFmtId="14" fontId="40" fillId="0" borderId="5" xfId="0" applyNumberFormat="1" applyFont="1" applyBorder="1" applyAlignment="1">
      <alignment wrapText="1"/>
    </xf>
    <xf numFmtId="0" fontId="58" fillId="29" borderId="1" xfId="0" applyFont="1" applyFill="1" applyBorder="1" applyAlignment="1">
      <alignment wrapText="1"/>
    </xf>
    <xf numFmtId="0" fontId="40" fillId="29" borderId="1" xfId="0" applyFont="1" applyFill="1" applyBorder="1" applyAlignment="1">
      <alignment wrapText="1"/>
    </xf>
    <xf numFmtId="0" fontId="37" fillId="29" borderId="1" xfId="0" applyFont="1" applyFill="1" applyBorder="1" applyAlignment="1">
      <alignment wrapText="1"/>
    </xf>
    <xf numFmtId="14" fontId="123" fillId="8" borderId="14" xfId="0" applyNumberFormat="1" applyFont="1" applyFill="1" applyBorder="1" applyAlignment="1">
      <alignment wrapText="1"/>
    </xf>
    <xf numFmtId="0" fontId="40" fillId="0" borderId="14" xfId="0" applyFont="1" applyBorder="1" applyAlignment="1">
      <alignment wrapText="1"/>
    </xf>
    <xf numFmtId="14" fontId="165" fillId="8" borderId="1" xfId="0" applyNumberFormat="1" applyFont="1" applyFill="1" applyBorder="1" applyAlignment="1">
      <alignment wrapText="1"/>
    </xf>
    <xf numFmtId="4" fontId="37" fillId="0" borderId="1" xfId="0" applyNumberFormat="1" applyFont="1" applyBorder="1" applyAlignment="1">
      <alignment horizontal="left" wrapText="1"/>
    </xf>
    <xf numFmtId="0" fontId="38" fillId="0" borderId="5" xfId="0" applyFont="1" applyBorder="1"/>
    <xf numFmtId="0" fontId="62" fillId="0" borderId="1" xfId="0" applyFont="1" applyBorder="1"/>
    <xf numFmtId="4" fontId="37" fillId="0" borderId="4" xfId="0" applyNumberFormat="1" applyFont="1" applyBorder="1" applyAlignment="1">
      <alignment horizontal="left" wrapText="1"/>
    </xf>
    <xf numFmtId="0" fontId="62" fillId="0" borderId="5" xfId="0" applyFont="1" applyBorder="1"/>
    <xf numFmtId="0" fontId="62" fillId="0" borderId="1" xfId="0" applyFont="1" applyBorder="1" applyAlignment="1">
      <alignment wrapText="1"/>
    </xf>
    <xf numFmtId="0" fontId="40" fillId="0" borderId="1" xfId="0" applyFont="1" applyBorder="1" applyAlignment="1">
      <alignment horizontal="left" wrapText="1"/>
    </xf>
    <xf numFmtId="0" fontId="166" fillId="0" borderId="1" xfId="0" applyFont="1" applyBorder="1" applyAlignment="1">
      <alignment wrapText="1"/>
    </xf>
    <xf numFmtId="49" fontId="40" fillId="0" borderId="1" xfId="0" applyNumberFormat="1" applyFont="1" applyBorder="1" applyAlignment="1">
      <alignment wrapText="1"/>
    </xf>
    <xf numFmtId="0" fontId="163" fillId="0" borderId="5" xfId="0" applyFont="1" applyBorder="1" applyAlignment="1">
      <alignment horizontal="center" wrapText="1"/>
    </xf>
    <xf numFmtId="0" fontId="163" fillId="0" borderId="5" xfId="0" applyFont="1" applyBorder="1" applyAlignment="1">
      <alignment horizontal="left" wrapText="1"/>
    </xf>
    <xf numFmtId="0" fontId="160" fillId="0" borderId="1" xfId="0" applyFont="1" applyBorder="1" applyAlignment="1">
      <alignment horizontal="right" wrapText="1"/>
    </xf>
    <xf numFmtId="14" fontId="122" fillId="8" borderId="1" xfId="0" applyNumberFormat="1" applyFont="1" applyFill="1" applyBorder="1" applyAlignment="1">
      <alignment wrapText="1"/>
    </xf>
    <xf numFmtId="0" fontId="40" fillId="30" borderId="1" xfId="0" applyFont="1" applyFill="1" applyBorder="1" applyAlignment="1">
      <alignment wrapText="1"/>
    </xf>
    <xf numFmtId="0" fontId="37" fillId="30" borderId="7" xfId="0" applyFont="1" applyFill="1" applyBorder="1" applyAlignment="1">
      <alignment wrapText="1"/>
    </xf>
    <xf numFmtId="14" fontId="58" fillId="34" borderId="1" xfId="0" applyNumberFormat="1" applyFont="1" applyFill="1" applyBorder="1" applyAlignment="1">
      <alignment wrapText="1"/>
    </xf>
    <xf numFmtId="0" fontId="37" fillId="29" borderId="7" xfId="0" applyFont="1" applyFill="1" applyBorder="1" applyAlignment="1">
      <alignment wrapText="1"/>
    </xf>
    <xf numFmtId="0" fontId="58" fillId="35" borderId="1" xfId="0" applyFont="1" applyFill="1" applyBorder="1" applyAlignment="1">
      <alignment wrapText="1"/>
    </xf>
    <xf numFmtId="0" fontId="40" fillId="24" borderId="1" xfId="0" applyFont="1" applyFill="1" applyBorder="1" applyAlignment="1">
      <alignment wrapText="1"/>
    </xf>
    <xf numFmtId="0" fontId="37" fillId="24" borderId="9" xfId="0" applyFont="1" applyFill="1" applyBorder="1" applyAlignment="1">
      <alignment wrapText="1"/>
    </xf>
    <xf numFmtId="0" fontId="37" fillId="30" borderId="10" xfId="0" applyFont="1" applyFill="1" applyBorder="1" applyAlignment="1">
      <alignment wrapText="1"/>
    </xf>
    <xf numFmtId="0" fontId="37" fillId="30" borderId="4" xfId="0" applyFont="1" applyFill="1" applyBorder="1" applyAlignment="1">
      <alignment wrapText="1"/>
    </xf>
    <xf numFmtId="0" fontId="163" fillId="0" borderId="4" xfId="0" applyFont="1" applyBorder="1" applyAlignment="1">
      <alignment wrapText="1"/>
    </xf>
    <xf numFmtId="0" fontId="163" fillId="0" borderId="9" xfId="0" applyFont="1" applyBorder="1" applyAlignment="1">
      <alignment wrapText="1"/>
    </xf>
    <xf numFmtId="0" fontId="163" fillId="0" borderId="8" xfId="0" applyFont="1" applyBorder="1" applyAlignment="1">
      <alignment wrapText="1"/>
    </xf>
    <xf numFmtId="3" fontId="119" fillId="0" borderId="1" xfId="0" applyNumberFormat="1" applyFont="1" applyBorder="1" applyAlignment="1">
      <alignment horizontal="right" wrapText="1"/>
    </xf>
    <xf numFmtId="3" fontId="163" fillId="0" borderId="4" xfId="0" applyNumberFormat="1" applyFont="1" applyBorder="1" applyAlignment="1">
      <alignment wrapText="1"/>
    </xf>
    <xf numFmtId="3" fontId="40" fillId="0" borderId="4" xfId="0" applyNumberFormat="1" applyFont="1" applyBorder="1" applyAlignment="1">
      <alignment horizontal="right" wrapText="1"/>
    </xf>
    <xf numFmtId="14" fontId="40" fillId="0" borderId="9" xfId="0" applyNumberFormat="1" applyFont="1" applyBorder="1" applyAlignment="1">
      <alignment wrapText="1"/>
    </xf>
    <xf numFmtId="0" fontId="37" fillId="0" borderId="27" xfId="0" applyFont="1" applyBorder="1" applyAlignment="1">
      <alignment wrapText="1"/>
    </xf>
    <xf numFmtId="14" fontId="37" fillId="0" borderId="27" xfId="0" applyNumberFormat="1" applyFont="1" applyBorder="1" applyAlignment="1">
      <alignment wrapText="1"/>
    </xf>
    <xf numFmtId="0" fontId="123" fillId="8" borderId="27" xfId="0" applyFont="1" applyFill="1" applyBorder="1" applyAlignment="1">
      <alignment wrapText="1"/>
    </xf>
    <xf numFmtId="3" fontId="37" fillId="8" borderId="27" xfId="0" applyNumberFormat="1" applyFont="1" applyFill="1" applyBorder="1" applyAlignment="1">
      <alignment wrapText="1"/>
    </xf>
    <xf numFmtId="0" fontId="148" fillId="0" borderId="28" xfId="0" applyFont="1" applyBorder="1" applyAlignment="1">
      <alignment wrapText="1"/>
    </xf>
    <xf numFmtId="0" fontId="49" fillId="8" borderId="29" xfId="0" applyFont="1" applyFill="1" applyBorder="1" applyAlignment="1">
      <alignment wrapText="1"/>
    </xf>
    <xf numFmtId="3" fontId="40" fillId="8" borderId="29" xfId="0" applyNumberFormat="1" applyFont="1" applyFill="1" applyBorder="1" applyAlignment="1">
      <alignment wrapText="1"/>
    </xf>
    <xf numFmtId="0" fontId="140" fillId="8" borderId="27" xfId="0" applyFont="1" applyFill="1" applyBorder="1" applyAlignment="1">
      <alignment wrapText="1"/>
    </xf>
    <xf numFmtId="0" fontId="58" fillId="0" borderId="27" xfId="0" applyFont="1" applyBorder="1" applyAlignment="1">
      <alignment wrapText="1"/>
    </xf>
    <xf numFmtId="3" fontId="58" fillId="0" borderId="29" xfId="0" applyNumberFormat="1" applyFont="1" applyBorder="1" applyAlignment="1">
      <alignment wrapText="1"/>
    </xf>
    <xf numFmtId="0" fontId="37" fillId="0" borderId="29" xfId="0" applyFont="1" applyBorder="1" applyAlignment="1">
      <alignment wrapText="1"/>
    </xf>
    <xf numFmtId="0" fontId="38" fillId="0" borderId="16" xfId="0" applyFont="1" applyBorder="1"/>
    <xf numFmtId="0" fontId="40" fillId="0" borderId="7" xfId="0" applyFont="1" applyBorder="1" applyAlignment="1">
      <alignment horizontal="right" wrapText="1"/>
    </xf>
    <xf numFmtId="2" fontId="58" fillId="8" borderId="1" xfId="0" applyNumberFormat="1" applyFont="1" applyFill="1" applyBorder="1" applyAlignment="1">
      <alignment wrapText="1"/>
    </xf>
    <xf numFmtId="0" fontId="37" fillId="0" borderId="9" xfId="0" applyFont="1" applyBorder="1" applyAlignment="1">
      <alignment horizontal="center" wrapText="1"/>
    </xf>
    <xf numFmtId="14" fontId="40" fillId="0" borderId="1" xfId="0" applyNumberFormat="1" applyFont="1" applyBorder="1" applyAlignment="1">
      <alignment horizontal="left" wrapText="1"/>
    </xf>
    <xf numFmtId="0" fontId="40" fillId="0" borderId="0" xfId="0" applyFont="1" applyAlignment="1">
      <alignment horizontal="center" wrapText="1"/>
    </xf>
    <xf numFmtId="0" fontId="40" fillId="0" borderId="6" xfId="0" applyFont="1" applyBorder="1" applyAlignment="1">
      <alignment horizontal="center" wrapText="1"/>
    </xf>
    <xf numFmtId="0" fontId="40" fillId="0" borderId="14" xfId="0" applyFont="1" applyBorder="1" applyAlignment="1">
      <alignment horizontal="center" wrapText="1"/>
    </xf>
    <xf numFmtId="0" fontId="37" fillId="0" borderId="14" xfId="0" applyFont="1" applyBorder="1" applyAlignment="1">
      <alignment horizontal="center" wrapText="1"/>
    </xf>
    <xf numFmtId="0" fontId="160" fillId="0" borderId="1" xfId="0" applyFont="1" applyBorder="1" applyAlignment="1">
      <alignment wrapText="1"/>
    </xf>
    <xf numFmtId="0" fontId="37" fillId="29" borderId="4" xfId="0" applyFont="1" applyFill="1" applyBorder="1" applyAlignment="1">
      <alignment wrapText="1"/>
    </xf>
    <xf numFmtId="0" fontId="58" fillId="8" borderId="12" xfId="0" applyFont="1" applyFill="1" applyBorder="1" applyAlignment="1">
      <alignment wrapText="1"/>
    </xf>
    <xf numFmtId="0" fontId="84" fillId="0" borderId="14" xfId="0" applyFont="1" applyBorder="1" applyAlignment="1">
      <alignment wrapText="1"/>
    </xf>
    <xf numFmtId="0" fontId="81" fillId="0" borderId="1" xfId="0" applyFont="1" applyBorder="1" applyAlignment="1">
      <alignment wrapText="1"/>
    </xf>
    <xf numFmtId="1" fontId="30" fillId="0" borderId="0" xfId="0" applyNumberFormat="1" applyFont="1" applyAlignment="1">
      <alignment wrapText="1"/>
    </xf>
    <xf numFmtId="0" fontId="30" fillId="0" borderId="0" xfId="0" applyFont="1"/>
    <xf numFmtId="0" fontId="122" fillId="0" borderId="1" xfId="0" applyFont="1" applyBorder="1" applyAlignment="1">
      <alignment wrapText="1"/>
    </xf>
    <xf numFmtId="0" fontId="169" fillId="29" borderId="1" xfId="0" applyFont="1" applyFill="1" applyBorder="1" applyAlignment="1">
      <alignment wrapText="1"/>
    </xf>
    <xf numFmtId="0" fontId="83" fillId="0" borderId="1" xfId="0" applyFont="1" applyBorder="1" applyAlignment="1">
      <alignment wrapText="1"/>
    </xf>
    <xf numFmtId="0" fontId="58" fillId="0" borderId="12" xfId="0" applyFont="1" applyBorder="1" applyAlignment="1">
      <alignment wrapText="1"/>
    </xf>
    <xf numFmtId="0" fontId="170" fillId="30" borderId="6" xfId="0" applyFont="1" applyFill="1" applyBorder="1" applyAlignment="1">
      <alignment wrapText="1"/>
    </xf>
    <xf numFmtId="0" fontId="37" fillId="29" borderId="5" xfId="0" applyFont="1" applyFill="1" applyBorder="1" applyAlignment="1">
      <alignment horizontal="center" wrapText="1"/>
    </xf>
    <xf numFmtId="0" fontId="40" fillId="30" borderId="4" xfId="0" applyFont="1" applyFill="1" applyBorder="1" applyAlignment="1">
      <alignment wrapText="1"/>
    </xf>
    <xf numFmtId="0" fontId="86" fillId="0" borderId="1" xfId="0" applyFont="1" applyBorder="1" applyAlignment="1">
      <alignment wrapText="1"/>
    </xf>
    <xf numFmtId="14" fontId="37" fillId="0" borderId="7" xfId="0" applyNumberFormat="1" applyFont="1" applyBorder="1" applyAlignment="1">
      <alignment wrapText="1"/>
    </xf>
    <xf numFmtId="0" fontId="37" fillId="29" borderId="6" xfId="0" applyFont="1" applyFill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82" fillId="0" borderId="1" xfId="0" applyFont="1" applyBorder="1" applyAlignment="1">
      <alignment wrapText="1"/>
    </xf>
    <xf numFmtId="0" fontId="84" fillId="0" borderId="1" xfId="0" applyFont="1" applyBorder="1" applyAlignment="1">
      <alignment wrapText="1"/>
    </xf>
    <xf numFmtId="0" fontId="45" fillId="0" borderId="1" xfId="0" applyFont="1" applyBorder="1" applyAlignment="1">
      <alignment wrapText="1"/>
    </xf>
    <xf numFmtId="3" fontId="40" fillId="0" borderId="9" xfId="0" applyNumberFormat="1" applyFont="1" applyBorder="1" applyAlignment="1">
      <alignment wrapText="1"/>
    </xf>
    <xf numFmtId="0" fontId="40" fillId="29" borderId="14" xfId="0" applyFont="1" applyFill="1" applyBorder="1" applyAlignment="1">
      <alignment wrapText="1"/>
    </xf>
    <xf numFmtId="14" fontId="40" fillId="29" borderId="5" xfId="0" applyNumberFormat="1" applyFont="1" applyFill="1" applyBorder="1" applyAlignment="1">
      <alignment wrapText="1"/>
    </xf>
    <xf numFmtId="3" fontId="49" fillId="29" borderId="1" xfId="0" applyNumberFormat="1" applyFont="1" applyFill="1" applyBorder="1" applyAlignment="1">
      <alignment wrapText="1"/>
    </xf>
    <xf numFmtId="0" fontId="58" fillId="34" borderId="4" xfId="0" applyFont="1" applyFill="1" applyBorder="1" applyAlignment="1">
      <alignment wrapText="1"/>
    </xf>
    <xf numFmtId="0" fontId="40" fillId="0" borderId="11" xfId="0" applyFont="1" applyBorder="1" applyAlignment="1">
      <alignment wrapText="1"/>
    </xf>
    <xf numFmtId="2" fontId="163" fillId="0" borderId="1" xfId="0" applyNumberFormat="1" applyFont="1" applyBorder="1" applyAlignment="1">
      <alignment wrapText="1"/>
    </xf>
    <xf numFmtId="2" fontId="58" fillId="35" borderId="1" xfId="0" applyNumberFormat="1" applyFont="1" applyFill="1" applyBorder="1" applyAlignment="1">
      <alignment horizontal="center" wrapText="1"/>
    </xf>
    <xf numFmtId="0" fontId="10" fillId="29" borderId="3" xfId="0" applyFont="1" applyFill="1" applyBorder="1" applyAlignment="1">
      <alignment wrapText="1"/>
    </xf>
    <xf numFmtId="2" fontId="52" fillId="29" borderId="1" xfId="0" applyNumberFormat="1" applyFont="1" applyFill="1" applyBorder="1" applyAlignment="1">
      <alignment wrapText="1"/>
    </xf>
    <xf numFmtId="2" fontId="51" fillId="0" borderId="1" xfId="0" applyNumberFormat="1" applyFont="1" applyBorder="1" applyAlignment="1">
      <alignment wrapText="1"/>
    </xf>
    <xf numFmtId="0" fontId="81" fillId="0" borderId="4" xfId="0" applyFont="1" applyBorder="1" applyAlignment="1">
      <alignment wrapText="1"/>
    </xf>
    <xf numFmtId="2" fontId="81" fillId="0" borderId="5" xfId="0" applyNumberFormat="1" applyFont="1" applyBorder="1" applyAlignment="1">
      <alignment wrapText="1"/>
    </xf>
    <xf numFmtId="169" fontId="97" fillId="8" borderId="4" xfId="0" applyNumberFormat="1" applyFont="1" applyFill="1" applyBorder="1" applyAlignment="1">
      <alignment wrapText="1"/>
    </xf>
    <xf numFmtId="4" fontId="97" fillId="8" borderId="5" xfId="0" applyNumberFormat="1" applyFont="1" applyFill="1" applyBorder="1" applyAlignment="1">
      <alignment wrapText="1"/>
    </xf>
    <xf numFmtId="2" fontId="97" fillId="8" borderId="4" xfId="0" applyNumberFormat="1" applyFont="1" applyFill="1" applyBorder="1" applyAlignment="1">
      <alignment wrapText="1"/>
    </xf>
    <xf numFmtId="2" fontId="97" fillId="8" borderId="5" xfId="0" applyNumberFormat="1" applyFont="1" applyFill="1" applyBorder="1" applyAlignment="1">
      <alignment wrapText="1"/>
    </xf>
    <xf numFmtId="0" fontId="82" fillId="24" borderId="4" xfId="0" applyFont="1" applyFill="1" applyBorder="1" applyAlignment="1">
      <alignment wrapText="1"/>
    </xf>
    <xf numFmtId="0" fontId="173" fillId="37" borderId="1" xfId="0" applyFont="1" applyFill="1" applyBorder="1" applyAlignment="1">
      <alignment wrapText="1"/>
    </xf>
    <xf numFmtId="0" fontId="163" fillId="0" borderId="6" xfId="0" applyFont="1" applyBorder="1" applyAlignment="1">
      <alignment wrapText="1"/>
    </xf>
    <xf numFmtId="0" fontId="163" fillId="0" borderId="5" xfId="0" applyFont="1" applyBorder="1" applyAlignment="1">
      <alignment wrapText="1"/>
    </xf>
    <xf numFmtId="3" fontId="174" fillId="35" borderId="1" xfId="0" applyNumberFormat="1" applyFont="1" applyFill="1" applyBorder="1" applyAlignment="1">
      <alignment wrapText="1"/>
    </xf>
    <xf numFmtId="3" fontId="167" fillId="0" borderId="1" xfId="0" applyNumberFormat="1" applyFont="1" applyBorder="1" applyAlignment="1">
      <alignment horizontal="right" wrapText="1"/>
    </xf>
    <xf numFmtId="3" fontId="37" fillId="29" borderId="1" xfId="0" applyNumberFormat="1" applyFont="1" applyFill="1" applyBorder="1" applyAlignment="1">
      <alignment wrapText="1"/>
    </xf>
    <xf numFmtId="0" fontId="72" fillId="0" borderId="1" xfId="0" applyFont="1" applyBorder="1"/>
    <xf numFmtId="0" fontId="90" fillId="0" borderId="1" xfId="0" applyFont="1" applyBorder="1" applyAlignment="1">
      <alignment horizontal="center" wrapText="1"/>
    </xf>
    <xf numFmtId="0" fontId="175" fillId="0" borderId="1" xfId="0" applyFont="1" applyBorder="1" applyAlignment="1">
      <alignment horizontal="center" wrapText="1"/>
    </xf>
    <xf numFmtId="0" fontId="32" fillId="0" borderId="5" xfId="0" applyFont="1" applyBorder="1" applyAlignment="1">
      <alignment wrapText="1"/>
    </xf>
    <xf numFmtId="4" fontId="107" fillId="0" borderId="6" xfId="0" applyNumberFormat="1" applyFont="1" applyBorder="1" applyAlignment="1">
      <alignment wrapText="1"/>
    </xf>
    <xf numFmtId="49" fontId="108" fillId="0" borderId="6" xfId="0" applyNumberFormat="1" applyFont="1" applyBorder="1" applyAlignment="1">
      <alignment wrapText="1"/>
    </xf>
    <xf numFmtId="0" fontId="124" fillId="30" borderId="1" xfId="0" applyFont="1" applyFill="1" applyBorder="1" applyAlignment="1">
      <alignment wrapText="1"/>
    </xf>
    <xf numFmtId="0" fontId="40" fillId="30" borderId="1" xfId="0" applyFont="1" applyFill="1" applyBorder="1" applyAlignment="1">
      <alignment horizontal="right" wrapText="1"/>
    </xf>
    <xf numFmtId="14" fontId="40" fillId="30" borderId="1" xfId="0" applyNumberFormat="1" applyFont="1" applyFill="1" applyBorder="1" applyAlignment="1">
      <alignment wrapText="1"/>
    </xf>
    <xf numFmtId="4" fontId="37" fillId="0" borderId="20" xfId="0" applyNumberFormat="1" applyFont="1" applyBorder="1" applyAlignment="1">
      <alignment horizontal="right" vertical="center" wrapText="1"/>
    </xf>
    <xf numFmtId="4" fontId="37" fillId="0" borderId="22" xfId="0" applyNumberFormat="1" applyFont="1" applyBorder="1" applyAlignment="1">
      <alignment horizontal="right" vertical="center" wrapText="1"/>
    </xf>
    <xf numFmtId="0" fontId="72" fillId="0" borderId="1" xfId="0" applyFont="1" applyBorder="1" applyAlignment="1">
      <alignment horizontal="center"/>
    </xf>
    <xf numFmtId="0" fontId="45" fillId="0" borderId="1" xfId="0" applyFont="1" applyBorder="1" applyAlignment="1">
      <alignment horizontal="center" wrapText="1"/>
    </xf>
    <xf numFmtId="0" fontId="99" fillId="29" borderId="1" xfId="0" applyFont="1" applyFill="1" applyBorder="1" applyAlignment="1">
      <alignment wrapText="1"/>
    </xf>
    <xf numFmtId="14" fontId="40" fillId="0" borderId="4" xfId="0" applyNumberFormat="1" applyFont="1" applyBorder="1" applyAlignment="1">
      <alignment wrapText="1"/>
    </xf>
    <xf numFmtId="0" fontId="80" fillId="0" borderId="24" xfId="0" applyFont="1" applyBorder="1" applyAlignment="1">
      <alignment horizontal="right" vertical="center" wrapText="1"/>
    </xf>
    <xf numFmtId="0" fontId="176" fillId="0" borderId="19" xfId="0" applyFont="1" applyBorder="1" applyAlignment="1">
      <alignment horizontal="right" vertical="center" wrapText="1"/>
    </xf>
    <xf numFmtId="0" fontId="51" fillId="0" borderId="25" xfId="0" applyFont="1" applyBorder="1" applyAlignment="1">
      <alignment horizontal="right" vertical="center" wrapText="1"/>
    </xf>
    <xf numFmtId="3" fontId="0" fillId="0" borderId="0" xfId="0" applyNumberFormat="1"/>
    <xf numFmtId="0" fontId="52" fillId="0" borderId="19" xfId="0" applyFont="1" applyBorder="1" applyAlignment="1">
      <alignment horizontal="center" vertical="center" wrapText="1"/>
    </xf>
    <xf numFmtId="3" fontId="52" fillId="0" borderId="19" xfId="0" applyNumberFormat="1" applyFont="1" applyBorder="1" applyAlignment="1">
      <alignment horizontal="right" vertical="center" wrapText="1"/>
    </xf>
    <xf numFmtId="0" fontId="52" fillId="0" borderId="19" xfId="0" applyFont="1" applyBorder="1" applyAlignment="1">
      <alignment vertical="center" wrapText="1"/>
    </xf>
    <xf numFmtId="0" fontId="177" fillId="0" borderId="1" xfId="0" applyFont="1" applyBorder="1" applyAlignment="1">
      <alignment wrapText="1"/>
    </xf>
    <xf numFmtId="4" fontId="52" fillId="0" borderId="1" xfId="0" applyNumberFormat="1" applyFont="1" applyBorder="1" applyAlignment="1">
      <alignment horizontal="center" wrapText="1"/>
    </xf>
    <xf numFmtId="49" fontId="51" fillId="0" borderId="1" xfId="0" applyNumberFormat="1" applyFont="1" applyBorder="1" applyAlignment="1">
      <alignment wrapText="1"/>
    </xf>
    <xf numFmtId="0" fontId="45" fillId="0" borderId="5" xfId="0" applyFont="1" applyBorder="1" applyAlignment="1">
      <alignment horizontal="center" wrapText="1"/>
    </xf>
    <xf numFmtId="14" fontId="33" fillId="0" borderId="2" xfId="0" applyNumberFormat="1" applyFont="1" applyBorder="1" applyAlignment="1">
      <alignment wrapText="1"/>
    </xf>
    <xf numFmtId="0" fontId="51" fillId="0" borderId="1" xfId="0" applyFont="1" applyBorder="1" applyAlignment="1">
      <alignment horizontal="right" wrapText="1"/>
    </xf>
    <xf numFmtId="14" fontId="51" fillId="0" borderId="2" xfId="0" applyNumberFormat="1" applyFont="1" applyBorder="1" applyAlignment="1">
      <alignment horizontal="left" wrapText="1"/>
    </xf>
    <xf numFmtId="14" fontId="123" fillId="8" borderId="1" xfId="0" applyNumberFormat="1" applyFont="1" applyFill="1" applyBorder="1" applyAlignment="1">
      <alignment wrapText="1"/>
    </xf>
    <xf numFmtId="0" fontId="16" fillId="0" borderId="6" xfId="0" applyFont="1" applyBorder="1" applyAlignment="1">
      <alignment horizontal="center"/>
    </xf>
    <xf numFmtId="0" fontId="90" fillId="30" borderId="1" xfId="0" applyFont="1" applyFill="1" applyBorder="1" applyAlignment="1">
      <alignment wrapText="1"/>
    </xf>
    <xf numFmtId="3" fontId="37" fillId="0" borderId="14" xfId="0" applyNumberFormat="1" applyFont="1" applyBorder="1" applyAlignment="1">
      <alignment horizontal="center" wrapText="1"/>
    </xf>
    <xf numFmtId="0" fontId="119" fillId="30" borderId="1" xfId="0" applyFont="1" applyFill="1" applyBorder="1" applyAlignment="1">
      <alignment wrapText="1"/>
    </xf>
    <xf numFmtId="2" fontId="37" fillId="0" borderId="8" xfId="0" applyNumberFormat="1" applyFont="1" applyBorder="1" applyAlignment="1">
      <alignment wrapText="1"/>
    </xf>
    <xf numFmtId="0" fontId="16" fillId="0" borderId="0" xfId="0" applyFont="1" applyAlignment="1">
      <alignment horizontal="center"/>
    </xf>
    <xf numFmtId="17" fontId="38" fillId="0" borderId="3" xfId="0" applyNumberFormat="1" applyFont="1" applyBorder="1"/>
    <xf numFmtId="0" fontId="183" fillId="29" borderId="8" xfId="0" applyFont="1" applyFill="1" applyBorder="1" applyAlignment="1">
      <alignment wrapText="1"/>
    </xf>
    <xf numFmtId="0" fontId="82" fillId="29" borderId="8" xfId="0" applyFont="1" applyFill="1" applyBorder="1" applyAlignment="1">
      <alignment wrapText="1"/>
    </xf>
    <xf numFmtId="2" fontId="122" fillId="8" borderId="2" xfId="0" applyNumberFormat="1" applyFont="1" applyFill="1" applyBorder="1" applyAlignment="1">
      <alignment wrapText="1"/>
    </xf>
    <xf numFmtId="2" fontId="37" fillId="0" borderId="4" xfId="0" applyNumberFormat="1" applyFont="1" applyBorder="1" applyAlignment="1">
      <alignment horizontal="right" wrapText="1"/>
    </xf>
    <xf numFmtId="0" fontId="94" fillId="33" borderId="1" xfId="0" applyFont="1" applyFill="1" applyBorder="1" applyAlignment="1">
      <alignment wrapText="1"/>
    </xf>
    <xf numFmtId="0" fontId="120" fillId="33" borderId="2" xfId="0" applyFont="1" applyFill="1" applyBorder="1" applyAlignment="1">
      <alignment wrapText="1"/>
    </xf>
    <xf numFmtId="0" fontId="45" fillId="0" borderId="5" xfId="0" applyFont="1" applyBorder="1" applyAlignment="1">
      <alignment vertical="center"/>
    </xf>
    <xf numFmtId="14" fontId="11" fillId="0" borderId="6" xfId="0" applyNumberFormat="1" applyFont="1" applyBorder="1" applyAlignment="1">
      <alignment horizontal="center" wrapText="1"/>
    </xf>
    <xf numFmtId="4" fontId="79" fillId="0" borderId="6" xfId="0" applyNumberFormat="1" applyFont="1" applyBorder="1" applyAlignment="1">
      <alignment horizontal="center" wrapText="1"/>
    </xf>
    <xf numFmtId="0" fontId="32" fillId="0" borderId="1" xfId="0" applyFont="1" applyBorder="1" applyAlignment="1">
      <alignment horizontal="center" wrapText="1"/>
    </xf>
    <xf numFmtId="14" fontId="37" fillId="0" borderId="8" xfId="0" applyNumberFormat="1" applyFont="1" applyBorder="1" applyAlignment="1">
      <alignment wrapText="1"/>
    </xf>
    <xf numFmtId="4" fontId="107" fillId="0" borderId="1" xfId="0" applyNumberFormat="1" applyFont="1" applyBorder="1" applyAlignment="1">
      <alignment horizontal="center" wrapText="1"/>
    </xf>
    <xf numFmtId="2" fontId="84" fillId="8" borderId="2" xfId="0" applyNumberFormat="1" applyFont="1" applyFill="1" applyBorder="1" applyAlignment="1">
      <alignment wrapText="1"/>
    </xf>
    <xf numFmtId="4" fontId="45" fillId="0" borderId="1" xfId="0" applyNumberFormat="1" applyFont="1" applyBorder="1" applyAlignment="1">
      <alignment horizontal="center" wrapText="1"/>
    </xf>
    <xf numFmtId="3" fontId="9" fillId="0" borderId="4" xfId="0" applyNumberFormat="1" applyFont="1" applyBorder="1" applyAlignment="1">
      <alignment horizontal="center" wrapText="1"/>
    </xf>
    <xf numFmtId="0" fontId="90" fillId="0" borderId="1" xfId="0" applyFont="1" applyBorder="1" applyAlignment="1">
      <alignment horizontal="center"/>
    </xf>
    <xf numFmtId="3" fontId="51" fillId="0" borderId="4" xfId="0" applyNumberFormat="1" applyFont="1" applyBorder="1" applyAlignment="1">
      <alignment horizontal="center"/>
    </xf>
    <xf numFmtId="14" fontId="33" fillId="0" borderId="1" xfId="0" applyNumberFormat="1" applyFont="1" applyBorder="1" applyAlignment="1">
      <alignment wrapText="1"/>
    </xf>
    <xf numFmtId="49" fontId="51" fillId="0" borderId="1" xfId="0" applyNumberFormat="1" applyFont="1" applyBorder="1" applyAlignment="1">
      <alignment horizontal="right" wrapText="1"/>
    </xf>
    <xf numFmtId="49" fontId="0" fillId="0" borderId="1" xfId="0" applyNumberFormat="1" applyBorder="1" applyAlignment="1">
      <alignment wrapText="1"/>
    </xf>
    <xf numFmtId="14" fontId="123" fillId="34" borderId="1" xfId="0" applyNumberFormat="1" applyFont="1" applyFill="1" applyBorder="1" applyAlignment="1">
      <alignment wrapText="1"/>
    </xf>
    <xf numFmtId="0" fontId="185" fillId="0" borderId="1" xfId="0" applyFont="1" applyBorder="1" applyAlignment="1">
      <alignment horizontal="center" wrapText="1"/>
    </xf>
    <xf numFmtId="4" fontId="163" fillId="0" borderId="1" xfId="0" applyNumberFormat="1" applyFont="1" applyBorder="1" applyAlignment="1">
      <alignment wrapText="1"/>
    </xf>
    <xf numFmtId="0" fontId="123" fillId="0" borderId="1" xfId="0" applyFont="1" applyBorder="1" applyAlignment="1">
      <alignment horizontal="center" wrapText="1"/>
    </xf>
    <xf numFmtId="2" fontId="51" fillId="29" borderId="1" xfId="0" applyNumberFormat="1" applyFont="1" applyFill="1" applyBorder="1" applyAlignment="1">
      <alignment horizontal="right" wrapText="1"/>
    </xf>
    <xf numFmtId="0" fontId="37" fillId="24" borderId="11" xfId="0" applyFont="1" applyFill="1" applyBorder="1" applyAlignment="1">
      <alignment wrapText="1"/>
    </xf>
    <xf numFmtId="0" fontId="37" fillId="24" borderId="5" xfId="0" applyFont="1" applyFill="1" applyBorder="1" applyAlignment="1">
      <alignment wrapText="1"/>
    </xf>
    <xf numFmtId="0" fontId="45" fillId="0" borderId="10" xfId="0" applyFont="1" applyBorder="1" applyAlignment="1">
      <alignment wrapText="1"/>
    </xf>
    <xf numFmtId="0" fontId="51" fillId="0" borderId="10" xfId="0" applyFont="1" applyBorder="1" applyAlignment="1">
      <alignment wrapText="1"/>
    </xf>
    <xf numFmtId="0" fontId="123" fillId="0" borderId="10" xfId="0" applyFont="1" applyBorder="1" applyAlignment="1">
      <alignment wrapText="1"/>
    </xf>
    <xf numFmtId="0" fontId="58" fillId="0" borderId="1" xfId="0" applyFont="1" applyBorder="1" applyAlignment="1">
      <alignment horizontal="left" wrapText="1"/>
    </xf>
    <xf numFmtId="0" fontId="49" fillId="32" borderId="3" xfId="0" applyFont="1" applyFill="1" applyBorder="1" applyAlignment="1">
      <alignment wrapText="1"/>
    </xf>
    <xf numFmtId="49" fontId="62" fillId="0" borderId="5" xfId="0" applyNumberFormat="1" applyFont="1" applyBorder="1"/>
    <xf numFmtId="0" fontId="90" fillId="29" borderId="1" xfId="0" applyFont="1" applyFill="1" applyBorder="1" applyAlignment="1">
      <alignment wrapText="1"/>
    </xf>
    <xf numFmtId="0" fontId="87" fillId="0" borderId="1" xfId="0" applyFont="1" applyBorder="1"/>
    <xf numFmtId="0" fontId="45" fillId="29" borderId="4" xfId="0" applyFont="1" applyFill="1" applyBorder="1" applyAlignment="1">
      <alignment wrapText="1"/>
    </xf>
    <xf numFmtId="0" fontId="45" fillId="29" borderId="1" xfId="0" applyFont="1" applyFill="1" applyBorder="1" applyAlignment="1">
      <alignment wrapText="1"/>
    </xf>
    <xf numFmtId="0" fontId="49" fillId="35" borderId="1" xfId="0" applyFont="1" applyFill="1" applyBorder="1" applyAlignment="1">
      <alignment wrapText="1"/>
    </xf>
    <xf numFmtId="0" fontId="51" fillId="29" borderId="1" xfId="0" applyFont="1" applyFill="1" applyBorder="1"/>
    <xf numFmtId="0" fontId="52" fillId="29" borderId="5" xfId="0" applyFont="1" applyFill="1" applyBorder="1" applyAlignment="1">
      <alignment wrapText="1"/>
    </xf>
    <xf numFmtId="0" fontId="51" fillId="29" borderId="1" xfId="0" applyFont="1" applyFill="1" applyBorder="1" applyAlignment="1">
      <alignment wrapText="1"/>
    </xf>
    <xf numFmtId="49" fontId="51" fillId="29" borderId="1" xfId="0" applyNumberFormat="1" applyFont="1" applyFill="1" applyBorder="1"/>
    <xf numFmtId="0" fontId="51" fillId="29" borderId="0" xfId="0" applyFont="1" applyFill="1"/>
    <xf numFmtId="16" fontId="51" fillId="0" borderId="2" xfId="0" applyNumberFormat="1" applyFont="1" applyBorder="1" applyAlignment="1">
      <alignment wrapText="1"/>
    </xf>
    <xf numFmtId="2" fontId="90" fillId="0" borderId="1" xfId="0" applyNumberFormat="1" applyFont="1" applyBorder="1" applyAlignment="1">
      <alignment wrapText="1"/>
    </xf>
    <xf numFmtId="2" fontId="90" fillId="0" borderId="1" xfId="0" applyNumberFormat="1" applyFont="1" applyBorder="1" applyAlignment="1">
      <alignment horizontal="center" wrapText="1"/>
    </xf>
    <xf numFmtId="0" fontId="49" fillId="29" borderId="1" xfId="0" applyFont="1" applyFill="1" applyBorder="1" applyAlignment="1">
      <alignment wrapText="1"/>
    </xf>
    <xf numFmtId="14" fontId="126" fillId="0" borderId="2" xfId="0" applyNumberFormat="1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4" fontId="37" fillId="29" borderId="5" xfId="0" applyNumberFormat="1" applyFont="1" applyFill="1" applyBorder="1" applyAlignment="1">
      <alignment horizontal="center" wrapText="1"/>
    </xf>
    <xf numFmtId="49" fontId="51" fillId="0" borderId="1" xfId="0" applyNumberFormat="1" applyFont="1" applyBorder="1" applyAlignment="1">
      <alignment horizontal="center" wrapText="1"/>
    </xf>
    <xf numFmtId="0" fontId="49" fillId="32" borderId="1" xfId="0" applyFont="1" applyFill="1" applyBorder="1" applyAlignment="1">
      <alignment wrapText="1"/>
    </xf>
    <xf numFmtId="0" fontId="37" fillId="32" borderId="1" xfId="0" applyFont="1" applyFill="1" applyBorder="1" applyAlignment="1">
      <alignment wrapText="1"/>
    </xf>
    <xf numFmtId="0" fontId="40" fillId="32" borderId="1" xfId="0" applyFont="1" applyFill="1" applyBorder="1" applyAlignment="1">
      <alignment wrapText="1"/>
    </xf>
    <xf numFmtId="0" fontId="22" fillId="29" borderId="1" xfId="0" applyFont="1" applyFill="1" applyBorder="1" applyAlignment="1">
      <alignment wrapText="1"/>
    </xf>
    <xf numFmtId="0" fontId="51" fillId="30" borderId="0" xfId="0" applyFont="1" applyFill="1"/>
    <xf numFmtId="0" fontId="51" fillId="30" borderId="4" xfId="0" applyFont="1" applyFill="1" applyBorder="1"/>
    <xf numFmtId="0" fontId="51" fillId="30" borderId="4" xfId="0" applyFont="1" applyFill="1" applyBorder="1" applyAlignment="1">
      <alignment horizontal="center" wrapText="1"/>
    </xf>
    <xf numFmtId="0" fontId="51" fillId="30" borderId="4" xfId="0" applyFont="1" applyFill="1" applyBorder="1" applyAlignment="1">
      <alignment wrapText="1"/>
    </xf>
    <xf numFmtId="0" fontId="72" fillId="30" borderId="4" xfId="0" applyFont="1" applyFill="1" applyBorder="1" applyAlignment="1">
      <alignment wrapText="1"/>
    </xf>
    <xf numFmtId="0" fontId="84" fillId="30" borderId="4" xfId="0" applyFont="1" applyFill="1" applyBorder="1"/>
    <xf numFmtId="0" fontId="72" fillId="30" borderId="4" xfId="0" applyFont="1" applyFill="1" applyBorder="1"/>
    <xf numFmtId="14" fontId="187" fillId="0" borderId="1" xfId="0" applyNumberFormat="1" applyFont="1" applyBorder="1" applyAlignment="1">
      <alignment wrapText="1"/>
    </xf>
    <xf numFmtId="0" fontId="173" fillId="0" borderId="1" xfId="0" applyFont="1" applyBorder="1" applyAlignment="1">
      <alignment horizontal="center" wrapText="1"/>
    </xf>
    <xf numFmtId="0" fontId="10" fillId="29" borderId="2" xfId="0" applyFont="1" applyFill="1" applyBorder="1" applyAlignment="1">
      <alignment wrapText="1"/>
    </xf>
    <xf numFmtId="2" fontId="72" fillId="29" borderId="1" xfId="0" applyNumberFormat="1" applyFont="1" applyFill="1" applyBorder="1" applyAlignment="1">
      <alignment wrapText="1"/>
    </xf>
    <xf numFmtId="2" fontId="72" fillId="29" borderId="1" xfId="0" applyNumberFormat="1" applyFont="1" applyFill="1" applyBorder="1" applyAlignment="1">
      <alignment horizontal="right" wrapText="1"/>
    </xf>
    <xf numFmtId="14" fontId="33" fillId="29" borderId="2" xfId="0" applyNumberFormat="1" applyFont="1" applyFill="1" applyBorder="1" applyAlignment="1">
      <alignment wrapText="1"/>
    </xf>
    <xf numFmtId="0" fontId="16" fillId="29" borderId="2" xfId="0" applyFont="1" applyFill="1" applyBorder="1" applyAlignment="1">
      <alignment wrapText="1"/>
    </xf>
    <xf numFmtId="14" fontId="37" fillId="0" borderId="4" xfId="0" applyNumberFormat="1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49" fillId="0" borderId="4" xfId="0" applyFont="1" applyBorder="1" applyAlignment="1">
      <alignment horizontal="left" wrapText="1"/>
    </xf>
    <xf numFmtId="0" fontId="37" fillId="30" borderId="0" xfId="0" applyFont="1" applyFill="1" applyAlignment="1">
      <alignment horizontal="center" wrapText="1"/>
    </xf>
    <xf numFmtId="14" fontId="40" fillId="0" borderId="5" xfId="0" applyNumberFormat="1" applyFont="1" applyBorder="1" applyAlignment="1">
      <alignment horizontal="left" wrapText="1"/>
    </xf>
    <xf numFmtId="0" fontId="40" fillId="0" borderId="5" xfId="0" applyFont="1" applyBorder="1" applyAlignment="1">
      <alignment horizontal="right" wrapText="1"/>
    </xf>
    <xf numFmtId="4" fontId="90" fillId="0" borderId="1" xfId="0" applyNumberFormat="1" applyFont="1" applyBorder="1" applyAlignment="1">
      <alignment horizontal="center" wrapText="1"/>
    </xf>
    <xf numFmtId="0" fontId="188" fillId="30" borderId="1" xfId="0" applyFont="1" applyFill="1" applyBorder="1" applyAlignment="1">
      <alignment wrapText="1"/>
    </xf>
    <xf numFmtId="0" fontId="173" fillId="0" borderId="1" xfId="0" applyFont="1" applyBorder="1" applyAlignment="1">
      <alignment wrapText="1"/>
    </xf>
    <xf numFmtId="49" fontId="189" fillId="0" borderId="1" xfId="0" applyNumberFormat="1" applyFont="1" applyBorder="1" applyAlignment="1">
      <alignment horizontal="center" wrapText="1"/>
    </xf>
    <xf numFmtId="49" fontId="189" fillId="29" borderId="1" xfId="0" applyNumberFormat="1" applyFont="1" applyFill="1" applyBorder="1" applyAlignment="1">
      <alignment horizontal="center" wrapText="1"/>
    </xf>
    <xf numFmtId="49" fontId="62" fillId="29" borderId="1" xfId="0" applyNumberFormat="1" applyFont="1" applyFill="1" applyBorder="1" applyAlignment="1">
      <alignment horizontal="center" wrapText="1"/>
    </xf>
    <xf numFmtId="0" fontId="37" fillId="0" borderId="5" xfId="0" applyFont="1" applyBorder="1" applyAlignment="1">
      <alignment horizontal="left" wrapText="1"/>
    </xf>
    <xf numFmtId="49" fontId="51" fillId="0" borderId="1" xfId="0" applyNumberFormat="1" applyFont="1" applyBorder="1"/>
    <xf numFmtId="49" fontId="33" fillId="0" borderId="5" xfId="0" applyNumberFormat="1" applyFont="1" applyBorder="1" applyAlignment="1">
      <alignment wrapText="1"/>
    </xf>
    <xf numFmtId="49" fontId="72" fillId="0" borderId="1" xfId="0" applyNumberFormat="1" applyFont="1" applyBorder="1"/>
    <xf numFmtId="0" fontId="45" fillId="29" borderId="1" xfId="0" applyFont="1" applyFill="1" applyBorder="1" applyAlignment="1">
      <alignment horizontal="center" wrapText="1"/>
    </xf>
    <xf numFmtId="3" fontId="45" fillId="0" borderId="1" xfId="0" applyNumberFormat="1" applyFont="1" applyBorder="1" applyAlignment="1">
      <alignment wrapText="1"/>
    </xf>
    <xf numFmtId="4" fontId="107" fillId="0" borderId="4" xfId="0" applyNumberFormat="1" applyFont="1" applyBorder="1" applyAlignment="1">
      <alignment horizontal="center" wrapText="1"/>
    </xf>
    <xf numFmtId="0" fontId="38" fillId="0" borderId="8" xfId="0" applyFont="1" applyBorder="1" applyAlignment="1">
      <alignment horizontal="center" wrapText="1"/>
    </xf>
    <xf numFmtId="2" fontId="5" fillId="0" borderId="3" xfId="0" applyNumberFormat="1" applyFont="1" applyBorder="1" applyAlignment="1">
      <alignment horizontal="center" wrapText="1"/>
    </xf>
    <xf numFmtId="14" fontId="90" fillId="0" borderId="1" xfId="0" applyNumberFormat="1" applyFont="1" applyBorder="1" applyAlignment="1">
      <alignment wrapText="1"/>
    </xf>
    <xf numFmtId="0" fontId="173" fillId="32" borderId="1" xfId="0" applyFont="1" applyFill="1" applyBorder="1" applyAlignment="1">
      <alignment wrapText="1"/>
    </xf>
    <xf numFmtId="0" fontId="190" fillId="0" borderId="1" xfId="0" applyFont="1" applyBorder="1" applyAlignment="1">
      <alignment wrapText="1"/>
    </xf>
    <xf numFmtId="0" fontId="45" fillId="0" borderId="4" xfId="0" applyFont="1" applyBorder="1" applyAlignment="1">
      <alignment wrapText="1"/>
    </xf>
    <xf numFmtId="0" fontId="37" fillId="0" borderId="4" xfId="0" applyFont="1" applyBorder="1" applyAlignment="1">
      <alignment horizontal="left" wrapText="1"/>
    </xf>
    <xf numFmtId="0" fontId="51" fillId="0" borderId="4" xfId="0" applyFont="1" applyBorder="1" applyAlignment="1">
      <alignment horizontal="right" wrapText="1"/>
    </xf>
    <xf numFmtId="4" fontId="51" fillId="0" borderId="1" xfId="0" applyNumberFormat="1" applyFont="1" applyBorder="1"/>
    <xf numFmtId="0" fontId="41" fillId="0" borderId="1" xfId="0" applyFont="1" applyBorder="1"/>
    <xf numFmtId="0" fontId="49" fillId="0" borderId="4" xfId="0" applyFont="1" applyBorder="1" applyAlignment="1">
      <alignment vertical="center"/>
    </xf>
    <xf numFmtId="0" fontId="49" fillId="0" borderId="5" xfId="0" applyFont="1" applyBorder="1" applyAlignment="1">
      <alignment vertical="center"/>
    </xf>
    <xf numFmtId="0" fontId="51" fillId="0" borderId="4" xfId="0" applyFont="1" applyBorder="1" applyAlignment="1">
      <alignment wrapText="1"/>
    </xf>
    <xf numFmtId="3" fontId="90" fillId="0" borderId="4" xfId="0" applyNumberFormat="1" applyFont="1" applyBorder="1" applyAlignment="1">
      <alignment wrapText="1"/>
    </xf>
    <xf numFmtId="3" fontId="90" fillId="0" borderId="5" xfId="0" applyNumberFormat="1" applyFont="1" applyBorder="1" applyAlignment="1">
      <alignment wrapText="1"/>
    </xf>
    <xf numFmtId="16" fontId="51" fillId="0" borderId="4" xfId="0" applyNumberFormat="1" applyFont="1" applyBorder="1" applyAlignment="1">
      <alignment wrapText="1"/>
    </xf>
    <xf numFmtId="16" fontId="51" fillId="0" borderId="5" xfId="0" applyNumberFormat="1" applyFont="1" applyBorder="1" applyAlignment="1">
      <alignment wrapText="1"/>
    </xf>
    <xf numFmtId="49" fontId="37" fillId="0" borderId="5" xfId="0" applyNumberFormat="1" applyFont="1" applyBorder="1"/>
    <xf numFmtId="0" fontId="49" fillId="0" borderId="1" xfId="0" applyFont="1" applyBorder="1" applyAlignment="1">
      <alignment vertical="center"/>
    </xf>
    <xf numFmtId="0" fontId="52" fillId="0" borderId="4" xfId="0" applyFont="1" applyBorder="1"/>
    <xf numFmtId="0" fontId="52" fillId="0" borderId="5" xfId="0" applyFont="1" applyBorder="1"/>
    <xf numFmtId="49" fontId="87" fillId="0" borderId="3" xfId="0" applyNumberFormat="1" applyFont="1" applyBorder="1"/>
    <xf numFmtId="0" fontId="51" fillId="0" borderId="2" xfId="0" applyFont="1" applyBorder="1"/>
    <xf numFmtId="49" fontId="62" fillId="0" borderId="1" xfId="0" applyNumberFormat="1" applyFont="1" applyBorder="1"/>
    <xf numFmtId="0" fontId="37" fillId="0" borderId="5" xfId="0" applyFont="1" applyBorder="1"/>
    <xf numFmtId="0" fontId="82" fillId="8" borderId="1" xfId="0" applyFont="1" applyFill="1" applyBorder="1" applyAlignment="1">
      <alignment wrapText="1"/>
    </xf>
    <xf numFmtId="0" fontId="52" fillId="0" borderId="4" xfId="0" applyFont="1" applyBorder="1" applyAlignment="1">
      <alignment horizontal="center"/>
    </xf>
    <xf numFmtId="0" fontId="52" fillId="0" borderId="5" xfId="0" applyFont="1" applyBorder="1" applyAlignment="1">
      <alignment horizontal="center" wrapText="1"/>
    </xf>
    <xf numFmtId="0" fontId="43" fillId="0" borderId="1" xfId="0" applyFont="1" applyBorder="1" applyAlignment="1">
      <alignment horizontal="center" wrapText="1"/>
    </xf>
    <xf numFmtId="4" fontId="90" fillId="0" borderId="1" xfId="0" applyNumberFormat="1" applyFont="1" applyBorder="1" applyAlignment="1">
      <alignment wrapText="1"/>
    </xf>
    <xf numFmtId="4" fontId="51" fillId="0" borderId="1" xfId="0" applyNumberFormat="1" applyFont="1" applyBorder="1" applyAlignment="1">
      <alignment wrapText="1"/>
    </xf>
    <xf numFmtId="0" fontId="85" fillId="29" borderId="1" xfId="0" applyFont="1" applyFill="1" applyBorder="1"/>
    <xf numFmtId="14" fontId="51" fillId="0" borderId="3" xfId="0" applyNumberFormat="1" applyFont="1" applyBorder="1"/>
    <xf numFmtId="0" fontId="10" fillId="0" borderId="5" xfId="0" applyFont="1" applyBorder="1" applyAlignment="1">
      <alignment horizontal="center" wrapText="1"/>
    </xf>
    <xf numFmtId="0" fontId="51" fillId="0" borderId="5" xfId="0" applyFont="1" applyBorder="1"/>
    <xf numFmtId="14" fontId="72" fillId="0" borderId="2" xfId="0" applyNumberFormat="1" applyFont="1" applyBorder="1" applyAlignment="1">
      <alignment wrapText="1"/>
    </xf>
    <xf numFmtId="0" fontId="90" fillId="0" borderId="1" xfId="0" applyFont="1" applyBorder="1" applyAlignment="1">
      <alignment horizontal="right" wrapText="1"/>
    </xf>
    <xf numFmtId="14" fontId="45" fillId="0" borderId="1" xfId="0" applyNumberFormat="1" applyFont="1" applyBorder="1" applyAlignment="1">
      <alignment wrapText="1"/>
    </xf>
    <xf numFmtId="0" fontId="173" fillId="29" borderId="1" xfId="0" applyFont="1" applyFill="1" applyBorder="1" applyAlignment="1">
      <alignment wrapText="1"/>
    </xf>
    <xf numFmtId="3" fontId="45" fillId="0" borderId="4" xfId="0" applyNumberFormat="1" applyFont="1" applyBorder="1" applyAlignment="1">
      <alignment wrapText="1"/>
    </xf>
    <xf numFmtId="0" fontId="37" fillId="44" borderId="1" xfId="0" applyFont="1" applyFill="1" applyBorder="1" applyAlignment="1">
      <alignment horizontal="center" wrapText="1"/>
    </xf>
    <xf numFmtId="0" fontId="37" fillId="43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32" fillId="0" borderId="1" xfId="0" applyFont="1" applyBorder="1" applyAlignment="1">
      <alignment horizontal="center" wrapText="1"/>
    </xf>
    <xf numFmtId="0" fontId="5" fillId="0" borderId="0" xfId="0" applyFont="1" applyBorder="1"/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wrapText="1"/>
    </xf>
    <xf numFmtId="4" fontId="37" fillId="0" borderId="5" xfId="0" applyNumberFormat="1" applyFont="1" applyBorder="1" applyAlignment="1">
      <alignment horizontal="center" wrapText="1"/>
    </xf>
    <xf numFmtId="0" fontId="37" fillId="0" borderId="1" xfId="0" applyFont="1" applyFill="1" applyBorder="1" applyAlignment="1">
      <alignment wrapText="1"/>
    </xf>
    <xf numFmtId="49" fontId="8" fillId="29" borderId="1" xfId="0" applyNumberFormat="1" applyFont="1" applyFill="1" applyBorder="1" applyAlignment="1">
      <alignment horizontal="center" wrapText="1"/>
    </xf>
    <xf numFmtId="4" fontId="37" fillId="0" borderId="5" xfId="0" applyNumberFormat="1" applyFont="1" applyBorder="1" applyAlignment="1">
      <alignment horizontal="center" wrapText="1"/>
    </xf>
    <xf numFmtId="0" fontId="37" fillId="0" borderId="1" xfId="0" applyFont="1" applyBorder="1"/>
    <xf numFmtId="0" fontId="49" fillId="0" borderId="1" xfId="0" applyFont="1" applyBorder="1" applyAlignment="1">
      <alignment horizontal="center" wrapText="1"/>
    </xf>
    <xf numFmtId="0" fontId="37" fillId="0" borderId="6" xfId="0" applyFont="1" applyBorder="1" applyAlignment="1">
      <alignment horizontal="center" wrapText="1"/>
    </xf>
    <xf numFmtId="4" fontId="37" fillId="0" borderId="5" xfId="0" applyNumberFormat="1" applyFont="1" applyBorder="1" applyAlignment="1">
      <alignment horizontal="center" wrapText="1"/>
    </xf>
    <xf numFmtId="4" fontId="37" fillId="0" borderId="6" xfId="0" applyNumberFormat="1" applyFont="1" applyBorder="1" applyAlignment="1">
      <alignment horizontal="center" wrapText="1"/>
    </xf>
    <xf numFmtId="0" fontId="37" fillId="0" borderId="1" xfId="0" applyFont="1" applyBorder="1" applyAlignment="1">
      <alignment horizontal="center" wrapText="1"/>
    </xf>
    <xf numFmtId="3" fontId="37" fillId="0" borderId="1" xfId="0" applyNumberFormat="1" applyFont="1" applyBorder="1" applyAlignment="1">
      <alignment horizontal="center" wrapText="1"/>
    </xf>
    <xf numFmtId="0" fontId="5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7" fillId="0" borderId="4" xfId="0" applyFont="1" applyBorder="1" applyAlignment="1">
      <alignment horizontal="center" wrapText="1"/>
    </xf>
    <xf numFmtId="0" fontId="51" fillId="0" borderId="0" xfId="0" applyFont="1" applyBorder="1"/>
    <xf numFmtId="3" fontId="90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40" fillId="0" borderId="1" xfId="0" applyFont="1" applyFill="1" applyBorder="1" applyAlignment="1">
      <alignment wrapText="1"/>
    </xf>
    <xf numFmtId="0" fontId="5" fillId="0" borderId="0" xfId="0" applyFont="1" applyFill="1"/>
    <xf numFmtId="0" fontId="11" fillId="0" borderId="4" xfId="0" applyFont="1" applyFill="1" applyBorder="1" applyAlignment="1">
      <alignment horizontal="center" wrapText="1"/>
    </xf>
    <xf numFmtId="3" fontId="5" fillId="0" borderId="4" xfId="0" applyNumberFormat="1" applyFont="1" applyFill="1" applyBorder="1" applyAlignment="1">
      <alignment horizontal="center"/>
    </xf>
    <xf numFmtId="0" fontId="32" fillId="0" borderId="4" xfId="0" applyFont="1" applyFill="1" applyBorder="1"/>
    <xf numFmtId="0" fontId="5" fillId="0" borderId="4" xfId="0" applyFont="1" applyFill="1" applyBorder="1"/>
    <xf numFmtId="0" fontId="5" fillId="0" borderId="8" xfId="0" applyFont="1" applyFill="1" applyBorder="1"/>
    <xf numFmtId="0" fontId="5" fillId="0" borderId="0" xfId="0" applyFont="1" applyFill="1" applyBorder="1"/>
    <xf numFmtId="3" fontId="5" fillId="0" borderId="4" xfId="0" applyNumberFormat="1" applyFont="1" applyFill="1" applyBorder="1" applyAlignment="1">
      <alignment horizontal="center" wrapText="1"/>
    </xf>
    <xf numFmtId="4" fontId="5" fillId="0" borderId="1" xfId="0" applyNumberFormat="1" applyFont="1" applyBorder="1" applyAlignment="1">
      <alignment wrapText="1"/>
    </xf>
    <xf numFmtId="3" fontId="16" fillId="0" borderId="4" xfId="0" applyNumberFormat="1" applyFont="1" applyFill="1" applyBorder="1" applyAlignment="1">
      <alignment horizontal="center" wrapText="1"/>
    </xf>
    <xf numFmtId="0" fontId="49" fillId="0" borderId="1" xfId="0" applyFont="1" applyFill="1" applyBorder="1" applyAlignment="1">
      <alignment wrapText="1"/>
    </xf>
    <xf numFmtId="0" fontId="37" fillId="0" borderId="0" xfId="0" applyFont="1" applyFill="1" applyAlignment="1">
      <alignment wrapText="1"/>
    </xf>
    <xf numFmtId="0" fontId="38" fillId="0" borderId="0" xfId="0" applyFont="1" applyFill="1"/>
    <xf numFmtId="0" fontId="37" fillId="30" borderId="0" xfId="0" applyFont="1" applyFill="1" applyAlignment="1">
      <alignment wrapText="1"/>
    </xf>
    <xf numFmtId="0" fontId="38" fillId="30" borderId="0" xfId="0" applyFont="1" applyFill="1"/>
    <xf numFmtId="0" fontId="10" fillId="0" borderId="0" xfId="0" applyFont="1" applyFill="1"/>
    <xf numFmtId="3" fontId="10" fillId="0" borderId="4" xfId="0" applyNumberFormat="1" applyFont="1" applyFill="1" applyBorder="1" applyAlignment="1">
      <alignment horizontal="center"/>
    </xf>
    <xf numFmtId="0" fontId="52" fillId="0" borderId="4" xfId="0" applyFont="1" applyFill="1" applyBorder="1"/>
    <xf numFmtId="0" fontId="10" fillId="0" borderId="4" xfId="0" applyFont="1" applyFill="1" applyBorder="1"/>
    <xf numFmtId="0" fontId="10" fillId="0" borderId="8" xfId="0" applyFont="1" applyFill="1" applyBorder="1"/>
    <xf numFmtId="0" fontId="10" fillId="0" borderId="0" xfId="0" applyFont="1" applyFill="1" applyBorder="1"/>
    <xf numFmtId="0" fontId="45" fillId="0" borderId="4" xfId="0" applyFont="1" applyFill="1" applyBorder="1" applyAlignment="1">
      <alignment horizontal="center" wrapText="1"/>
    </xf>
    <xf numFmtId="3" fontId="15" fillId="0" borderId="4" xfId="0" applyNumberFormat="1" applyFont="1" applyFill="1" applyBorder="1" applyAlignment="1">
      <alignment horizontal="center"/>
    </xf>
    <xf numFmtId="3" fontId="12" fillId="0" borderId="4" xfId="0" applyNumberFormat="1" applyFont="1" applyFill="1" applyBorder="1" applyAlignment="1">
      <alignment horizontal="center"/>
    </xf>
    <xf numFmtId="3" fontId="195" fillId="0" borderId="1" xfId="0" applyNumberFormat="1" applyFont="1" applyBorder="1" applyAlignment="1">
      <alignment horizontal="center" wrapText="1"/>
    </xf>
    <xf numFmtId="0" fontId="37" fillId="0" borderId="4" xfId="0" applyFont="1" applyBorder="1" applyAlignment="1">
      <alignment horizontal="center" wrapText="1"/>
    </xf>
    <xf numFmtId="0" fontId="90" fillId="0" borderId="4" xfId="0" applyFont="1" applyBorder="1" applyAlignment="1">
      <alignment wrapText="1"/>
    </xf>
    <xf numFmtId="4" fontId="51" fillId="0" borderId="4" xfId="0" applyNumberFormat="1" applyFont="1" applyBorder="1" applyAlignment="1">
      <alignment wrapText="1"/>
    </xf>
    <xf numFmtId="4" fontId="52" fillId="0" borderId="4" xfId="0" applyNumberFormat="1" applyFont="1" applyBorder="1" applyAlignment="1">
      <alignment wrapText="1"/>
    </xf>
    <xf numFmtId="0" fontId="51" fillId="29" borderId="1" xfId="0" applyFont="1" applyFill="1" applyBorder="1" applyAlignment="1">
      <alignment horizontal="center" wrapText="1"/>
    </xf>
    <xf numFmtId="14" fontId="37" fillId="0" borderId="1" xfId="0" applyNumberFormat="1" applyFont="1" applyFill="1" applyBorder="1" applyAlignment="1">
      <alignment wrapText="1"/>
    </xf>
    <xf numFmtId="0" fontId="163" fillId="0" borderId="1" xfId="0" applyFont="1" applyFill="1" applyBorder="1" applyAlignment="1">
      <alignment wrapText="1"/>
    </xf>
    <xf numFmtId="14" fontId="163" fillId="0" borderId="1" xfId="0" applyNumberFormat="1" applyFont="1" applyFill="1" applyBorder="1" applyAlignment="1">
      <alignment wrapText="1"/>
    </xf>
    <xf numFmtId="0" fontId="173" fillId="0" borderId="1" xfId="0" applyFont="1" applyFill="1" applyBorder="1" applyAlignment="1">
      <alignment wrapText="1"/>
    </xf>
    <xf numFmtId="2" fontId="43" fillId="0" borderId="1" xfId="0" applyNumberFormat="1" applyFont="1" applyBorder="1" applyAlignment="1">
      <alignment horizontal="center" wrapText="1"/>
    </xf>
    <xf numFmtId="49" fontId="72" fillId="0" borderId="1" xfId="0" applyNumberFormat="1" applyFont="1" applyBorder="1" applyAlignment="1">
      <alignment wrapText="1"/>
    </xf>
    <xf numFmtId="0" fontId="49" fillId="0" borderId="1" xfId="0" applyFont="1" applyBorder="1" applyAlignment="1">
      <alignment horizontal="center" wrapText="1"/>
    </xf>
    <xf numFmtId="0" fontId="51" fillId="0" borderId="1" xfId="0" applyFont="1" applyFill="1" applyBorder="1" applyAlignment="1">
      <alignment wrapText="1"/>
    </xf>
    <xf numFmtId="14" fontId="40" fillId="29" borderId="1" xfId="0" applyNumberFormat="1" applyFont="1" applyFill="1" applyBorder="1" applyAlignment="1">
      <alignment wrapText="1"/>
    </xf>
    <xf numFmtId="0" fontId="37" fillId="29" borderId="0" xfId="0" applyFont="1" applyFill="1" applyAlignment="1">
      <alignment wrapText="1"/>
    </xf>
    <xf numFmtId="0" fontId="38" fillId="29" borderId="0" xfId="0" applyFont="1" applyFill="1"/>
    <xf numFmtId="0" fontId="45" fillId="0" borderId="1" xfId="0" applyFont="1" applyFill="1" applyBorder="1" applyAlignment="1">
      <alignment wrapText="1"/>
    </xf>
    <xf numFmtId="0" fontId="37" fillId="0" borderId="0" xfId="0" applyFont="1" applyBorder="1" applyAlignment="1">
      <alignment wrapText="1"/>
    </xf>
    <xf numFmtId="0" fontId="33" fillId="0" borderId="0" xfId="0" applyFont="1"/>
    <xf numFmtId="0" fontId="198" fillId="0" borderId="1" xfId="0" applyFont="1" applyBorder="1" applyAlignment="1">
      <alignment horizontal="center" wrapText="1"/>
    </xf>
    <xf numFmtId="0" fontId="12" fillId="0" borderId="0" xfId="0" applyFont="1" applyBorder="1"/>
    <xf numFmtId="0" fontId="12" fillId="0" borderId="0" xfId="0" applyFont="1"/>
    <xf numFmtId="0" fontId="12" fillId="30" borderId="0" xfId="0" applyFont="1" applyFill="1"/>
    <xf numFmtId="0" fontId="72" fillId="0" borderId="0" xfId="0" applyFont="1"/>
    <xf numFmtId="0" fontId="199" fillId="0" borderId="1" xfId="0" applyFont="1" applyBorder="1" applyAlignment="1">
      <alignment wrapText="1"/>
    </xf>
    <xf numFmtId="0" fontId="199" fillId="0" borderId="1" xfId="0" applyFont="1" applyFill="1" applyBorder="1" applyAlignment="1">
      <alignment wrapText="1"/>
    </xf>
    <xf numFmtId="0" fontId="45" fillId="0" borderId="1" xfId="0" applyFont="1" applyBorder="1" applyAlignment="1">
      <alignment horizontal="center"/>
    </xf>
    <xf numFmtId="0" fontId="62" fillId="0" borderId="0" xfId="0" applyFont="1"/>
    <xf numFmtId="2" fontId="200" fillId="0" borderId="1" xfId="0" applyNumberFormat="1" applyFont="1" applyBorder="1" applyAlignment="1">
      <alignment wrapText="1"/>
    </xf>
    <xf numFmtId="14" fontId="200" fillId="0" borderId="1" xfId="0" applyNumberFormat="1" applyFont="1" applyBorder="1" applyAlignment="1">
      <alignment wrapText="1"/>
    </xf>
    <xf numFmtId="0" fontId="82" fillId="0" borderId="0" xfId="0" applyFont="1" applyAlignment="1">
      <alignment wrapText="1"/>
    </xf>
    <xf numFmtId="0" fontId="34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14" fontId="38" fillId="0" borderId="1" xfId="0" applyNumberFormat="1" applyFont="1" applyBorder="1" applyAlignment="1">
      <alignment horizontal="left"/>
    </xf>
    <xf numFmtId="2" fontId="52" fillId="0" borderId="1" xfId="0" applyNumberFormat="1" applyFont="1" applyBorder="1" applyAlignment="1">
      <alignment horizontal="center" wrapText="1"/>
    </xf>
    <xf numFmtId="0" fontId="199" fillId="0" borderId="1" xfId="0" applyFont="1" applyBorder="1"/>
    <xf numFmtId="14" fontId="72" fillId="0" borderId="1" xfId="0" applyNumberFormat="1" applyFont="1" applyFill="1" applyBorder="1" applyAlignment="1">
      <alignment horizontal="left" wrapText="1"/>
    </xf>
    <xf numFmtId="14" fontId="72" fillId="0" borderId="1" xfId="0" applyNumberFormat="1" applyFont="1" applyBorder="1" applyAlignment="1">
      <alignment horizontal="left" wrapText="1"/>
    </xf>
    <xf numFmtId="0" fontId="199" fillId="29" borderId="1" xfId="0" applyFont="1" applyFill="1" applyBorder="1"/>
    <xf numFmtId="0" fontId="199" fillId="0" borderId="0" xfId="0" applyFont="1"/>
    <xf numFmtId="0" fontId="72" fillId="0" borderId="1" xfId="0" applyFont="1" applyFill="1" applyBorder="1" applyAlignment="1">
      <alignment horizontal="right" wrapText="1"/>
    </xf>
    <xf numFmtId="49" fontId="9" fillId="0" borderId="1" xfId="0" applyNumberFormat="1" applyFont="1" applyBorder="1" applyAlignment="1">
      <alignment horizontal="center" wrapText="1"/>
    </xf>
    <xf numFmtId="0" fontId="49" fillId="0" borderId="1" xfId="0" applyFont="1" applyBorder="1" applyAlignment="1">
      <alignment horizontal="center" wrapText="1"/>
    </xf>
    <xf numFmtId="49" fontId="38" fillId="0" borderId="1" xfId="0" applyNumberFormat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wrapText="1"/>
    </xf>
    <xf numFmtId="49" fontId="62" fillId="0" borderId="5" xfId="0" applyNumberFormat="1" applyFont="1" applyBorder="1" applyAlignment="1">
      <alignment wrapText="1"/>
    </xf>
    <xf numFmtId="0" fontId="10" fillId="0" borderId="2" xfId="0" applyFont="1" applyFill="1" applyBorder="1" applyAlignment="1">
      <alignment wrapText="1"/>
    </xf>
    <xf numFmtId="2" fontId="72" fillId="0" borderId="1" xfId="0" applyNumberFormat="1" applyFont="1" applyFill="1" applyBorder="1" applyAlignment="1">
      <alignment wrapText="1"/>
    </xf>
    <xf numFmtId="2" fontId="72" fillId="0" borderId="1" xfId="0" applyNumberFormat="1" applyFont="1" applyFill="1" applyBorder="1" applyAlignment="1">
      <alignment horizontal="right" wrapText="1"/>
    </xf>
    <xf numFmtId="14" fontId="33" fillId="0" borderId="2" xfId="0" applyNumberFormat="1" applyFont="1" applyFill="1" applyBorder="1" applyAlignment="1">
      <alignment wrapText="1"/>
    </xf>
    <xf numFmtId="0" fontId="16" fillId="0" borderId="2" xfId="0" applyFont="1" applyFill="1" applyBorder="1" applyAlignment="1">
      <alignment wrapText="1"/>
    </xf>
    <xf numFmtId="0" fontId="37" fillId="29" borderId="4" xfId="0" applyFont="1" applyFill="1" applyBorder="1" applyAlignment="1">
      <alignment horizontal="center" wrapText="1"/>
    </xf>
    <xf numFmtId="0" fontId="49" fillId="0" borderId="4" xfId="0" applyFont="1" applyFill="1" applyBorder="1" applyAlignment="1">
      <alignment wrapText="1"/>
    </xf>
    <xf numFmtId="0" fontId="37" fillId="0" borderId="4" xfId="0" applyFont="1" applyFill="1" applyBorder="1" applyAlignment="1">
      <alignment wrapText="1"/>
    </xf>
    <xf numFmtId="4" fontId="37" fillId="0" borderId="4" xfId="0" applyNumberFormat="1" applyFont="1" applyFill="1" applyBorder="1" applyAlignment="1">
      <alignment wrapText="1"/>
    </xf>
    <xf numFmtId="4" fontId="40" fillId="0" borderId="4" xfId="0" applyNumberFormat="1" applyFont="1" applyFill="1" applyBorder="1" applyAlignment="1">
      <alignment wrapText="1"/>
    </xf>
    <xf numFmtId="0" fontId="37" fillId="0" borderId="10" xfId="0" applyFont="1" applyFill="1" applyBorder="1" applyAlignment="1">
      <alignment wrapText="1"/>
    </xf>
    <xf numFmtId="0" fontId="37" fillId="0" borderId="8" xfId="0" applyFont="1" applyFill="1" applyBorder="1" applyAlignment="1">
      <alignment wrapText="1"/>
    </xf>
    <xf numFmtId="0" fontId="58" fillId="0" borderId="1" xfId="0" applyFont="1" applyFill="1" applyBorder="1" applyAlignment="1">
      <alignment wrapText="1"/>
    </xf>
    <xf numFmtId="3" fontId="58" fillId="0" borderId="1" xfId="0" applyNumberFormat="1" applyFont="1" applyFill="1" applyBorder="1" applyAlignment="1">
      <alignment wrapText="1"/>
    </xf>
    <xf numFmtId="0" fontId="173" fillId="0" borderId="4" xfId="0" applyFont="1" applyFill="1" applyBorder="1" applyAlignment="1">
      <alignment wrapText="1"/>
    </xf>
    <xf numFmtId="0" fontId="49" fillId="0" borderId="4" xfId="0" applyFont="1" applyFill="1" applyBorder="1" applyAlignment="1">
      <alignment horizontal="center" wrapText="1"/>
    </xf>
    <xf numFmtId="4" fontId="37" fillId="0" borderId="4" xfId="0" applyNumberFormat="1" applyFont="1" applyFill="1" applyBorder="1" applyAlignment="1">
      <alignment horizontal="center" wrapText="1"/>
    </xf>
    <xf numFmtId="14" fontId="40" fillId="32" borderId="1" xfId="0" applyNumberFormat="1" applyFont="1" applyFill="1" applyBorder="1" applyAlignment="1">
      <alignment wrapText="1"/>
    </xf>
    <xf numFmtId="0" fontId="37" fillId="32" borderId="0" xfId="0" applyFont="1" applyFill="1" applyAlignment="1">
      <alignment wrapText="1"/>
    </xf>
    <xf numFmtId="0" fontId="38" fillId="32" borderId="0" xfId="0" applyFont="1" applyFill="1"/>
    <xf numFmtId="0" fontId="196" fillId="29" borderId="0" xfId="0" applyFont="1" applyFill="1" applyAlignment="1">
      <alignment wrapText="1"/>
    </xf>
    <xf numFmtId="0" fontId="202" fillId="0" borderId="1" xfId="0" applyFont="1" applyBorder="1" applyAlignment="1">
      <alignment wrapText="1"/>
    </xf>
    <xf numFmtId="0" fontId="90" fillId="0" borderId="1" xfId="0" applyFont="1" applyFill="1" applyBorder="1" applyAlignment="1">
      <alignment wrapText="1"/>
    </xf>
    <xf numFmtId="0" fontId="179" fillId="0" borderId="1" xfId="0" applyFont="1" applyBorder="1"/>
    <xf numFmtId="49" fontId="179" fillId="0" borderId="1" xfId="0" applyNumberFormat="1" applyFont="1" applyBorder="1" applyAlignment="1">
      <alignment wrapText="1"/>
    </xf>
    <xf numFmtId="0" fontId="163" fillId="0" borderId="1" xfId="0" applyFont="1" applyBorder="1"/>
    <xf numFmtId="0" fontId="82" fillId="0" borderId="1" xfId="0" applyFont="1" applyFill="1" applyBorder="1" applyAlignment="1">
      <alignment wrapText="1"/>
    </xf>
    <xf numFmtId="0" fontId="37" fillId="0" borderId="1" xfId="0" applyFont="1" applyFill="1" applyBorder="1" applyAlignment="1">
      <alignment horizontal="center" wrapText="1"/>
    </xf>
    <xf numFmtId="4" fontId="37" fillId="0" borderId="1" xfId="0" applyNumberFormat="1" applyFont="1" applyFill="1" applyBorder="1" applyAlignment="1">
      <alignment wrapText="1"/>
    </xf>
    <xf numFmtId="49" fontId="163" fillId="0" borderId="1" xfId="0" applyNumberFormat="1" applyFont="1" applyBorder="1" applyAlignment="1">
      <alignment wrapText="1"/>
    </xf>
    <xf numFmtId="14" fontId="40" fillId="0" borderId="2" xfId="0" applyNumberFormat="1" applyFont="1" applyBorder="1" applyAlignment="1">
      <alignment wrapText="1"/>
    </xf>
    <xf numFmtId="4" fontId="40" fillId="29" borderId="4" xfId="0" applyNumberFormat="1" applyFont="1" applyFill="1" applyBorder="1" applyAlignment="1">
      <alignment wrapText="1"/>
    </xf>
    <xf numFmtId="0" fontId="199" fillId="0" borderId="0" xfId="0" applyFont="1" applyBorder="1"/>
    <xf numFmtId="0" fontId="40" fillId="0" borderId="0" xfId="0" applyFont="1" applyBorder="1" applyAlignment="1">
      <alignment wrapText="1"/>
    </xf>
    <xf numFmtId="0" fontId="166" fillId="0" borderId="0" xfId="0" applyFont="1"/>
    <xf numFmtId="3" fontId="37" fillId="0" borderId="4" xfId="0" applyNumberFormat="1" applyFont="1" applyFill="1" applyBorder="1" applyAlignment="1">
      <alignment horizontal="center"/>
    </xf>
    <xf numFmtId="14" fontId="37" fillId="0" borderId="4" xfId="0" applyNumberFormat="1" applyFont="1" applyFill="1" applyBorder="1" applyAlignment="1">
      <alignment wrapText="1"/>
    </xf>
    <xf numFmtId="0" fontId="37" fillId="0" borderId="1" xfId="0" applyFont="1" applyBorder="1" applyAlignment="1">
      <alignment horizontal="center" wrapText="1"/>
    </xf>
    <xf numFmtId="0" fontId="82" fillId="0" borderId="0" xfId="0" applyFont="1" applyBorder="1" applyAlignment="1">
      <alignment wrapText="1"/>
    </xf>
    <xf numFmtId="0" fontId="49" fillId="0" borderId="1" xfId="0" applyFont="1" applyBorder="1"/>
    <xf numFmtId="4" fontId="0" fillId="0" borderId="1" xfId="0" applyNumberFormat="1" applyFont="1" applyBorder="1"/>
    <xf numFmtId="0" fontId="99" fillId="0" borderId="1" xfId="0" applyFont="1" applyFill="1" applyBorder="1"/>
    <xf numFmtId="0" fontId="5" fillId="0" borderId="1" xfId="0" applyFont="1" applyFill="1" applyBorder="1"/>
    <xf numFmtId="0" fontId="34" fillId="29" borderId="1" xfId="0" applyFont="1" applyFill="1" applyBorder="1" applyAlignment="1">
      <alignment horizontal="center"/>
    </xf>
    <xf numFmtId="49" fontId="38" fillId="30" borderId="1" xfId="0" applyNumberFormat="1" applyFont="1" applyFill="1" applyBorder="1" applyAlignment="1">
      <alignment horizontal="center" wrapText="1"/>
    </xf>
    <xf numFmtId="49" fontId="55" fillId="30" borderId="1" xfId="0" applyNumberFormat="1" applyFont="1" applyFill="1" applyBorder="1" applyAlignment="1">
      <alignment horizontal="center" wrapText="1"/>
    </xf>
    <xf numFmtId="17" fontId="38" fillId="30" borderId="1" xfId="0" applyNumberFormat="1" applyFont="1" applyFill="1" applyBorder="1"/>
    <xf numFmtId="4" fontId="38" fillId="0" borderId="1" xfId="0" applyNumberFormat="1" applyFont="1" applyBorder="1"/>
    <xf numFmtId="0" fontId="51" fillId="0" borderId="4" xfId="0" applyFont="1" applyFill="1" applyBorder="1" applyAlignment="1">
      <alignment horizontal="left" wrapText="1"/>
    </xf>
    <xf numFmtId="0" fontId="52" fillId="0" borderId="4" xfId="0" applyFont="1" applyFill="1" applyBorder="1" applyAlignment="1">
      <alignment wrapText="1"/>
    </xf>
    <xf numFmtId="0" fontId="32" fillId="0" borderId="4" xfId="0" applyFont="1" applyFill="1" applyBorder="1" applyAlignment="1">
      <alignment wrapText="1"/>
    </xf>
    <xf numFmtId="0" fontId="203" fillId="0" borderId="1" xfId="0" applyFont="1" applyBorder="1" applyAlignment="1">
      <alignment wrapText="1"/>
    </xf>
    <xf numFmtId="4" fontId="38" fillId="0" borderId="1" xfId="0" applyNumberFormat="1" applyFont="1" applyBorder="1" applyAlignment="1">
      <alignment wrapText="1"/>
    </xf>
    <xf numFmtId="14" fontId="40" fillId="0" borderId="1" xfId="0" applyNumberFormat="1" applyFont="1" applyFill="1" applyBorder="1" applyAlignment="1">
      <alignment wrapText="1"/>
    </xf>
    <xf numFmtId="0" fontId="173" fillId="0" borderId="5" xfId="0" applyFont="1" applyBorder="1" applyAlignment="1">
      <alignment horizontal="center" wrapText="1"/>
    </xf>
    <xf numFmtId="4" fontId="173" fillId="0" borderId="1" xfId="0" applyNumberFormat="1" applyFont="1" applyBorder="1" applyAlignment="1">
      <alignment wrapText="1"/>
    </xf>
    <xf numFmtId="0" fontId="37" fillId="0" borderId="1" xfId="0" applyFont="1" applyBorder="1" applyAlignment="1">
      <alignment horizontal="center" wrapText="1"/>
    </xf>
    <xf numFmtId="0" fontId="173" fillId="0" borderId="4" xfId="0" applyFont="1" applyBorder="1" applyAlignment="1">
      <alignment wrapText="1"/>
    </xf>
    <xf numFmtId="0" fontId="173" fillId="0" borderId="5" xfId="0" applyFont="1" applyBorder="1" applyAlignment="1">
      <alignment wrapText="1"/>
    </xf>
    <xf numFmtId="0" fontId="173" fillId="0" borderId="0" xfId="0" applyFont="1"/>
    <xf numFmtId="0" fontId="82" fillId="0" borderId="4" xfId="0" applyFont="1" applyBorder="1" applyAlignment="1">
      <alignment wrapText="1"/>
    </xf>
    <xf numFmtId="0" fontId="82" fillId="0" borderId="5" xfId="0" applyFont="1" applyBorder="1" applyAlignment="1">
      <alignment wrapText="1"/>
    </xf>
    <xf numFmtId="0" fontId="38" fillId="0" borderId="0" xfId="0" applyFont="1" applyBorder="1"/>
    <xf numFmtId="14" fontId="163" fillId="29" borderId="1" xfId="0" applyNumberFormat="1" applyFont="1" applyFill="1" applyBorder="1" applyAlignment="1">
      <alignment wrapText="1"/>
    </xf>
    <xf numFmtId="0" fontId="87" fillId="0" borderId="1" xfId="0" applyFont="1" applyFill="1" applyBorder="1"/>
    <xf numFmtId="14" fontId="87" fillId="0" borderId="1" xfId="0" applyNumberFormat="1" applyFont="1" applyBorder="1"/>
    <xf numFmtId="0" fontId="87" fillId="29" borderId="1" xfId="0" applyFont="1" applyFill="1" applyBorder="1"/>
    <xf numFmtId="0" fontId="90" fillId="0" borderId="5" xfId="0" applyFont="1" applyBorder="1" applyAlignment="1">
      <alignment horizontal="center" wrapText="1"/>
    </xf>
    <xf numFmtId="0" fontId="173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 wrapText="1"/>
    </xf>
    <xf numFmtId="0" fontId="202" fillId="0" borderId="5" xfId="0" applyFont="1" applyBorder="1" applyAlignment="1">
      <alignment horizontal="center" wrapText="1"/>
    </xf>
    <xf numFmtId="4" fontId="33" fillId="0" borderId="1" xfId="0" applyNumberFormat="1" applyFont="1" applyBorder="1" applyAlignment="1">
      <alignment wrapText="1"/>
    </xf>
    <xf numFmtId="0" fontId="87" fillId="0" borderId="1" xfId="0" applyFont="1" applyFill="1" applyBorder="1" applyAlignment="1">
      <alignment wrapText="1"/>
    </xf>
    <xf numFmtId="0" fontId="45" fillId="0" borderId="5" xfId="0" applyFont="1" applyBorder="1" applyAlignment="1">
      <alignment horizontal="center" wrapText="1"/>
    </xf>
    <xf numFmtId="0" fontId="49" fillId="0" borderId="1" xfId="0" applyFont="1" applyBorder="1" applyAlignment="1">
      <alignment horizontal="center" wrapText="1"/>
    </xf>
    <xf numFmtId="0" fontId="49" fillId="0" borderId="4" xfId="0" applyFont="1" applyBorder="1" applyAlignment="1">
      <alignment horizontal="center" wrapText="1"/>
    </xf>
    <xf numFmtId="0" fontId="49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 wrapText="1"/>
    </xf>
    <xf numFmtId="0" fontId="37" fillId="0" borderId="1" xfId="0" applyFont="1" applyBorder="1" applyAlignment="1">
      <alignment horizontal="center" wrapText="1"/>
    </xf>
    <xf numFmtId="0" fontId="82" fillId="0" borderId="1" xfId="0" applyFont="1" applyBorder="1" applyAlignment="1">
      <alignment horizontal="center" wrapText="1"/>
    </xf>
    <xf numFmtId="0" fontId="202" fillId="0" borderId="1" xfId="0" applyFont="1" applyBorder="1" applyAlignment="1">
      <alignment horizontal="center" wrapText="1"/>
    </xf>
    <xf numFmtId="0" fontId="49" fillId="0" borderId="1" xfId="0" applyFont="1" applyFill="1" applyBorder="1" applyAlignment="1">
      <alignment horizontal="center" wrapText="1"/>
    </xf>
    <xf numFmtId="0" fontId="173" fillId="29" borderId="1" xfId="0" applyFont="1" applyFill="1" applyBorder="1" applyAlignment="1">
      <alignment horizontal="center" wrapText="1"/>
    </xf>
    <xf numFmtId="4" fontId="37" fillId="0" borderId="1" xfId="0" applyNumberFormat="1" applyFont="1" applyBorder="1" applyAlignment="1">
      <alignment horizontal="center"/>
    </xf>
    <xf numFmtId="3" fontId="40" fillId="0" borderId="1" xfId="0" applyNumberFormat="1" applyFont="1" applyFill="1" applyBorder="1" applyAlignment="1">
      <alignment wrapText="1"/>
    </xf>
    <xf numFmtId="0" fontId="37" fillId="0" borderId="1" xfId="0" applyFont="1" applyBorder="1" applyAlignment="1">
      <alignment horizontal="left" wrapText="1"/>
    </xf>
    <xf numFmtId="2" fontId="37" fillId="0" borderId="1" xfId="0" applyNumberFormat="1" applyFont="1" applyFill="1" applyBorder="1" applyAlignment="1">
      <alignment wrapText="1"/>
    </xf>
    <xf numFmtId="0" fontId="1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7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17" fontId="5" fillId="0" borderId="1" xfId="0" applyNumberFormat="1" applyFont="1" applyBorder="1" applyAlignment="1">
      <alignment horizontal="center"/>
    </xf>
    <xf numFmtId="0" fontId="163" fillId="0" borderId="1" xfId="0" applyFont="1" applyBorder="1" applyAlignment="1">
      <alignment horizontal="center" wrapText="1"/>
    </xf>
    <xf numFmtId="0" fontId="179" fillId="0" borderId="1" xfId="0" applyFont="1" applyBorder="1" applyAlignment="1">
      <alignment horizontal="center" wrapText="1"/>
    </xf>
    <xf numFmtId="0" fontId="72" fillId="0" borderId="1" xfId="0" applyFont="1" applyBorder="1" applyAlignment="1">
      <alignment horizontal="center" wrapText="1"/>
    </xf>
    <xf numFmtId="0" fontId="38" fillId="0" borderId="1" xfId="0" applyFont="1" applyBorder="1" applyAlignment="1">
      <alignment horizontal="center"/>
    </xf>
    <xf numFmtId="0" fontId="163" fillId="0" borderId="1" xfId="0" applyFont="1" applyBorder="1" applyAlignment="1">
      <alignment horizontal="center"/>
    </xf>
    <xf numFmtId="0" fontId="179" fillId="0" borderId="1" xfId="0" applyFont="1" applyBorder="1" applyAlignment="1">
      <alignment horizontal="center"/>
    </xf>
    <xf numFmtId="0" fontId="34" fillId="0" borderId="1" xfId="0" applyFont="1" applyBorder="1" applyAlignment="1">
      <alignment wrapText="1"/>
    </xf>
    <xf numFmtId="0" fontId="45" fillId="0" borderId="5" xfId="0" applyFont="1" applyBorder="1" applyAlignment="1">
      <alignment horizontal="center" wrapText="1"/>
    </xf>
    <xf numFmtId="0" fontId="51" fillId="0" borderId="1" xfId="0" applyFont="1" applyBorder="1" applyAlignment="1">
      <alignment horizontal="center" wrapText="1"/>
    </xf>
    <xf numFmtId="0" fontId="49" fillId="0" borderId="4" xfId="0" applyFont="1" applyBorder="1" applyAlignment="1">
      <alignment horizontal="center" wrapText="1"/>
    </xf>
    <xf numFmtId="0" fontId="49" fillId="0" borderId="1" xfId="0" applyFont="1" applyBorder="1" applyAlignment="1">
      <alignment horizontal="center" wrapText="1"/>
    </xf>
    <xf numFmtId="0" fontId="90" fillId="0" borderId="5" xfId="0" applyFont="1" applyBorder="1" applyAlignment="1">
      <alignment horizontal="center" wrapText="1"/>
    </xf>
    <xf numFmtId="0" fontId="173" fillId="0" borderId="5" xfId="0" applyFont="1" applyBorder="1" applyAlignment="1">
      <alignment horizontal="center" wrapText="1"/>
    </xf>
    <xf numFmtId="0" fontId="37" fillId="0" borderId="4" xfId="0" applyFont="1" applyBorder="1" applyAlignment="1">
      <alignment horizontal="center" wrapText="1"/>
    </xf>
    <xf numFmtId="0" fontId="37" fillId="0" borderId="5" xfId="0" applyFont="1" applyBorder="1" applyAlignment="1">
      <alignment horizontal="center" wrapText="1"/>
    </xf>
    <xf numFmtId="0" fontId="202" fillId="0" borderId="5" xfId="0" applyFont="1" applyBorder="1" applyAlignment="1">
      <alignment horizontal="center" wrapText="1"/>
    </xf>
    <xf numFmtId="0" fontId="37" fillId="0" borderId="1" xfId="0" applyFont="1" applyBorder="1" applyAlignment="1">
      <alignment horizontal="center" wrapText="1"/>
    </xf>
    <xf numFmtId="0" fontId="37" fillId="0" borderId="1" xfId="0" applyFont="1" applyBorder="1" applyAlignment="1">
      <alignment horizontal="left" wrapText="1"/>
    </xf>
    <xf numFmtId="0" fontId="49" fillId="0" borderId="4" xfId="0" applyFont="1" applyBorder="1" applyAlignment="1">
      <alignment horizontal="center"/>
    </xf>
    <xf numFmtId="0" fontId="0" fillId="0" borderId="4" xfId="0" applyFont="1" applyBorder="1" applyAlignment="1">
      <alignment wrapText="1"/>
    </xf>
    <xf numFmtId="4" fontId="5" fillId="0" borderId="4" xfId="0" applyNumberFormat="1" applyFont="1" applyBorder="1" applyAlignment="1">
      <alignment wrapText="1"/>
    </xf>
    <xf numFmtId="0" fontId="30" fillId="0" borderId="4" xfId="0" applyFont="1" applyBorder="1"/>
    <xf numFmtId="17" fontId="5" fillId="0" borderId="4" xfId="0" applyNumberFormat="1" applyFont="1" applyBorder="1" applyAlignment="1">
      <alignment horizontal="center"/>
    </xf>
    <xf numFmtId="3" fontId="5" fillId="0" borderId="1" xfId="0" applyNumberFormat="1" applyFont="1" applyBorder="1"/>
    <xf numFmtId="0" fontId="51" fillId="0" borderId="31" xfId="38" applyFont="1" applyFill="1" applyBorder="1" applyAlignment="1">
      <alignment wrapText="1"/>
    </xf>
    <xf numFmtId="0" fontId="32" fillId="0" borderId="32" xfId="38" applyFont="1" applyFill="1" applyBorder="1" applyAlignment="1">
      <alignment wrapText="1"/>
    </xf>
    <xf numFmtId="0" fontId="52" fillId="0" borderId="32" xfId="38" applyFont="1" applyFill="1" applyBorder="1" applyAlignment="1">
      <alignment wrapText="1"/>
    </xf>
    <xf numFmtId="0" fontId="32" fillId="0" borderId="0" xfId="38" applyFont="1" applyFill="1" applyBorder="1" applyAlignment="1">
      <alignment wrapText="1"/>
    </xf>
    <xf numFmtId="3" fontId="5" fillId="0" borderId="33" xfId="0" applyNumberFormat="1" applyFont="1" applyFill="1" applyBorder="1" applyAlignment="1">
      <alignment horizontal="center"/>
    </xf>
    <xf numFmtId="3" fontId="16" fillId="0" borderId="33" xfId="0" applyNumberFormat="1" applyFont="1" applyFill="1" applyBorder="1" applyAlignment="1">
      <alignment horizontal="center"/>
    </xf>
    <xf numFmtId="0" fontId="32" fillId="0" borderId="33" xfId="0" applyFont="1" applyFill="1" applyBorder="1"/>
    <xf numFmtId="0" fontId="5" fillId="0" borderId="33" xfId="0" applyFont="1" applyFill="1" applyBorder="1"/>
    <xf numFmtId="0" fontId="5" fillId="0" borderId="10" xfId="0" applyFont="1" applyFill="1" applyBorder="1"/>
    <xf numFmtId="0" fontId="82" fillId="0" borderId="31" xfId="38" applyFont="1" applyFill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51" fillId="0" borderId="31" xfId="0" applyFont="1" applyBorder="1"/>
    <xf numFmtId="0" fontId="51" fillId="0" borderId="31" xfId="0" applyFont="1" applyBorder="1" applyAlignment="1">
      <alignment wrapText="1"/>
    </xf>
    <xf numFmtId="0" fontId="90" fillId="0" borderId="31" xfId="0" applyFont="1" applyBorder="1" applyAlignment="1">
      <alignment wrapText="1"/>
    </xf>
    <xf numFmtId="0" fontId="45" fillId="0" borderId="33" xfId="0" applyFont="1" applyBorder="1" applyAlignment="1">
      <alignment wrapText="1"/>
    </xf>
    <xf numFmtId="0" fontId="45" fillId="0" borderId="32" xfId="0" applyFont="1" applyBorder="1" applyAlignment="1">
      <alignment wrapText="1"/>
    </xf>
    <xf numFmtId="0" fontId="38" fillId="0" borderId="31" xfId="0" applyFont="1" applyBorder="1" applyAlignment="1">
      <alignment wrapText="1"/>
    </xf>
    <xf numFmtId="4" fontId="38" fillId="0" borderId="31" xfId="0" applyNumberFormat="1" applyFont="1" applyBorder="1" applyAlignment="1">
      <alignment wrapText="1"/>
    </xf>
    <xf numFmtId="0" fontId="37" fillId="0" borderId="31" xfId="0" applyFont="1" applyBorder="1" applyAlignment="1">
      <alignment wrapText="1"/>
    </xf>
    <xf numFmtId="0" fontId="5" fillId="0" borderId="31" xfId="0" applyFont="1" applyBorder="1"/>
    <xf numFmtId="0" fontId="37" fillId="0" borderId="31" xfId="0" applyFont="1" applyFill="1" applyBorder="1" applyAlignment="1">
      <alignment wrapText="1"/>
    </xf>
    <xf numFmtId="4" fontId="123" fillId="0" borderId="0" xfId="0" applyNumberFormat="1" applyFont="1" applyAlignment="1">
      <alignment horizontal="center"/>
    </xf>
    <xf numFmtId="0" fontId="0" fillId="0" borderId="31" xfId="0" applyFont="1" applyBorder="1" applyAlignment="1">
      <alignment horizontal="center" wrapText="1"/>
    </xf>
    <xf numFmtId="0" fontId="49" fillId="45" borderId="4" xfId="0" applyFont="1" applyFill="1" applyBorder="1" applyAlignment="1">
      <alignment horizontal="center"/>
    </xf>
    <xf numFmtId="0" fontId="202" fillId="30" borderId="1" xfId="0" applyFont="1" applyFill="1" applyBorder="1" applyAlignment="1">
      <alignment horizontal="center" wrapText="1"/>
    </xf>
    <xf numFmtId="0" fontId="72" fillId="29" borderId="1" xfId="0" applyFont="1" applyFill="1" applyBorder="1" applyAlignment="1">
      <alignment wrapText="1"/>
    </xf>
    <xf numFmtId="3" fontId="90" fillId="29" borderId="0" xfId="0" applyNumberFormat="1" applyFont="1" applyFill="1"/>
    <xf numFmtId="0" fontId="7" fillId="29" borderId="1" xfId="0" applyFont="1" applyFill="1" applyBorder="1" applyAlignment="1">
      <alignment wrapText="1"/>
    </xf>
    <xf numFmtId="0" fontId="5" fillId="0" borderId="31" xfId="0" applyFont="1" applyFill="1" applyBorder="1"/>
    <xf numFmtId="0" fontId="5" fillId="0" borderId="5" xfId="0" applyFont="1" applyFill="1" applyBorder="1"/>
    <xf numFmtId="0" fontId="32" fillId="0" borderId="31" xfId="0" applyFont="1" applyBorder="1" applyAlignment="1">
      <alignment wrapText="1"/>
    </xf>
    <xf numFmtId="0" fontId="51" fillId="0" borderId="31" xfId="0" applyFont="1" applyFill="1" applyBorder="1" applyAlignment="1">
      <alignment horizontal="left" wrapText="1"/>
    </xf>
    <xf numFmtId="0" fontId="72" fillId="0" borderId="1" xfId="0" applyFont="1" applyFill="1" applyBorder="1" applyAlignment="1">
      <alignment wrapText="1"/>
    </xf>
    <xf numFmtId="4" fontId="37" fillId="0" borderId="31" xfId="0" applyNumberFormat="1" applyFont="1" applyBorder="1" applyAlignment="1">
      <alignment wrapText="1"/>
    </xf>
    <xf numFmtId="0" fontId="37" fillId="29" borderId="31" xfId="0" applyFont="1" applyFill="1" applyBorder="1" applyAlignment="1">
      <alignment wrapText="1"/>
    </xf>
    <xf numFmtId="0" fontId="5" fillId="0" borderId="31" xfId="0" applyFont="1" applyBorder="1" applyAlignment="1">
      <alignment wrapText="1"/>
    </xf>
    <xf numFmtId="0" fontId="37" fillId="0" borderId="31" xfId="0" applyFont="1" applyBorder="1"/>
    <xf numFmtId="4" fontId="37" fillId="0" borderId="31" xfId="0" applyNumberFormat="1" applyFont="1" applyBorder="1" applyAlignment="1">
      <alignment horizontal="center"/>
    </xf>
    <xf numFmtId="0" fontId="52" fillId="0" borderId="31" xfId="0" applyFont="1" applyBorder="1" applyAlignment="1">
      <alignment wrapText="1"/>
    </xf>
    <xf numFmtId="0" fontId="0" fillId="0" borderId="31" xfId="0" applyFont="1" applyBorder="1"/>
    <xf numFmtId="0" fontId="37" fillId="0" borderId="33" xfId="0" applyFont="1" applyBorder="1" applyAlignment="1">
      <alignment wrapText="1"/>
    </xf>
    <xf numFmtId="0" fontId="37" fillId="0" borderId="34" xfId="0" applyFont="1" applyBorder="1" applyAlignment="1">
      <alignment wrapText="1"/>
    </xf>
    <xf numFmtId="0" fontId="37" fillId="0" borderId="35" xfId="0" applyFont="1" applyBorder="1" applyAlignment="1">
      <alignment wrapText="1"/>
    </xf>
    <xf numFmtId="0" fontId="37" fillId="0" borderId="36" xfId="0" applyFont="1" applyBorder="1" applyAlignment="1">
      <alignment wrapText="1"/>
    </xf>
    <xf numFmtId="0" fontId="37" fillId="0" borderId="37" xfId="0" applyFont="1" applyBorder="1" applyAlignment="1">
      <alignment wrapText="1"/>
    </xf>
    <xf numFmtId="0" fontId="37" fillId="0" borderId="38" xfId="0" applyFont="1" applyBorder="1" applyAlignment="1">
      <alignment wrapText="1"/>
    </xf>
    <xf numFmtId="0" fontId="202" fillId="0" borderId="4" xfId="0" applyFont="1" applyBorder="1" applyAlignment="1">
      <alignment wrapText="1"/>
    </xf>
    <xf numFmtId="0" fontId="202" fillId="0" borderId="5" xfId="0" applyFont="1" applyBorder="1" applyAlignment="1">
      <alignment wrapText="1"/>
    </xf>
    <xf numFmtId="0" fontId="40" fillId="0" borderId="31" xfId="0" applyFont="1" applyBorder="1" applyAlignment="1">
      <alignment wrapText="1"/>
    </xf>
    <xf numFmtId="0" fontId="202" fillId="0" borderId="32" xfId="0" applyFont="1" applyBorder="1" applyAlignment="1">
      <alignment wrapText="1"/>
    </xf>
    <xf numFmtId="0" fontId="37" fillId="0" borderId="32" xfId="0" applyFont="1" applyBorder="1" applyAlignment="1">
      <alignment wrapText="1"/>
    </xf>
    <xf numFmtId="14" fontId="40" fillId="0" borderId="31" xfId="0" applyNumberFormat="1" applyFont="1" applyBorder="1" applyAlignment="1">
      <alignment wrapText="1"/>
    </xf>
    <xf numFmtId="0" fontId="37" fillId="0" borderId="31" xfId="0" applyFont="1" applyBorder="1" applyAlignment="1">
      <alignment horizontal="left" wrapText="1"/>
    </xf>
    <xf numFmtId="0" fontId="49" fillId="0" borderId="31" xfId="0" applyFont="1" applyBorder="1" applyAlignment="1">
      <alignment wrapText="1"/>
    </xf>
    <xf numFmtId="3" fontId="173" fillId="0" borderId="1" xfId="0" applyNumberFormat="1" applyFont="1" applyBorder="1" applyAlignment="1">
      <alignment wrapText="1"/>
    </xf>
    <xf numFmtId="0" fontId="173" fillId="0" borderId="31" xfId="0" applyFont="1" applyBorder="1" applyAlignment="1">
      <alignment wrapText="1"/>
    </xf>
    <xf numFmtId="0" fontId="51" fillId="0" borderId="31" xfId="0" applyFont="1" applyFill="1" applyBorder="1" applyAlignment="1">
      <alignment horizontal="center"/>
    </xf>
    <xf numFmtId="0" fontId="51" fillId="0" borderId="31" xfId="0" applyFont="1" applyFill="1" applyBorder="1"/>
    <xf numFmtId="0" fontId="187" fillId="29" borderId="1" xfId="0" applyFont="1" applyFill="1" applyBorder="1" applyAlignment="1">
      <alignment wrapText="1"/>
    </xf>
    <xf numFmtId="0" fontId="32" fillId="0" borderId="4" xfId="0" applyFont="1" applyBorder="1" applyAlignment="1">
      <alignment horizontal="center" wrapText="1"/>
    </xf>
    <xf numFmtId="0" fontId="32" fillId="0" borderId="5" xfId="0" applyFont="1" applyBorder="1" applyAlignment="1">
      <alignment horizontal="center" wrapText="1"/>
    </xf>
    <xf numFmtId="4" fontId="0" fillId="0" borderId="4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wrapText="1"/>
    </xf>
    <xf numFmtId="0" fontId="53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22" fillId="0" borderId="7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45" fillId="0" borderId="4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wrapText="1"/>
    </xf>
    <xf numFmtId="0" fontId="45" fillId="0" borderId="6" xfId="0" applyFont="1" applyBorder="1" applyAlignment="1">
      <alignment horizontal="center" wrapText="1"/>
    </xf>
    <xf numFmtId="0" fontId="45" fillId="0" borderId="5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49" fontId="45" fillId="0" borderId="1" xfId="0" applyNumberFormat="1" applyFont="1" applyBorder="1" applyAlignment="1">
      <alignment horizontal="center" vertical="center" wrapText="1"/>
    </xf>
    <xf numFmtId="49" fontId="64" fillId="0" borderId="1" xfId="0" applyNumberFormat="1" applyFont="1" applyBorder="1" applyAlignment="1">
      <alignment horizontal="center" wrapText="1"/>
    </xf>
    <xf numFmtId="164" fontId="16" fillId="0" borderId="1" xfId="0" applyNumberFormat="1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22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14" fontId="11" fillId="0" borderId="4" xfId="0" applyNumberFormat="1" applyFont="1" applyBorder="1" applyAlignment="1">
      <alignment horizontal="center" wrapText="1"/>
    </xf>
    <xf numFmtId="14" fontId="11" fillId="0" borderId="6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7" fillId="6" borderId="3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wrapText="1"/>
    </xf>
    <xf numFmtId="4" fontId="5" fillId="0" borderId="1" xfId="0" applyNumberFormat="1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13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1" fillId="24" borderId="5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wrapText="1"/>
    </xf>
    <xf numFmtId="0" fontId="7" fillId="23" borderId="1" xfId="0" applyFont="1" applyFill="1" applyBorder="1" applyAlignment="1">
      <alignment horizontal="center" wrapText="1"/>
    </xf>
    <xf numFmtId="0" fontId="5" fillId="33" borderId="15" xfId="0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 wrapText="1"/>
    </xf>
    <xf numFmtId="49" fontId="5" fillId="0" borderId="6" xfId="0" applyNumberFormat="1" applyFont="1" applyBorder="1" applyAlignment="1">
      <alignment horizontal="center" wrapText="1"/>
    </xf>
    <xf numFmtId="2" fontId="97" fillId="8" borderId="4" xfId="0" applyNumberFormat="1" applyFont="1" applyFill="1" applyBorder="1" applyAlignment="1">
      <alignment horizontal="center" wrapText="1"/>
    </xf>
    <xf numFmtId="2" fontId="43" fillId="8" borderId="5" xfId="0" applyNumberFormat="1" applyFont="1" applyFill="1" applyBorder="1" applyAlignment="1">
      <alignment horizontal="center" wrapText="1"/>
    </xf>
    <xf numFmtId="2" fontId="43" fillId="8" borderId="4" xfId="0" applyNumberFormat="1" applyFont="1" applyFill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72" fillId="0" borderId="10" xfId="0" applyFont="1" applyBorder="1" applyAlignment="1">
      <alignment horizontal="center" wrapText="1"/>
    </xf>
    <xf numFmtId="0" fontId="72" fillId="0" borderId="12" xfId="0" applyFont="1" applyBorder="1" applyAlignment="1">
      <alignment horizontal="center" wrapText="1"/>
    </xf>
    <xf numFmtId="49" fontId="43" fillId="8" borderId="4" xfId="0" applyNumberFormat="1" applyFont="1" applyFill="1" applyBorder="1" applyAlignment="1">
      <alignment horizontal="center" wrapText="1"/>
    </xf>
    <xf numFmtId="49" fontId="43" fillId="8" borderId="5" xfId="0" applyNumberFormat="1" applyFont="1" applyFill="1" applyBorder="1" applyAlignment="1">
      <alignment horizontal="center" wrapText="1"/>
    </xf>
    <xf numFmtId="0" fontId="67" fillId="0" borderId="4" xfId="0" applyFont="1" applyBorder="1" applyAlignment="1">
      <alignment horizontal="center" wrapText="1"/>
    </xf>
    <xf numFmtId="0" fontId="67" fillId="0" borderId="5" xfId="0" applyFont="1" applyBorder="1" applyAlignment="1">
      <alignment horizontal="center" wrapText="1"/>
    </xf>
    <xf numFmtId="4" fontId="79" fillId="0" borderId="4" xfId="0" applyNumberFormat="1" applyFont="1" applyBorder="1" applyAlignment="1">
      <alignment horizontal="center" wrapText="1"/>
    </xf>
    <xf numFmtId="4" fontId="79" fillId="0" borderId="6" xfId="0" applyNumberFormat="1" applyFont="1" applyBorder="1" applyAlignment="1">
      <alignment horizontal="center" wrapText="1"/>
    </xf>
    <xf numFmtId="0" fontId="49" fillId="0" borderId="4" xfId="0" applyFont="1" applyBorder="1" applyAlignment="1">
      <alignment horizontal="center" wrapText="1"/>
    </xf>
    <xf numFmtId="0" fontId="49" fillId="0" borderId="5" xfId="0" applyFont="1" applyBorder="1" applyAlignment="1">
      <alignment horizontal="center" wrapText="1"/>
    </xf>
    <xf numFmtId="0" fontId="38" fillId="0" borderId="4" xfId="0" applyFont="1" applyBorder="1" applyAlignment="1">
      <alignment horizontal="center" wrapText="1"/>
    </xf>
    <xf numFmtId="0" fontId="38" fillId="0" borderId="6" xfId="0" applyFont="1" applyBorder="1" applyAlignment="1">
      <alignment horizontal="center" wrapText="1"/>
    </xf>
    <xf numFmtId="0" fontId="38" fillId="0" borderId="5" xfId="0" applyFont="1" applyBorder="1" applyAlignment="1">
      <alignment horizontal="center" wrapText="1"/>
    </xf>
    <xf numFmtId="2" fontId="16" fillId="0" borderId="4" xfId="0" applyNumberFormat="1" applyFont="1" applyBorder="1" applyAlignment="1">
      <alignment horizontal="center" wrapText="1"/>
    </xf>
    <xf numFmtId="2" fontId="16" fillId="0" borderId="6" xfId="0" applyNumberFormat="1" applyFont="1" applyBorder="1" applyAlignment="1">
      <alignment horizontal="center" wrapText="1"/>
    </xf>
    <xf numFmtId="2" fontId="16" fillId="0" borderId="5" xfId="0" applyNumberFormat="1" applyFont="1" applyBorder="1" applyAlignment="1">
      <alignment horizontal="center" wrapText="1"/>
    </xf>
    <xf numFmtId="2" fontId="55" fillId="29" borderId="4" xfId="0" applyNumberFormat="1" applyFont="1" applyFill="1" applyBorder="1" applyAlignment="1">
      <alignment horizontal="center" wrapText="1"/>
    </xf>
    <xf numFmtId="2" fontId="55" fillId="29" borderId="6" xfId="0" applyNumberFormat="1" applyFont="1" applyFill="1" applyBorder="1" applyAlignment="1">
      <alignment horizontal="center" wrapText="1"/>
    </xf>
    <xf numFmtId="2" fontId="55" fillId="29" borderId="5" xfId="0" applyNumberFormat="1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2" fillId="0" borderId="4" xfId="0" applyFont="1" applyBorder="1" applyAlignment="1">
      <alignment horizontal="center" wrapText="1"/>
    </xf>
    <xf numFmtId="0" fontId="72" fillId="0" borderId="5" xfId="0" applyFont="1" applyBorder="1" applyAlignment="1">
      <alignment horizontal="center" wrapText="1"/>
    </xf>
    <xf numFmtId="0" fontId="51" fillId="0" borderId="4" xfId="0" applyFont="1" applyBorder="1" applyAlignment="1">
      <alignment horizontal="center" wrapText="1"/>
    </xf>
    <xf numFmtId="0" fontId="51" fillId="0" borderId="5" xfId="0" applyFont="1" applyBorder="1" applyAlignment="1">
      <alignment horizontal="center" wrapText="1"/>
    </xf>
    <xf numFmtId="0" fontId="43" fillId="0" borderId="4" xfId="0" applyFont="1" applyBorder="1" applyAlignment="1">
      <alignment horizontal="center" wrapText="1"/>
    </xf>
    <xf numFmtId="0" fontId="43" fillId="0" borderId="5" xfId="0" applyFont="1" applyBorder="1" applyAlignment="1">
      <alignment horizont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left" wrapText="1"/>
    </xf>
    <xf numFmtId="0" fontId="11" fillId="6" borderId="1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7" borderId="1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wrapText="1"/>
    </xf>
    <xf numFmtId="0" fontId="32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7" fillId="6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14" fontId="11" fillId="8" borderId="1" xfId="0" applyNumberFormat="1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/>
    </xf>
    <xf numFmtId="0" fontId="51" fillId="0" borderId="1" xfId="0" applyFont="1" applyBorder="1" applyAlignment="1">
      <alignment horizontal="center" wrapText="1"/>
    </xf>
    <xf numFmtId="0" fontId="7" fillId="24" borderId="1" xfId="0" applyFont="1" applyFill="1" applyBorder="1" applyAlignment="1">
      <alignment horizontal="center"/>
    </xf>
    <xf numFmtId="0" fontId="57" fillId="0" borderId="1" xfId="0" applyFont="1" applyBorder="1" applyAlignment="1">
      <alignment horizontal="center" wrapText="1"/>
    </xf>
    <xf numFmtId="0" fontId="11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82" fillId="0" borderId="33" xfId="0" applyFont="1" applyBorder="1" applyAlignment="1">
      <alignment horizontal="center" wrapText="1"/>
    </xf>
    <xf numFmtId="0" fontId="82" fillId="0" borderId="5" xfId="0" applyFont="1" applyBorder="1" applyAlignment="1">
      <alignment horizontal="center" wrapText="1"/>
    </xf>
    <xf numFmtId="0" fontId="37" fillId="0" borderId="33" xfId="0" applyFont="1" applyBorder="1" applyAlignment="1">
      <alignment horizontal="center" wrapText="1"/>
    </xf>
    <xf numFmtId="0" fontId="37" fillId="0" borderId="5" xfId="0" applyFont="1" applyBorder="1" applyAlignment="1">
      <alignment horizontal="center" wrapText="1"/>
    </xf>
    <xf numFmtId="0" fontId="90" fillId="0" borderId="33" xfId="0" applyFont="1" applyBorder="1" applyAlignment="1">
      <alignment horizontal="center" wrapText="1"/>
    </xf>
    <xf numFmtId="0" fontId="90" fillId="0" borderId="5" xfId="0" applyFont="1" applyBorder="1" applyAlignment="1">
      <alignment horizontal="center" wrapText="1"/>
    </xf>
    <xf numFmtId="0" fontId="40" fillId="0" borderId="33" xfId="0" applyFont="1" applyFill="1" applyBorder="1" applyAlignment="1">
      <alignment horizontal="center" wrapText="1"/>
    </xf>
    <xf numFmtId="0" fontId="40" fillId="0" borderId="5" xfId="0" applyFont="1" applyFill="1" applyBorder="1" applyAlignment="1">
      <alignment horizontal="center" wrapText="1"/>
    </xf>
    <xf numFmtId="0" fontId="72" fillId="0" borderId="33" xfId="0" applyFont="1" applyFill="1" applyBorder="1" applyAlignment="1">
      <alignment horizontal="center" wrapText="1"/>
    </xf>
    <xf numFmtId="0" fontId="72" fillId="0" borderId="5" xfId="0" applyFont="1" applyFill="1" applyBorder="1" applyAlignment="1">
      <alignment horizontal="center" wrapText="1"/>
    </xf>
    <xf numFmtId="0" fontId="37" fillId="0" borderId="4" xfId="0" applyFont="1" applyBorder="1" applyAlignment="1">
      <alignment horizontal="center" wrapText="1"/>
    </xf>
    <xf numFmtId="0" fontId="37" fillId="0" borderId="6" xfId="0" applyFont="1" applyBorder="1" applyAlignment="1">
      <alignment horizontal="center" wrapText="1"/>
    </xf>
    <xf numFmtId="0" fontId="40" fillId="0" borderId="4" xfId="0" applyFont="1" applyBorder="1" applyAlignment="1">
      <alignment horizontal="center" wrapText="1"/>
    </xf>
    <xf numFmtId="0" fontId="40" fillId="0" borderId="6" xfId="0" applyFont="1" applyBorder="1" applyAlignment="1">
      <alignment horizontal="center" wrapText="1"/>
    </xf>
    <xf numFmtId="0" fontId="40" fillId="0" borderId="5" xfId="0" applyFont="1" applyBorder="1" applyAlignment="1">
      <alignment horizontal="center" wrapText="1"/>
    </xf>
    <xf numFmtId="3" fontId="37" fillId="0" borderId="4" xfId="0" applyNumberFormat="1" applyFont="1" applyBorder="1" applyAlignment="1">
      <alignment horizontal="center" wrapText="1"/>
    </xf>
    <xf numFmtId="3" fontId="37" fillId="0" borderId="6" xfId="0" applyNumberFormat="1" applyFont="1" applyBorder="1" applyAlignment="1">
      <alignment horizontal="center" wrapText="1"/>
    </xf>
    <xf numFmtId="3" fontId="37" fillId="0" borderId="5" xfId="0" applyNumberFormat="1" applyFont="1" applyBorder="1" applyAlignment="1">
      <alignment horizontal="center" wrapText="1"/>
    </xf>
    <xf numFmtId="0" fontId="90" fillId="0" borderId="4" xfId="0" applyFont="1" applyBorder="1" applyAlignment="1">
      <alignment horizontal="center" wrapText="1"/>
    </xf>
    <xf numFmtId="0" fontId="173" fillId="0" borderId="4" xfId="0" applyFont="1" applyBorder="1" applyAlignment="1">
      <alignment horizontal="center" wrapText="1"/>
    </xf>
    <xf numFmtId="0" fontId="173" fillId="0" borderId="5" xfId="0" applyFont="1" applyBorder="1" applyAlignment="1">
      <alignment horizontal="center" wrapText="1"/>
    </xf>
    <xf numFmtId="4" fontId="90" fillId="0" borderId="4" xfId="0" applyNumberFormat="1" applyFont="1" applyBorder="1" applyAlignment="1">
      <alignment horizontal="center" wrapText="1"/>
    </xf>
    <xf numFmtId="4" fontId="90" fillId="0" borderId="5" xfId="0" applyNumberFormat="1" applyFont="1" applyBorder="1" applyAlignment="1">
      <alignment horizontal="center" wrapText="1"/>
    </xf>
    <xf numFmtId="0" fontId="202" fillId="0" borderId="4" xfId="0" applyFont="1" applyBorder="1" applyAlignment="1">
      <alignment horizontal="center" wrapText="1"/>
    </xf>
    <xf numFmtId="0" fontId="202" fillId="0" borderId="5" xfId="0" applyFont="1" applyBorder="1" applyAlignment="1">
      <alignment horizontal="center" wrapText="1"/>
    </xf>
    <xf numFmtId="0" fontId="124" fillId="30" borderId="2" xfId="0" applyFont="1" applyFill="1" applyBorder="1" applyAlignment="1">
      <alignment horizontal="center" wrapText="1"/>
    </xf>
    <xf numFmtId="0" fontId="124" fillId="30" borderId="3" xfId="0" applyFont="1" applyFill="1" applyBorder="1" applyAlignment="1">
      <alignment horizontal="center" wrapText="1"/>
    </xf>
    <xf numFmtId="3" fontId="37" fillId="0" borderId="2" xfId="0" applyNumberFormat="1" applyFont="1" applyBorder="1" applyAlignment="1">
      <alignment horizontal="left" wrapText="1"/>
    </xf>
    <xf numFmtId="3" fontId="37" fillId="0" borderId="7" xfId="0" applyNumberFormat="1" applyFont="1" applyBorder="1" applyAlignment="1">
      <alignment horizontal="left" wrapText="1"/>
    </xf>
    <xf numFmtId="3" fontId="37" fillId="0" borderId="3" xfId="0" applyNumberFormat="1" applyFont="1" applyBorder="1" applyAlignment="1">
      <alignment horizontal="left" wrapText="1"/>
    </xf>
    <xf numFmtId="0" fontId="49" fillId="0" borderId="6" xfId="0" applyFont="1" applyBorder="1" applyAlignment="1">
      <alignment horizontal="center" wrapText="1"/>
    </xf>
    <xf numFmtId="2" fontId="37" fillId="0" borderId="4" xfId="0" applyNumberFormat="1" applyFont="1" applyBorder="1" applyAlignment="1">
      <alignment horizontal="center" wrapText="1"/>
    </xf>
    <xf numFmtId="2" fontId="37" fillId="0" borderId="6" xfId="0" applyNumberFormat="1" applyFont="1" applyBorder="1" applyAlignment="1">
      <alignment horizontal="center" wrapText="1"/>
    </xf>
    <xf numFmtId="0" fontId="49" fillId="29" borderId="4" xfId="0" applyFont="1" applyFill="1" applyBorder="1" applyAlignment="1">
      <alignment horizontal="center" wrapText="1"/>
    </xf>
    <xf numFmtId="0" fontId="58" fillId="29" borderId="5" xfId="0" applyFont="1" applyFill="1" applyBorder="1" applyAlignment="1">
      <alignment horizontal="center" wrapText="1"/>
    </xf>
    <xf numFmtId="4" fontId="37" fillId="0" borderId="4" xfId="0" applyNumberFormat="1" applyFont="1" applyBorder="1" applyAlignment="1">
      <alignment horizontal="center" wrapText="1"/>
    </xf>
    <xf numFmtId="4" fontId="37" fillId="0" borderId="5" xfId="0" applyNumberFormat="1" applyFont="1" applyBorder="1" applyAlignment="1">
      <alignment horizontal="center" wrapText="1"/>
    </xf>
    <xf numFmtId="0" fontId="49" fillId="0" borderId="4" xfId="0" applyFont="1" applyBorder="1" applyAlignment="1">
      <alignment horizontal="center"/>
    </xf>
    <xf numFmtId="0" fontId="49" fillId="0" borderId="6" xfId="0" applyFont="1" applyBorder="1" applyAlignment="1">
      <alignment horizontal="center"/>
    </xf>
    <xf numFmtId="0" fontId="49" fillId="0" borderId="5" xfId="0" applyFont="1" applyBorder="1" applyAlignment="1">
      <alignment horizontal="center"/>
    </xf>
    <xf numFmtId="4" fontId="37" fillId="0" borderId="6" xfId="0" applyNumberFormat="1" applyFont="1" applyBorder="1" applyAlignment="1">
      <alignment horizontal="center" wrapText="1"/>
    </xf>
    <xf numFmtId="0" fontId="49" fillId="8" borderId="4" xfId="0" applyFont="1" applyFill="1" applyBorder="1" applyAlignment="1">
      <alignment horizontal="center" wrapText="1"/>
    </xf>
    <xf numFmtId="0" fontId="49" fillId="8" borderId="5" xfId="0" applyFont="1" applyFill="1" applyBorder="1" applyAlignment="1">
      <alignment horizontal="center" wrapText="1"/>
    </xf>
    <xf numFmtId="0" fontId="84" fillId="0" borderId="4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4" fontId="40" fillId="0" borderId="4" xfId="0" applyNumberFormat="1" applyFont="1" applyBorder="1" applyAlignment="1">
      <alignment horizontal="center" wrapText="1"/>
    </xf>
    <xf numFmtId="4" fontId="40" fillId="0" borderId="6" xfId="0" applyNumberFormat="1" applyFont="1" applyBorder="1" applyAlignment="1">
      <alignment horizontal="center" wrapText="1"/>
    </xf>
    <xf numFmtId="4" fontId="40" fillId="0" borderId="5" xfId="0" applyNumberFormat="1" applyFont="1" applyBorder="1" applyAlignment="1">
      <alignment horizontal="center" wrapText="1"/>
    </xf>
    <xf numFmtId="0" fontId="90" fillId="0" borderId="6" xfId="0" applyFont="1" applyBorder="1" applyAlignment="1">
      <alignment horizontal="center" wrapText="1"/>
    </xf>
    <xf numFmtId="4" fontId="51" fillId="0" borderId="4" xfId="0" applyNumberFormat="1" applyFont="1" applyBorder="1" applyAlignment="1">
      <alignment horizontal="center" wrapText="1"/>
    </xf>
    <xf numFmtId="4" fontId="51" fillId="0" borderId="6" xfId="0" applyNumberFormat="1" applyFont="1" applyBorder="1" applyAlignment="1">
      <alignment horizontal="center" wrapText="1"/>
    </xf>
    <xf numFmtId="4" fontId="51" fillId="0" borderId="5" xfId="0" applyNumberFormat="1" applyFont="1" applyBorder="1" applyAlignment="1">
      <alignment horizontal="center" wrapText="1"/>
    </xf>
    <xf numFmtId="4" fontId="52" fillId="0" borderId="4" xfId="0" applyNumberFormat="1" applyFont="1" applyBorder="1" applyAlignment="1">
      <alignment horizontal="center" wrapText="1"/>
    </xf>
    <xf numFmtId="4" fontId="52" fillId="0" borderId="6" xfId="0" applyNumberFormat="1" applyFont="1" applyBorder="1" applyAlignment="1">
      <alignment horizontal="center" wrapText="1"/>
    </xf>
    <xf numFmtId="4" fontId="52" fillId="0" borderId="5" xfId="0" applyNumberFormat="1" applyFont="1" applyBorder="1" applyAlignment="1">
      <alignment horizontal="center" wrapText="1"/>
    </xf>
    <xf numFmtId="4" fontId="117" fillId="0" borderId="4" xfId="0" applyNumberFormat="1" applyFont="1" applyBorder="1" applyAlignment="1">
      <alignment horizontal="center" wrapText="1"/>
    </xf>
    <xf numFmtId="4" fontId="117" fillId="0" borderId="5" xfId="0" applyNumberFormat="1" applyFont="1" applyBorder="1" applyAlignment="1">
      <alignment horizontal="center" wrapText="1"/>
    </xf>
    <xf numFmtId="0" fontId="49" fillId="29" borderId="6" xfId="0" applyFont="1" applyFill="1" applyBorder="1" applyAlignment="1">
      <alignment horizontal="center" wrapText="1"/>
    </xf>
    <xf numFmtId="0" fontId="37" fillId="29" borderId="4" xfId="0" applyFont="1" applyFill="1" applyBorder="1" applyAlignment="1">
      <alignment horizontal="center" wrapText="1"/>
    </xf>
    <xf numFmtId="0" fontId="37" fillId="29" borderId="6" xfId="0" applyFont="1" applyFill="1" applyBorder="1" applyAlignment="1">
      <alignment horizontal="center" wrapText="1"/>
    </xf>
    <xf numFmtId="0" fontId="37" fillId="0" borderId="10" xfId="0" applyFont="1" applyBorder="1" applyAlignment="1">
      <alignment horizontal="center" wrapText="1"/>
    </xf>
    <xf numFmtId="0" fontId="37" fillId="0" borderId="13" xfId="0" applyFont="1" applyBorder="1" applyAlignment="1">
      <alignment horizontal="center" wrapText="1"/>
    </xf>
    <xf numFmtId="0" fontId="37" fillId="0" borderId="12" xfId="0" applyFont="1" applyBorder="1" applyAlignment="1">
      <alignment horizontal="center" wrapText="1"/>
    </xf>
    <xf numFmtId="0" fontId="37" fillId="29" borderId="5" xfId="0" applyFont="1" applyFill="1" applyBorder="1" applyAlignment="1">
      <alignment horizontal="center" wrapText="1"/>
    </xf>
    <xf numFmtId="0" fontId="163" fillId="0" borderId="4" xfId="0" applyFont="1" applyBorder="1" applyAlignment="1">
      <alignment horizontal="center" wrapText="1"/>
    </xf>
    <xf numFmtId="0" fontId="163" fillId="0" borderId="6" xfId="0" applyFont="1" applyBorder="1" applyAlignment="1">
      <alignment horizontal="center" wrapText="1"/>
    </xf>
    <xf numFmtId="0" fontId="163" fillId="0" borderId="5" xfId="0" applyFont="1" applyBorder="1" applyAlignment="1">
      <alignment horizontal="center" wrapText="1"/>
    </xf>
    <xf numFmtId="0" fontId="84" fillId="0" borderId="6" xfId="0" applyFont="1" applyBorder="1" applyAlignment="1">
      <alignment horizontal="center" wrapText="1"/>
    </xf>
    <xf numFmtId="0" fontId="161" fillId="0" borderId="4" xfId="0" applyFont="1" applyBorder="1" applyAlignment="1">
      <alignment horizontal="center" wrapText="1"/>
    </xf>
    <xf numFmtId="0" fontId="37" fillId="0" borderId="1" xfId="0" applyFont="1" applyBorder="1" applyAlignment="1">
      <alignment horizontal="center" wrapText="1"/>
    </xf>
    <xf numFmtId="0" fontId="49" fillId="0" borderId="3" xfId="0" applyFont="1" applyBorder="1" applyAlignment="1">
      <alignment horizontal="center" wrapText="1"/>
    </xf>
    <xf numFmtId="4" fontId="37" fillId="0" borderId="1" xfId="0" applyNumberFormat="1" applyFont="1" applyBorder="1" applyAlignment="1">
      <alignment horizontal="center" wrapText="1"/>
    </xf>
    <xf numFmtId="4" fontId="49" fillId="0" borderId="4" xfId="0" applyNumberFormat="1" applyFont="1" applyBorder="1" applyAlignment="1">
      <alignment horizontal="center" wrapText="1"/>
    </xf>
    <xf numFmtId="4" fontId="49" fillId="0" borderId="6" xfId="0" applyNumberFormat="1" applyFont="1" applyBorder="1" applyAlignment="1">
      <alignment horizontal="center" wrapText="1"/>
    </xf>
    <xf numFmtId="4" fontId="49" fillId="0" borderId="5" xfId="0" applyNumberFormat="1" applyFont="1" applyBorder="1" applyAlignment="1">
      <alignment horizontal="center" wrapText="1"/>
    </xf>
    <xf numFmtId="49" fontId="37" fillId="0" borderId="1" xfId="0" applyNumberFormat="1" applyFont="1" applyBorder="1" applyAlignment="1">
      <alignment horizontal="left" wrapText="1"/>
    </xf>
    <xf numFmtId="0" fontId="58" fillId="8" borderId="4" xfId="0" applyFont="1" applyFill="1" applyBorder="1" applyAlignment="1">
      <alignment horizontal="center" wrapText="1"/>
    </xf>
    <xf numFmtId="0" fontId="58" fillId="8" borderId="6" xfId="0" applyFont="1" applyFill="1" applyBorder="1" applyAlignment="1">
      <alignment horizontal="center" wrapText="1"/>
    </xf>
    <xf numFmtId="0" fontId="58" fillId="8" borderId="5" xfId="0" applyFont="1" applyFill="1" applyBorder="1" applyAlignment="1">
      <alignment horizontal="center" wrapText="1"/>
    </xf>
    <xf numFmtId="4" fontId="84" fillId="0" borderId="4" xfId="0" applyNumberFormat="1" applyFont="1" applyBorder="1" applyAlignment="1">
      <alignment horizontal="center" wrapText="1"/>
    </xf>
    <xf numFmtId="4" fontId="84" fillId="0" borderId="6" xfId="0" applyNumberFormat="1" applyFont="1" applyBorder="1" applyAlignment="1">
      <alignment horizontal="center" wrapText="1"/>
    </xf>
    <xf numFmtId="4" fontId="84" fillId="0" borderId="5" xfId="0" applyNumberFormat="1" applyFont="1" applyBorder="1" applyAlignment="1">
      <alignment horizontal="center" wrapText="1"/>
    </xf>
    <xf numFmtId="0" fontId="37" fillId="0" borderId="4" xfId="0" applyFont="1" applyBorder="1" applyAlignment="1">
      <alignment horizontal="left" wrapText="1"/>
    </xf>
    <xf numFmtId="0" fontId="37" fillId="0" borderId="6" xfId="0" applyFont="1" applyBorder="1" applyAlignment="1">
      <alignment horizontal="left" wrapText="1"/>
    </xf>
    <xf numFmtId="0" fontId="37" fillId="0" borderId="5" xfId="0" applyFont="1" applyBorder="1" applyAlignment="1">
      <alignment horizontal="left" wrapText="1"/>
    </xf>
    <xf numFmtId="0" fontId="49" fillId="8" borderId="1" xfId="0" applyFont="1" applyFill="1" applyBorder="1" applyAlignment="1">
      <alignment horizontal="center" wrapText="1"/>
    </xf>
    <xf numFmtId="4" fontId="40" fillId="0" borderId="1" xfId="0" applyNumberFormat="1" applyFont="1" applyBorder="1" applyAlignment="1">
      <alignment horizontal="center" wrapText="1"/>
    </xf>
    <xf numFmtId="2" fontId="37" fillId="8" borderId="1" xfId="0" applyNumberFormat="1" applyFont="1" applyFill="1" applyBorder="1" applyAlignment="1">
      <alignment horizontal="center" wrapText="1"/>
    </xf>
    <xf numFmtId="0" fontId="49" fillId="42" borderId="2" xfId="0" applyFont="1" applyFill="1" applyBorder="1" applyAlignment="1">
      <alignment horizontal="center" wrapText="1"/>
    </xf>
    <xf numFmtId="0" fontId="49" fillId="42" borderId="3" xfId="0" applyFont="1" applyFill="1" applyBorder="1" applyAlignment="1">
      <alignment horizontal="center" wrapText="1"/>
    </xf>
    <xf numFmtId="0" fontId="37" fillId="0" borderId="3" xfId="0" applyFont="1" applyBorder="1" applyAlignment="1">
      <alignment horizontal="center" wrapText="1"/>
    </xf>
    <xf numFmtId="0" fontId="37" fillId="8" borderId="4" xfId="0" applyFont="1" applyFill="1" applyBorder="1" applyAlignment="1">
      <alignment horizontal="center" wrapText="1"/>
    </xf>
    <xf numFmtId="0" fontId="37" fillId="8" borderId="6" xfId="0" applyFont="1" applyFill="1" applyBorder="1" applyAlignment="1">
      <alignment horizontal="center" wrapText="1"/>
    </xf>
    <xf numFmtId="0" fontId="37" fillId="8" borderId="5" xfId="0" applyFont="1" applyFill="1" applyBorder="1" applyAlignment="1">
      <alignment horizontal="center" wrapText="1"/>
    </xf>
    <xf numFmtId="49" fontId="37" fillId="0" borderId="1" xfId="0" applyNumberFormat="1" applyFont="1" applyBorder="1" applyAlignment="1">
      <alignment horizontal="center" wrapText="1"/>
    </xf>
    <xf numFmtId="0" fontId="37" fillId="8" borderId="1" xfId="0" applyFont="1" applyFill="1" applyBorder="1" applyAlignment="1">
      <alignment horizontal="center" wrapText="1"/>
    </xf>
    <xf numFmtId="0" fontId="156" fillId="0" borderId="1" xfId="0" applyFont="1" applyBorder="1" applyAlignment="1">
      <alignment horizontal="center" wrapText="1"/>
    </xf>
    <xf numFmtId="167" fontId="49" fillId="0" borderId="1" xfId="1" applyFont="1" applyBorder="1" applyAlignment="1" applyProtection="1">
      <alignment horizontal="center" wrapText="1"/>
    </xf>
    <xf numFmtId="0" fontId="158" fillId="0" borderId="1" xfId="0" applyFont="1" applyBorder="1" applyAlignment="1">
      <alignment horizontal="center" wrapText="1"/>
    </xf>
    <xf numFmtId="2" fontId="37" fillId="0" borderId="2" xfId="0" applyNumberFormat="1" applyFont="1" applyBorder="1" applyAlignment="1">
      <alignment horizontal="center" wrapText="1"/>
    </xf>
    <xf numFmtId="0" fontId="40" fillId="8" borderId="1" xfId="0" applyFont="1" applyFill="1" applyBorder="1" applyAlignment="1">
      <alignment horizontal="right" wrapText="1"/>
    </xf>
    <xf numFmtId="0" fontId="40" fillId="0" borderId="1" xfId="0" applyFont="1" applyBorder="1" applyAlignment="1">
      <alignment horizontal="center" wrapText="1"/>
    </xf>
    <xf numFmtId="0" fontId="58" fillId="0" borderId="1" xfId="0" applyFont="1" applyBorder="1" applyAlignment="1">
      <alignment horizontal="center" wrapText="1"/>
    </xf>
    <xf numFmtId="4" fontId="49" fillId="0" borderId="1" xfId="0" applyNumberFormat="1" applyFont="1" applyBorder="1" applyAlignment="1">
      <alignment horizontal="center" wrapText="1"/>
    </xf>
    <xf numFmtId="167" fontId="37" fillId="0" borderId="4" xfId="1" applyFont="1" applyBorder="1" applyAlignment="1" applyProtection="1">
      <alignment horizontal="center" wrapText="1"/>
    </xf>
    <xf numFmtId="0" fontId="49" fillId="22" borderId="1" xfId="0" applyFont="1" applyFill="1" applyBorder="1" applyAlignment="1">
      <alignment horizontal="center" wrapText="1"/>
    </xf>
    <xf numFmtId="167" fontId="37" fillId="22" borderId="1" xfId="1" applyFont="1" applyFill="1" applyBorder="1" applyAlignment="1" applyProtection="1">
      <alignment horizontal="center" wrapText="1"/>
    </xf>
    <xf numFmtId="167" fontId="37" fillId="0" borderId="1" xfId="1" applyFont="1" applyBorder="1" applyAlignment="1" applyProtection="1">
      <alignment horizontal="center" wrapText="1"/>
    </xf>
    <xf numFmtId="0" fontId="37" fillId="0" borderId="7" xfId="0" applyFont="1" applyBorder="1" applyAlignment="1">
      <alignment horizontal="center" wrapText="1"/>
    </xf>
    <xf numFmtId="3" fontId="37" fillId="0" borderId="1" xfId="0" applyNumberFormat="1" applyFont="1" applyBorder="1" applyAlignment="1">
      <alignment horizontal="right" wrapText="1"/>
    </xf>
    <xf numFmtId="0" fontId="58" fillId="8" borderId="1" xfId="0" applyFont="1" applyFill="1" applyBorder="1" applyAlignment="1">
      <alignment horizontal="center" wrapText="1"/>
    </xf>
    <xf numFmtId="4" fontId="37" fillId="0" borderId="1" xfId="0" applyNumberFormat="1" applyFont="1" applyBorder="1" applyAlignment="1">
      <alignment horizontal="center" vertical="center" wrapText="1"/>
    </xf>
    <xf numFmtId="4" fontId="40" fillId="0" borderId="1" xfId="0" applyNumberFormat="1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49" fillId="22" borderId="13" xfId="0" applyFont="1" applyFill="1" applyBorder="1" applyAlignment="1">
      <alignment horizontal="center" wrapText="1"/>
    </xf>
    <xf numFmtId="0" fontId="37" fillId="0" borderId="1" xfId="0" applyFont="1" applyBorder="1" applyAlignment="1">
      <alignment horizontal="center" vertical="center" wrapText="1"/>
    </xf>
    <xf numFmtId="0" fontId="49" fillId="6" borderId="3" xfId="0" applyFont="1" applyFill="1" applyBorder="1" applyAlignment="1">
      <alignment wrapText="1"/>
    </xf>
    <xf numFmtId="0" fontId="37" fillId="4" borderId="5" xfId="0" applyFont="1" applyFill="1" applyBorder="1" applyAlignment="1">
      <alignment horizontal="right" vertical="center" wrapText="1"/>
    </xf>
    <xf numFmtId="2" fontId="37" fillId="0" borderId="5" xfId="0" applyNumberFormat="1" applyFont="1" applyBorder="1" applyAlignment="1">
      <alignment horizontal="center" wrapText="1"/>
    </xf>
    <xf numFmtId="0" fontId="37" fillId="4" borderId="1" xfId="0" applyFont="1" applyFill="1" applyBorder="1" applyAlignment="1">
      <alignment horizontal="center" vertical="center" wrapText="1"/>
    </xf>
    <xf numFmtId="0" fontId="58" fillId="4" borderId="1" xfId="0" applyFont="1" applyFill="1" applyBorder="1" applyAlignment="1">
      <alignment horizontal="center" wrapText="1"/>
    </xf>
    <xf numFmtId="0" fontId="49" fillId="8" borderId="1" xfId="0" applyFont="1" applyFill="1" applyBorder="1" applyAlignment="1">
      <alignment horizontal="center" vertical="center" wrapText="1"/>
    </xf>
    <xf numFmtId="3" fontId="37" fillId="0" borderId="1" xfId="0" applyNumberFormat="1" applyFont="1" applyBorder="1" applyAlignment="1">
      <alignment horizontal="center" wrapText="1"/>
    </xf>
    <xf numFmtId="16" fontId="37" fillId="0" borderId="1" xfId="0" applyNumberFormat="1" applyFont="1" applyBorder="1" applyAlignment="1">
      <alignment horizontal="center" wrapText="1"/>
    </xf>
    <xf numFmtId="0" fontId="37" fillId="8" borderId="1" xfId="0" applyFont="1" applyFill="1" applyBorder="1" applyAlignment="1">
      <alignment horizontal="right" wrapText="1"/>
    </xf>
    <xf numFmtId="0" fontId="49" fillId="22" borderId="3" xfId="0" applyFont="1" applyFill="1" applyBorder="1" applyAlignment="1">
      <alignment horizontal="center" wrapText="1"/>
    </xf>
    <xf numFmtId="4" fontId="37" fillId="0" borderId="2" xfId="0" applyNumberFormat="1" applyFont="1" applyBorder="1" applyAlignment="1">
      <alignment horizontal="center" wrapText="1"/>
    </xf>
    <xf numFmtId="0" fontId="40" fillId="0" borderId="1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9" fillId="8" borderId="3" xfId="0" applyFont="1" applyFill="1" applyBorder="1" applyAlignment="1">
      <alignment horizontal="center" vertical="center" wrapText="1"/>
    </xf>
    <xf numFmtId="3" fontId="58" fillId="0" borderId="1" xfId="0" applyNumberFormat="1" applyFont="1" applyBorder="1" applyAlignment="1">
      <alignment horizontal="center" wrapText="1"/>
    </xf>
    <xf numFmtId="0" fontId="49" fillId="0" borderId="5" xfId="0" applyFont="1" applyBorder="1" applyAlignment="1">
      <alignment horizontal="center" vertical="center" wrapText="1"/>
    </xf>
    <xf numFmtId="0" fontId="37" fillId="22" borderId="1" xfId="0" applyFont="1" applyFill="1" applyBorder="1" applyAlignment="1">
      <alignment horizontal="center" vertical="center" wrapText="1"/>
    </xf>
    <xf numFmtId="2" fontId="37" fillId="0" borderId="1" xfId="0" applyNumberFormat="1" applyFont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49" fillId="8" borderId="2" xfId="0" applyFont="1" applyFill="1" applyBorder="1" applyAlignment="1">
      <alignment horizontal="center" vertical="center" wrapText="1"/>
    </xf>
    <xf numFmtId="0" fontId="58" fillId="8" borderId="2" xfId="0" applyFont="1" applyFill="1" applyBorder="1" applyAlignment="1">
      <alignment horizontal="center" wrapText="1"/>
    </xf>
    <xf numFmtId="0" fontId="49" fillId="8" borderId="4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49" fillId="22" borderId="1" xfId="0" applyFont="1" applyFill="1" applyBorder="1" applyAlignment="1">
      <alignment horizontal="center" vertical="center" wrapText="1"/>
    </xf>
    <xf numFmtId="167" fontId="38" fillId="0" borderId="7" xfId="1" applyFont="1" applyBorder="1" applyAlignment="1" applyProtection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wrapText="1"/>
    </xf>
    <xf numFmtId="0" fontId="37" fillId="0" borderId="5" xfId="0" applyFont="1" applyBorder="1" applyAlignment="1">
      <alignment horizontal="center" vertical="center" wrapText="1"/>
    </xf>
    <xf numFmtId="49" fontId="58" fillId="0" borderId="1" xfId="0" applyNumberFormat="1" applyFont="1" applyBorder="1" applyAlignment="1">
      <alignment horizontal="center" vertical="center" wrapText="1"/>
    </xf>
    <xf numFmtId="49" fontId="49" fillId="0" borderId="2" xfId="0" applyNumberFormat="1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wrapText="1"/>
    </xf>
    <xf numFmtId="0" fontId="49" fillId="0" borderId="6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49" fontId="37" fillId="0" borderId="13" xfId="0" applyNumberFormat="1" applyFont="1" applyBorder="1" applyAlignment="1">
      <alignment horizontal="center" vertical="center" wrapText="1"/>
    </xf>
    <xf numFmtId="49" fontId="37" fillId="0" borderId="5" xfId="0" applyNumberFormat="1" applyFont="1" applyBorder="1" applyAlignment="1">
      <alignment horizontal="center" vertical="center" wrapText="1"/>
    </xf>
    <xf numFmtId="0" fontId="49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4" fontId="37" fillId="0" borderId="4" xfId="0" applyNumberFormat="1" applyFont="1" applyBorder="1" applyAlignment="1">
      <alignment horizontal="center" vertical="center" wrapText="1"/>
    </xf>
    <xf numFmtId="0" fontId="40" fillId="4" borderId="4" xfId="0" applyFont="1" applyFill="1" applyBorder="1" applyAlignment="1">
      <alignment horizontal="center" wrapText="1"/>
    </xf>
    <xf numFmtId="0" fontId="58" fillId="0" borderId="4" xfId="0" applyFont="1" applyBorder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3" fontId="49" fillId="0" borderId="1" xfId="0" applyNumberFormat="1" applyFont="1" applyBorder="1" applyAlignment="1">
      <alignment horizontal="center" vertical="center" wrapText="1"/>
    </xf>
    <xf numFmtId="0" fontId="37" fillId="28" borderId="1" xfId="0" applyFont="1" applyFill="1" applyBorder="1" applyAlignment="1">
      <alignment horizontal="center" wrapText="1"/>
    </xf>
    <xf numFmtId="14" fontId="37" fillId="0" borderId="1" xfId="0" applyNumberFormat="1" applyFont="1" applyBorder="1" applyAlignment="1">
      <alignment horizontal="center" vertical="center" wrapText="1"/>
    </xf>
    <xf numFmtId="0" fontId="49" fillId="4" borderId="1" xfId="0" applyFont="1" applyFill="1" applyBorder="1" applyAlignment="1">
      <alignment horizontal="center" vertical="center" wrapText="1"/>
    </xf>
    <xf numFmtId="0" fontId="58" fillId="8" borderId="1" xfId="0" applyFont="1" applyFill="1" applyBorder="1" applyAlignment="1">
      <alignment horizontal="center" vertical="center" wrapText="1"/>
    </xf>
    <xf numFmtId="0" fontId="138" fillId="8" borderId="1" xfId="0" applyFont="1" applyFill="1" applyBorder="1" applyAlignment="1">
      <alignment horizontal="center" wrapText="1"/>
    </xf>
    <xf numFmtId="3" fontId="37" fillId="8" borderId="1" xfId="0" applyNumberFormat="1" applyFont="1" applyFill="1" applyBorder="1" applyAlignment="1">
      <alignment horizontal="center" wrapText="1"/>
    </xf>
    <xf numFmtId="3" fontId="40" fillId="8" borderId="1" xfId="0" applyNumberFormat="1" applyFont="1" applyFill="1" applyBorder="1" applyAlignment="1">
      <alignment horizontal="center" wrapText="1"/>
    </xf>
    <xf numFmtId="3" fontId="49" fillId="8" borderId="1" xfId="0" applyNumberFormat="1" applyFont="1" applyFill="1" applyBorder="1" applyAlignment="1">
      <alignment horizontal="center" wrapText="1"/>
    </xf>
    <xf numFmtId="3" fontId="37" fillId="0" borderId="1" xfId="0" applyNumberFormat="1" applyFont="1" applyBorder="1" applyAlignment="1">
      <alignment horizontal="center" vertical="center" wrapText="1"/>
    </xf>
    <xf numFmtId="3" fontId="37" fillId="8" borderId="1" xfId="0" applyNumberFormat="1" applyFont="1" applyFill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center" wrapText="1"/>
    </xf>
    <xf numFmtId="2" fontId="37" fillId="0" borderId="1" xfId="0" applyNumberFormat="1" applyFont="1" applyBorder="1" applyAlignment="1">
      <alignment horizontal="center" wrapText="1"/>
    </xf>
    <xf numFmtId="4" fontId="37" fillId="8" borderId="1" xfId="0" applyNumberFormat="1" applyFont="1" applyFill="1" applyBorder="1" applyAlignment="1">
      <alignment horizontal="center" wrapText="1"/>
    </xf>
    <xf numFmtId="4" fontId="58" fillId="8" borderId="1" xfId="0" applyNumberFormat="1" applyFont="1" applyFill="1" applyBorder="1" applyAlignment="1">
      <alignment horizontal="center" wrapText="1"/>
    </xf>
    <xf numFmtId="14" fontId="37" fillId="8" borderId="1" xfId="0" applyNumberFormat="1" applyFont="1" applyFill="1" applyBorder="1" applyAlignment="1">
      <alignment horizontal="center" wrapText="1"/>
    </xf>
    <xf numFmtId="4" fontId="37" fillId="8" borderId="1" xfId="0" applyNumberFormat="1" applyFont="1" applyFill="1" applyBorder="1" applyAlignment="1">
      <alignment horizontal="center" vertical="center" wrapText="1"/>
    </xf>
    <xf numFmtId="3" fontId="49" fillId="8" borderId="1" xfId="0" applyNumberFormat="1" applyFont="1" applyFill="1" applyBorder="1" applyAlignment="1">
      <alignment horizontal="center" vertical="center" wrapText="1"/>
    </xf>
    <xf numFmtId="4" fontId="40" fillId="8" borderId="1" xfId="0" applyNumberFormat="1" applyFont="1" applyFill="1" applyBorder="1" applyAlignment="1">
      <alignment horizontal="center" wrapText="1"/>
    </xf>
    <xf numFmtId="0" fontId="49" fillId="10" borderId="1" xfId="0" applyFont="1" applyFill="1" applyBorder="1" applyAlignment="1">
      <alignment horizontal="center" wrapText="1"/>
    </xf>
    <xf numFmtId="0" fontId="124" fillId="10" borderId="1" xfId="0" applyFont="1" applyFill="1" applyBorder="1" applyAlignment="1">
      <alignment horizontal="center" wrapText="1"/>
    </xf>
    <xf numFmtId="0" fontId="37" fillId="10" borderId="1" xfId="0" applyFont="1" applyFill="1" applyBorder="1" applyAlignment="1">
      <alignment horizontal="center" wrapText="1"/>
    </xf>
    <xf numFmtId="0" fontId="49" fillId="8" borderId="1" xfId="0" applyFont="1" applyFill="1" applyBorder="1" applyAlignment="1">
      <alignment horizontal="left" wrapText="1"/>
    </xf>
    <xf numFmtId="0" fontId="124" fillId="6" borderId="1" xfId="0" applyFont="1" applyFill="1" applyBorder="1" applyAlignment="1">
      <alignment horizontal="center" vertical="center" wrapText="1"/>
    </xf>
    <xf numFmtId="49" fontId="37" fillId="8" borderId="1" xfId="0" applyNumberFormat="1" applyFont="1" applyFill="1" applyBorder="1" applyAlignment="1">
      <alignment horizontal="center" wrapText="1"/>
    </xf>
    <xf numFmtId="164" fontId="49" fillId="8" borderId="1" xfId="0" applyNumberFormat="1" applyFont="1" applyFill="1" applyBorder="1" applyAlignment="1">
      <alignment horizontal="center" wrapText="1"/>
    </xf>
    <xf numFmtId="4" fontId="37" fillId="8" borderId="4" xfId="0" applyNumberFormat="1" applyFont="1" applyFill="1" applyBorder="1" applyAlignment="1">
      <alignment horizontal="center" vertical="center" wrapText="1"/>
    </xf>
    <xf numFmtId="14" fontId="49" fillId="8" borderId="1" xfId="0" applyNumberFormat="1" applyFont="1" applyFill="1" applyBorder="1" applyAlignment="1">
      <alignment horizontal="center" wrapText="1"/>
    </xf>
    <xf numFmtId="0" fontId="49" fillId="23" borderId="1" xfId="0" applyFont="1" applyFill="1" applyBorder="1" applyAlignment="1">
      <alignment horizontal="left" wrapText="1"/>
    </xf>
    <xf numFmtId="0" fontId="49" fillId="13" borderId="1" xfId="0" applyFont="1" applyFill="1" applyBorder="1" applyAlignment="1">
      <alignment horizontal="left" wrapText="1"/>
    </xf>
    <xf numFmtId="0" fontId="40" fillId="8" borderId="4" xfId="0" applyFont="1" applyFill="1" applyBorder="1" applyAlignment="1">
      <alignment horizontal="center" wrapText="1"/>
    </xf>
    <xf numFmtId="164" fontId="49" fillId="6" borderId="1" xfId="0" applyNumberFormat="1" applyFont="1" applyFill="1" applyBorder="1" applyAlignment="1">
      <alignment horizontal="center" wrapText="1"/>
    </xf>
    <xf numFmtId="0" fontId="49" fillId="0" borderId="1" xfId="0" applyFont="1" applyBorder="1" applyAlignment="1">
      <alignment horizontal="left" wrapText="1"/>
    </xf>
    <xf numFmtId="0" fontId="49" fillId="6" borderId="1" xfId="0" applyFont="1" applyFill="1" applyBorder="1" applyAlignment="1">
      <alignment horizontal="center" wrapText="1"/>
    </xf>
    <xf numFmtId="0" fontId="88" fillId="8" borderId="1" xfId="0" applyFont="1" applyFill="1" applyBorder="1" applyAlignment="1">
      <alignment horizontal="left" wrapText="1"/>
    </xf>
    <xf numFmtId="0" fontId="49" fillId="8" borderId="4" xfId="0" applyFont="1" applyFill="1" applyBorder="1" applyAlignment="1">
      <alignment horizontal="left" wrapText="1"/>
    </xf>
    <xf numFmtId="164" fontId="49" fillId="8" borderId="4" xfId="0" applyNumberFormat="1" applyFont="1" applyFill="1" applyBorder="1" applyAlignment="1">
      <alignment horizontal="center" wrapText="1"/>
    </xf>
    <xf numFmtId="0" fontId="37" fillId="4" borderId="4" xfId="0" applyFont="1" applyFill="1" applyBorder="1" applyAlignment="1">
      <alignment horizontal="center" wrapText="1"/>
    </xf>
    <xf numFmtId="0" fontId="49" fillId="0" borderId="4" xfId="0" applyFont="1" applyBorder="1" applyAlignment="1">
      <alignment horizontal="left" wrapText="1"/>
    </xf>
    <xf numFmtId="0" fontId="37" fillId="0" borderId="3" xfId="0" applyFont="1" applyBorder="1" applyAlignment="1">
      <alignment horizontal="right" wrapText="1"/>
    </xf>
    <xf numFmtId="0" fontId="49" fillId="4" borderId="1" xfId="0" applyFont="1" applyFill="1" applyBorder="1" applyAlignment="1">
      <alignment horizontal="center" wrapText="1"/>
    </xf>
    <xf numFmtId="4" fontId="37" fillId="8" borderId="1" xfId="0" applyNumberFormat="1" applyFont="1" applyFill="1" applyBorder="1" applyAlignment="1">
      <alignment horizontal="right" wrapText="1"/>
    </xf>
    <xf numFmtId="4" fontId="58" fillId="0" borderId="1" xfId="0" applyNumberFormat="1" applyFont="1" applyBorder="1" applyAlignment="1">
      <alignment horizontal="center" wrapText="1"/>
    </xf>
    <xf numFmtId="49" fontId="49" fillId="0" borderId="1" xfId="0" applyNumberFormat="1" applyFont="1" applyBorder="1" applyAlignment="1">
      <alignment horizontal="center" wrapText="1"/>
    </xf>
    <xf numFmtId="0" fontId="49" fillId="8" borderId="17" xfId="0" applyFont="1" applyFill="1" applyBorder="1" applyAlignment="1">
      <alignment horizontal="center" wrapText="1"/>
    </xf>
    <xf numFmtId="0" fontId="49" fillId="8" borderId="30" xfId="0" applyFont="1" applyFill="1" applyBorder="1" applyAlignment="1">
      <alignment horizontal="center" wrapText="1"/>
    </xf>
    <xf numFmtId="0" fontId="49" fillId="4" borderId="1" xfId="0" applyFont="1" applyFill="1" applyBorder="1" applyAlignment="1">
      <alignment horizontal="left" wrapText="1"/>
    </xf>
    <xf numFmtId="0" fontId="49" fillId="5" borderId="1" xfId="0" applyFont="1" applyFill="1" applyBorder="1" applyAlignment="1">
      <alignment horizontal="left" wrapText="1"/>
    </xf>
    <xf numFmtId="0" fontId="186" fillId="0" borderId="0" xfId="0" applyFont="1" applyAlignment="1">
      <alignment horizontal="left" wrapText="1"/>
    </xf>
    <xf numFmtId="0" fontId="49" fillId="22" borderId="18" xfId="0" applyFont="1" applyFill="1" applyBorder="1" applyAlignment="1">
      <alignment horizontal="center" wrapText="1"/>
    </xf>
    <xf numFmtId="2" fontId="49" fillId="8" borderId="1" xfId="0" applyNumberFormat="1" applyFont="1" applyFill="1" applyBorder="1" applyAlignment="1">
      <alignment horizontal="right" wrapText="1"/>
    </xf>
    <xf numFmtId="2" fontId="58" fillId="8" borderId="1" xfId="0" applyNumberFormat="1" applyFont="1" applyFill="1" applyBorder="1" applyAlignment="1">
      <alignment horizontal="center" wrapText="1"/>
    </xf>
    <xf numFmtId="0" fontId="37" fillId="0" borderId="1" xfId="0" applyFont="1" applyBorder="1" applyAlignment="1">
      <alignment horizontal="left" wrapText="1"/>
    </xf>
    <xf numFmtId="0" fontId="49" fillId="26" borderId="1" xfId="0" applyFont="1" applyFill="1" applyBorder="1" applyAlignment="1">
      <alignment horizontal="center" vertical="center" wrapText="1"/>
    </xf>
    <xf numFmtId="14" fontId="49" fillId="8" borderId="1" xfId="0" applyNumberFormat="1" applyFont="1" applyFill="1" applyBorder="1" applyAlignment="1">
      <alignment horizontal="center" vertical="center" wrapText="1"/>
    </xf>
    <xf numFmtId="49" fontId="49" fillId="8" borderId="1" xfId="0" applyNumberFormat="1" applyFont="1" applyFill="1" applyBorder="1" applyAlignment="1">
      <alignment horizontal="center" vertical="center" wrapText="1"/>
    </xf>
    <xf numFmtId="0" fontId="134" fillId="0" borderId="1" xfId="0" applyFont="1" applyBorder="1" applyAlignment="1">
      <alignment horizontal="center" vertical="center" wrapText="1"/>
    </xf>
    <xf numFmtId="14" fontId="49" fillId="0" borderId="1" xfId="0" applyNumberFormat="1" applyFont="1" applyBorder="1" applyAlignment="1">
      <alignment horizontal="center" wrapText="1"/>
    </xf>
    <xf numFmtId="4" fontId="49" fillId="4" borderId="1" xfId="0" applyNumberFormat="1" applyFont="1" applyFill="1" applyBorder="1" applyAlignment="1">
      <alignment horizontal="center" wrapText="1"/>
    </xf>
    <xf numFmtId="49" fontId="37" fillId="0" borderId="4" xfId="0" applyNumberFormat="1" applyFont="1" applyBorder="1" applyAlignment="1">
      <alignment horizontal="center" wrapText="1"/>
    </xf>
    <xf numFmtId="0" fontId="37" fillId="8" borderId="2" xfId="0" applyFont="1" applyFill="1" applyBorder="1" applyAlignment="1">
      <alignment horizontal="center" wrapText="1"/>
    </xf>
    <xf numFmtId="0" fontId="49" fillId="22" borderId="2" xfId="0" applyFont="1" applyFill="1" applyBorder="1" applyAlignment="1">
      <alignment wrapText="1"/>
    </xf>
    <xf numFmtId="4" fontId="37" fillId="0" borderId="10" xfId="0" applyNumberFormat="1" applyFont="1" applyBorder="1" applyAlignment="1">
      <alignment horizontal="center" wrapText="1"/>
    </xf>
    <xf numFmtId="0" fontId="124" fillId="0" borderId="1" xfId="0" applyFont="1" applyBorder="1" applyAlignment="1">
      <alignment horizontal="center" wrapText="1"/>
    </xf>
    <xf numFmtId="0" fontId="49" fillId="8" borderId="6" xfId="0" applyFont="1" applyFill="1" applyBorder="1" applyAlignment="1">
      <alignment horizontal="center" vertical="center" wrapText="1"/>
    </xf>
    <xf numFmtId="3" fontId="49" fillId="29" borderId="4" xfId="0" applyNumberFormat="1" applyFont="1" applyFill="1" applyBorder="1" applyAlignment="1">
      <alignment horizontal="center" wrapText="1"/>
    </xf>
    <xf numFmtId="3" fontId="49" fillId="29" borderId="5" xfId="0" applyNumberFormat="1" applyFont="1" applyFill="1" applyBorder="1" applyAlignment="1">
      <alignment horizontal="center" wrapText="1"/>
    </xf>
    <xf numFmtId="0" fontId="123" fillId="8" borderId="4" xfId="0" applyFont="1" applyFill="1" applyBorder="1" applyAlignment="1">
      <alignment horizontal="center" wrapText="1"/>
    </xf>
    <xf numFmtId="0" fontId="123" fillId="8" borderId="5" xfId="0" applyFont="1" applyFill="1" applyBorder="1" applyAlignment="1">
      <alignment horizontal="center" wrapText="1"/>
    </xf>
    <xf numFmtId="0" fontId="37" fillId="0" borderId="2" xfId="0" applyFont="1" applyBorder="1" applyAlignment="1">
      <alignment horizontal="center" wrapText="1"/>
    </xf>
    <xf numFmtId="3" fontId="84" fillId="8" borderId="2" xfId="0" applyNumberFormat="1" applyFont="1" applyFill="1" applyBorder="1" applyAlignment="1">
      <alignment horizontal="center" wrapText="1"/>
    </xf>
    <xf numFmtId="3" fontId="84" fillId="8" borderId="3" xfId="0" applyNumberFormat="1" applyFont="1" applyFill="1" applyBorder="1" applyAlignment="1">
      <alignment horizontal="center" wrapText="1"/>
    </xf>
    <xf numFmtId="14" fontId="37" fillId="0" borderId="4" xfId="0" applyNumberFormat="1" applyFont="1" applyBorder="1" applyAlignment="1">
      <alignment horizontal="center" wrapText="1"/>
    </xf>
    <xf numFmtId="0" fontId="83" fillId="0" borderId="4" xfId="0" applyFont="1" applyBorder="1" applyAlignment="1">
      <alignment horizontal="center" wrapText="1"/>
    </xf>
    <xf numFmtId="0" fontId="83" fillId="0" borderId="6" xfId="0" applyFont="1" applyBorder="1" applyAlignment="1">
      <alignment horizontal="center" wrapText="1"/>
    </xf>
    <xf numFmtId="0" fontId="83" fillId="0" borderId="5" xfId="0" applyFont="1" applyBorder="1" applyAlignment="1">
      <alignment horizontal="center" wrapText="1"/>
    </xf>
    <xf numFmtId="0" fontId="40" fillId="0" borderId="9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175" fillId="0" borderId="4" xfId="0" applyFont="1" applyBorder="1" applyAlignment="1">
      <alignment horizontal="center" wrapText="1"/>
    </xf>
    <xf numFmtId="0" fontId="175" fillId="0" borderId="5" xfId="0" applyFont="1" applyBorder="1" applyAlignment="1">
      <alignment horizontal="center" wrapText="1"/>
    </xf>
    <xf numFmtId="0" fontId="37" fillId="43" borderId="4" xfId="0" applyFont="1" applyFill="1" applyBorder="1" applyAlignment="1">
      <alignment horizontal="center" wrapText="1"/>
    </xf>
    <xf numFmtId="0" fontId="37" fillId="43" borderId="5" xfId="0" applyFont="1" applyFill="1" applyBorder="1" applyAlignment="1">
      <alignment horizontal="center" wrapText="1"/>
    </xf>
    <xf numFmtId="0" fontId="51" fillId="0" borderId="6" xfId="0" applyFont="1" applyBorder="1" applyAlignment="1">
      <alignment horizontal="center" wrapText="1"/>
    </xf>
    <xf numFmtId="0" fontId="49" fillId="30" borderId="4" xfId="0" applyFont="1" applyFill="1" applyBorder="1" applyAlignment="1">
      <alignment horizontal="center" wrapText="1"/>
    </xf>
    <xf numFmtId="0" fontId="49" fillId="30" borderId="5" xfId="0" applyFont="1" applyFill="1" applyBorder="1" applyAlignment="1">
      <alignment horizontal="center" wrapText="1"/>
    </xf>
    <xf numFmtId="0" fontId="37" fillId="8" borderId="4" xfId="0" applyFont="1" applyFill="1" applyBorder="1" applyAlignment="1">
      <alignment horizontal="right" wrapText="1"/>
    </xf>
    <xf numFmtId="0" fontId="37" fillId="8" borderId="6" xfId="0" applyFont="1" applyFill="1" applyBorder="1" applyAlignment="1">
      <alignment horizontal="right" wrapText="1"/>
    </xf>
    <xf numFmtId="0" fontId="37" fillId="8" borderId="5" xfId="0" applyFont="1" applyFill="1" applyBorder="1" applyAlignment="1">
      <alignment horizontal="right" wrapText="1"/>
    </xf>
    <xf numFmtId="0" fontId="51" fillId="0" borderId="4" xfId="0" applyFont="1" applyBorder="1" applyAlignment="1">
      <alignment horizontal="left" wrapText="1"/>
    </xf>
    <xf numFmtId="0" fontId="51" fillId="0" borderId="5" xfId="0" applyFont="1" applyBorder="1" applyAlignment="1">
      <alignment horizontal="left" wrapText="1"/>
    </xf>
    <xf numFmtId="3" fontId="37" fillId="30" borderId="9" xfId="0" applyNumberFormat="1" applyFont="1" applyFill="1" applyBorder="1" applyAlignment="1">
      <alignment horizontal="center" wrapText="1"/>
    </xf>
    <xf numFmtId="0" fontId="37" fillId="30" borderId="0" xfId="0" applyFont="1" applyFill="1" applyAlignment="1">
      <alignment horizontal="center" wrapText="1"/>
    </xf>
    <xf numFmtId="0" fontId="49" fillId="8" borderId="6" xfId="0" applyFont="1" applyFill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14" fontId="163" fillId="0" borderId="4" xfId="0" applyNumberFormat="1" applyFont="1" applyBorder="1" applyAlignment="1">
      <alignment horizontal="center" wrapText="1"/>
    </xf>
    <xf numFmtId="14" fontId="163" fillId="0" borderId="5" xfId="0" applyNumberFormat="1" applyFont="1" applyBorder="1" applyAlignment="1">
      <alignment horizontal="center" wrapText="1"/>
    </xf>
    <xf numFmtId="0" fontId="166" fillId="0" borderId="4" xfId="0" applyFont="1" applyBorder="1" applyAlignment="1">
      <alignment horizontal="center" wrapText="1"/>
    </xf>
    <xf numFmtId="0" fontId="166" fillId="0" borderId="5" xfId="0" applyFont="1" applyBorder="1" applyAlignment="1">
      <alignment horizontal="center" wrapText="1"/>
    </xf>
    <xf numFmtId="0" fontId="163" fillId="0" borderId="5" xfId="0" applyFont="1" applyBorder="1" applyAlignment="1">
      <alignment horizontal="left" wrapText="1"/>
    </xf>
    <xf numFmtId="0" fontId="49" fillId="0" borderId="4" xfId="0" applyFont="1" applyFill="1" applyBorder="1" applyAlignment="1">
      <alignment horizontal="center" wrapText="1"/>
    </xf>
    <xf numFmtId="0" fontId="49" fillId="0" borderId="6" xfId="0" applyFont="1" applyFill="1" applyBorder="1" applyAlignment="1">
      <alignment horizontal="center" wrapText="1"/>
    </xf>
    <xf numFmtId="0" fontId="49" fillId="0" borderId="5" xfId="0" applyFont="1" applyFill="1" applyBorder="1" applyAlignment="1">
      <alignment horizontal="center" wrapText="1"/>
    </xf>
    <xf numFmtId="2" fontId="37" fillId="0" borderId="33" xfId="0" applyNumberFormat="1" applyFont="1" applyBorder="1" applyAlignment="1">
      <alignment horizontal="center" wrapText="1"/>
    </xf>
    <xf numFmtId="2" fontId="37" fillId="0" borderId="32" xfId="0" applyNumberFormat="1" applyFont="1" applyBorder="1" applyAlignment="1">
      <alignment horizontal="center" wrapText="1"/>
    </xf>
    <xf numFmtId="4" fontId="194" fillId="0" borderId="21" xfId="0" applyNumberFormat="1" applyFont="1" applyBorder="1" applyAlignment="1">
      <alignment vertical="center" wrapText="1"/>
    </xf>
    <xf numFmtId="4" fontId="194" fillId="0" borderId="23" xfId="0" applyNumberFormat="1" applyFont="1" applyBorder="1" applyAlignment="1">
      <alignment vertical="center" wrapText="1"/>
    </xf>
    <xf numFmtId="4" fontId="194" fillId="0" borderId="22" xfId="0" applyNumberFormat="1" applyFont="1" applyBorder="1" applyAlignment="1">
      <alignment vertical="center" wrapText="1"/>
    </xf>
    <xf numFmtId="0" fontId="8" fillId="29" borderId="1" xfId="0" applyFont="1" applyFill="1" applyBorder="1" applyAlignment="1">
      <alignment wrapText="1"/>
    </xf>
  </cellXfs>
  <cellStyles count="39">
    <cellStyle name="20% - Акцент1" xfId="2"/>
    <cellStyle name="20% — акцент1" xfId="8"/>
    <cellStyle name="20% - Акцент2" xfId="3"/>
    <cellStyle name="20% — акцент2" xfId="9"/>
    <cellStyle name="20% - Акцент3" xfId="4"/>
    <cellStyle name="20% — акцент3" xfId="10"/>
    <cellStyle name="20% - Акцент4" xfId="5"/>
    <cellStyle name="20% — акцент4" xfId="11"/>
    <cellStyle name="20% - Акцент5" xfId="6"/>
    <cellStyle name="20% — акцент5" xfId="12"/>
    <cellStyle name="20% - Акцент6" xfId="7"/>
    <cellStyle name="20% — акцент6" xfId="13"/>
    <cellStyle name="40% - Акцент1" xfId="14"/>
    <cellStyle name="40% — акцент1" xfId="20"/>
    <cellStyle name="40% - Акцент2" xfId="15"/>
    <cellStyle name="40% — акцент2" xfId="21"/>
    <cellStyle name="40% - Акцент3" xfId="16"/>
    <cellStyle name="40% — акцент3" xfId="22"/>
    <cellStyle name="40% - Акцент4" xfId="17"/>
    <cellStyle name="40% — акцент4" xfId="23"/>
    <cellStyle name="40% - Акцент5" xfId="18"/>
    <cellStyle name="40% — акцент5" xfId="24"/>
    <cellStyle name="40% - Акцент6" xfId="19"/>
    <cellStyle name="40% — акцент6" xfId="25"/>
    <cellStyle name="60% - Акцент1" xfId="26"/>
    <cellStyle name="60% — акцент1" xfId="32"/>
    <cellStyle name="60% - Акцент2" xfId="27"/>
    <cellStyle name="60% — акцент2" xfId="33"/>
    <cellStyle name="60% - Акцент3" xfId="28"/>
    <cellStyle name="60% — акцент3" xfId="34"/>
    <cellStyle name="60% - Акцент4" xfId="29"/>
    <cellStyle name="60% — акцент4" xfId="35"/>
    <cellStyle name="60% - Акцент5" xfId="30"/>
    <cellStyle name="60% — акцент5" xfId="36"/>
    <cellStyle name="60% - Акцент6" xfId="31"/>
    <cellStyle name="60% — акцент6" xfId="37"/>
    <cellStyle name="Денежный" xfId="1" builtinId="4"/>
    <cellStyle name="Обычный" xfId="0" builtinId="0"/>
    <cellStyle name="Обычный 2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5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ТО!$B$443:$B$445</c:f>
              <c:strCache>
                <c:ptCount val="3"/>
                <c:pt idx="0">
                  <c:v>2023 год</c:v>
                </c:pt>
                <c:pt idx="1">
                  <c:v>НИУ ВШЭ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ТО!$B$446:$B$488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0-778A-4C21-9307-BCA765058D93}"/>
            </c:ext>
          </c:extLst>
        </c:ser>
        <c:ser>
          <c:idx val="1"/>
          <c:order val="1"/>
          <c:tx>
            <c:strRef>
              <c:f>ТО!$C$443:$C$445</c:f>
              <c:strCache>
                <c:ptCount val="3"/>
                <c:pt idx="0">
                  <c:v>2023 год</c:v>
                </c:pt>
                <c:pt idx="1">
                  <c:v>Ремонт трех лифтов (зав. №exsu04495nj, № exsu04498nj,                                 № exsu04497nj) в здании НИУ ВШЭ   по адресу: г.Москва, ул.Таллинская дом 34</c:v>
                </c:pt>
                <c:pt idx="2">
                  <c:v>Замена блока питания МN9 24В/10А Thessen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ТО!$C$446:$C$488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1-778A-4C21-9307-BCA765058D93}"/>
            </c:ext>
          </c:extLst>
        </c:ser>
        <c:ser>
          <c:idx val="2"/>
          <c:order val="2"/>
          <c:tx>
            <c:strRef>
              <c:f>ТО!$D$443:$D$445</c:f>
              <c:strCache>
                <c:ptCount val="3"/>
                <c:pt idx="0">
                  <c:v>2023 год</c:v>
                </c:pt>
                <c:pt idx="1">
                  <c:v>№ 6.12-21/04.11-301122-2 от 30.11.2022              ДС №1  о 10.01.23</c:v>
                </c:pt>
                <c:pt idx="2">
                  <c:v>Замена блока питания МN9 24В/10А Thessen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ТО!$D$446:$D$488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2-778A-4C21-9307-BCA765058D93}"/>
            </c:ext>
          </c:extLst>
        </c:ser>
        <c:ser>
          <c:idx val="3"/>
          <c:order val="3"/>
          <c:tx>
            <c:strRef>
              <c:f>ТО!$E$443:$E$445</c:f>
              <c:strCache>
                <c:ptCount val="3"/>
                <c:pt idx="0">
                  <c:v>2023 год</c:v>
                </c:pt>
                <c:pt idx="1">
                  <c:v>№ 6.12-21/04.11-301122-2 от 30.11.2022              ДС №1  о 10.01.23</c:v>
                </c:pt>
                <c:pt idx="2">
                  <c:v>Замена блока питания МN9 24В/10А Thessen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ТО!$E$446:$E$488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3-778A-4C21-9307-BCA765058D93}"/>
            </c:ext>
          </c:extLst>
        </c:ser>
        <c:ser>
          <c:idx val="4"/>
          <c:order val="4"/>
          <c:tx>
            <c:strRef>
              <c:f>ТО!$F$443:$F$445</c:f>
              <c:strCache>
                <c:ptCount val="3"/>
                <c:pt idx="0">
                  <c:v>2023 год</c:v>
                </c:pt>
                <c:pt idx="1">
                  <c:v>996 249,00</c:v>
                </c:pt>
                <c:pt idx="2">
                  <c:v>130 000,00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ТО!$F$446:$F$488</c:f>
              <c:numCache>
                <c:formatCode>#,##0</c:formatCode>
                <c:ptCount val="43"/>
                <c:pt idx="0" formatCode="General">
                  <c:v>10800</c:v>
                </c:pt>
                <c:pt idx="1">
                  <c:v>7560000</c:v>
                </c:pt>
                <c:pt idx="3" formatCode="#,##0.00">
                  <c:v>0</c:v>
                </c:pt>
                <c:pt idx="4">
                  <c:v>0</c:v>
                </c:pt>
                <c:pt idx="5" formatCode="General">
                  <c:v>15000</c:v>
                </c:pt>
                <c:pt idx="6" formatCode="#,##0.00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#,##0.00">
                  <c:v>232496.13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71427</c:v>
                </c:pt>
                <c:pt idx="14" formatCode="General">
                  <c:v>74360</c:v>
                </c:pt>
                <c:pt idx="15" formatCode="#,##0.00">
                  <c:v>0</c:v>
                </c:pt>
                <c:pt idx="16" formatCode="General">
                  <c:v>0</c:v>
                </c:pt>
                <c:pt idx="17" formatCode="#,##0.00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4500000</c:v>
                </c:pt>
                <c:pt idx="24">
                  <c:v>7200000</c:v>
                </c:pt>
                <c:pt idx="25" formatCode="General">
                  <c:v>10800</c:v>
                </c:pt>
                <c:pt idx="26" formatCode="General">
                  <c:v>0</c:v>
                </c:pt>
                <c:pt idx="27" formatCode="#,##0.00">
                  <c:v>0</c:v>
                </c:pt>
                <c:pt idx="28" formatCode="General">
                  <c:v>0</c:v>
                </c:pt>
                <c:pt idx="29" formatCode="#,##0.00">
                  <c:v>0</c:v>
                </c:pt>
                <c:pt idx="30" formatCode="General">
                  <c:v>0</c:v>
                </c:pt>
                <c:pt idx="31" formatCode="#,##0.00">
                  <c:v>400078.15</c:v>
                </c:pt>
                <c:pt idx="33" formatCode="#,##0.00">
                  <c:v>67798.55</c:v>
                </c:pt>
                <c:pt idx="34" formatCode="General">
                  <c:v>15000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#,##0.00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4-778A-4C21-9307-BCA765058D93}"/>
            </c:ext>
          </c:extLst>
        </c:ser>
        <c:ser>
          <c:idx val="5"/>
          <c:order val="5"/>
          <c:tx>
            <c:strRef>
              <c:f>ТО!$G$443:$G$445</c:f>
              <c:strCache>
                <c:ptCount val="3"/>
                <c:pt idx="0">
                  <c:v>2023 год</c:v>
                </c:pt>
                <c:pt idx="1">
                  <c:v>996 249,00</c:v>
                </c:pt>
                <c:pt idx="2">
                  <c:v>130 000,00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ТО!$G$446:$G$488</c:f>
              <c:numCache>
                <c:formatCode>d\-mmm</c:formatCode>
                <c:ptCount val="43"/>
                <c:pt idx="0">
                  <c:v>0</c:v>
                </c:pt>
                <c:pt idx="4" formatCode="#,##0">
                  <c:v>0</c:v>
                </c:pt>
                <c:pt idx="6" formatCode="@">
                  <c:v>0</c:v>
                </c:pt>
                <c:pt idx="7" formatCode="@">
                  <c:v>0</c:v>
                </c:pt>
                <c:pt idx="15" formatCode="@">
                  <c:v>0</c:v>
                </c:pt>
                <c:pt idx="16" formatCode="@">
                  <c:v>0</c:v>
                </c:pt>
                <c:pt idx="19" formatCode="General">
                  <c:v>0</c:v>
                </c:pt>
                <c:pt idx="20" formatCode="@">
                  <c:v>0</c:v>
                </c:pt>
                <c:pt idx="25">
                  <c:v>0</c:v>
                </c:pt>
                <c:pt idx="27" formatCode="@">
                  <c:v>0</c:v>
                </c:pt>
                <c:pt idx="28" formatCode="@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@">
                  <c:v>0</c:v>
                </c:pt>
                <c:pt idx="42" formatCode="General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5-778A-4C21-9307-BCA765058D93}"/>
            </c:ext>
          </c:extLst>
        </c:ser>
        <c:ser>
          <c:idx val="6"/>
          <c:order val="6"/>
          <c:tx>
            <c:strRef>
              <c:f>ТО!$H$443:$H$445</c:f>
              <c:strCache>
                <c:ptCount val="3"/>
                <c:pt idx="0">
                  <c:v>2023 год</c:v>
                </c:pt>
                <c:pt idx="1">
                  <c:v>996249,00</c:v>
                </c:pt>
                <c:pt idx="2">
                  <c:v>130000,00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ТО!$H$446:$H$488</c:f>
              <c:numCache>
                <c:formatCode>@</c:formatCode>
                <c:ptCount val="43"/>
                <c:pt idx="0" formatCode="d\-mmm">
                  <c:v>0</c:v>
                </c:pt>
                <c:pt idx="1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 formatCode="General">
                  <c:v>71427</c:v>
                </c:pt>
                <c:pt idx="14" formatCode="General">
                  <c:v>74360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General">
                  <c:v>400078.15</c:v>
                </c:pt>
                <c:pt idx="32" formatCode="General">
                  <c:v>594741.61</c:v>
                </c:pt>
                <c:pt idx="33" formatCode="General">
                  <c:v>67798.55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6-778A-4C21-9307-BCA765058D93}"/>
            </c:ext>
          </c:extLst>
        </c:ser>
        <c:ser>
          <c:idx val="7"/>
          <c:order val="7"/>
          <c:tx>
            <c:strRef>
              <c:f>ТО!$I$443:$I$445</c:f>
              <c:strCache>
                <c:ptCount val="3"/>
                <c:pt idx="0">
                  <c:v>2023 год</c:v>
                </c:pt>
                <c:pt idx="1">
                  <c:v>996249,00</c:v>
                </c:pt>
                <c:pt idx="2">
                  <c:v>130000,00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ТО!$I$446:$I$488</c:f>
              <c:numCache>
                <c:formatCode>@</c:formatCode>
                <c:ptCount val="43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3" formatCode="m/d/yyyy">
                  <c:v>45274</c:v>
                </c:pt>
                <c:pt idx="14" formatCode="m/d/yyyy">
                  <c:v>45274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2" formatCode="General">
                  <c:v>0</c:v>
                </c:pt>
                <c:pt idx="31" formatCode="m/d/yyyy">
                  <c:v>45320</c:v>
                </c:pt>
                <c:pt idx="32" formatCode="General">
                  <c:v>0</c:v>
                </c:pt>
                <c:pt idx="33" formatCode="General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7-778A-4C21-9307-BCA765058D93}"/>
            </c:ext>
          </c:extLst>
        </c:ser>
        <c:ser>
          <c:idx val="8"/>
          <c:order val="8"/>
          <c:tx>
            <c:strRef>
              <c:f>ТО!$J$443:$J$445</c:f>
              <c:strCache>
                <c:ptCount val="3"/>
                <c:pt idx="0">
                  <c:v>2023 год</c:v>
                </c:pt>
                <c:pt idx="1">
                  <c:v>от 28.02.23</c:v>
                </c:pt>
                <c:pt idx="2">
                  <c:v>от 10.06.23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ТО!$J$446:$J$488</c:f>
              <c:numCache>
                <c:formatCode>@</c:formatCode>
                <c:ptCount val="43"/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5" formatCode="mmm\-yy">
                  <c:v>0</c:v>
                </c:pt>
                <c:pt idx="17">
                  <c:v>0</c:v>
                </c:pt>
                <c:pt idx="22" formatCode="General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5">
                  <c:v>0</c:v>
                </c:pt>
                <c:pt idx="37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8-778A-4C21-9307-BCA765058D93}"/>
            </c:ext>
          </c:extLst>
        </c:ser>
        <c:ser>
          <c:idx val="9"/>
          <c:order val="9"/>
          <c:tx>
            <c:strRef>
              <c:f>ТО!$K$443:$K$445</c:f>
              <c:strCache>
                <c:ptCount val="3"/>
                <c:pt idx="0">
                  <c:v>2023 год</c:v>
                </c:pt>
                <c:pt idx="1">
                  <c:v>от 28.02.23</c:v>
                </c:pt>
                <c:pt idx="2">
                  <c:v>от 10.06.23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ТО!$K$446:$K$488</c:f>
              <c:numCache>
                <c:formatCode>General</c:formatCode>
                <c:ptCount val="43"/>
                <c:pt idx="15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9-778A-4C21-9307-BCA765058D93}"/>
            </c:ext>
          </c:extLst>
        </c:ser>
        <c:ser>
          <c:idx val="10"/>
          <c:order val="10"/>
          <c:tx>
            <c:strRef>
              <c:f>ТО!$L$443:$L$445</c:f>
              <c:strCache>
                <c:ptCount val="3"/>
                <c:pt idx="0">
                  <c:v>2023 год</c:v>
                </c:pt>
                <c:pt idx="1">
                  <c:v>от 28.02.23</c:v>
                </c:pt>
                <c:pt idx="2">
                  <c:v>от 10.06.23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ТО!$L$446:$L$488</c:f>
              <c:numCache>
                <c:formatCode>General</c:formatCode>
                <c:ptCount val="43"/>
                <c:pt idx="0">
                  <c:v>0</c:v>
                </c:pt>
                <c:pt idx="6">
                  <c:v>0</c:v>
                </c:pt>
                <c:pt idx="7">
                  <c:v>0</c:v>
                </c:pt>
                <c:pt idx="17">
                  <c:v>0</c:v>
                </c:pt>
                <c:pt idx="22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A-778A-4C21-9307-BCA765058D93}"/>
            </c:ext>
          </c:extLst>
        </c:ser>
        <c:ser>
          <c:idx val="11"/>
          <c:order val="11"/>
          <c:tx>
            <c:strRef>
              <c:f>ТО!$M$443:$M$445</c:f>
              <c:strCache>
                <c:ptCount val="3"/>
                <c:pt idx="0">
                  <c:v>2023 год</c:v>
                </c:pt>
                <c:pt idx="1">
                  <c:v>Хуторецкая (Саядян)</c:v>
                </c:pt>
                <c:pt idx="2">
                  <c:v>от 10.06.23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ТО!$M$446:$M$488</c:f>
              <c:numCache>
                <c:formatCode>General</c:formatCode>
                <c:ptCount val="4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22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5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B-778A-4C21-9307-BCA765058D93}"/>
            </c:ext>
          </c:extLst>
        </c:ser>
        <c:ser>
          <c:idx val="12"/>
          <c:order val="12"/>
          <c:tx>
            <c:strRef>
              <c:f>ТО!$N$443:$N$445</c:f>
              <c:strCache>
                <c:ptCount val="3"/>
                <c:pt idx="0">
                  <c:v>2023 год</c:v>
                </c:pt>
                <c:pt idx="1">
                  <c:v>Хуторецкая (Саядян)</c:v>
                </c:pt>
                <c:pt idx="2">
                  <c:v>от 10.06.23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ТО!$N$446:$N$488</c:f>
              <c:numCache>
                <c:formatCode>General</c:formatCode>
                <c:ptCount val="43"/>
                <c:pt idx="11" formatCode="0.00">
                  <c:v>0</c:v>
                </c:pt>
                <c:pt idx="35" formatCode="0.00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C-778A-4C21-9307-BCA765058D93}"/>
            </c:ext>
          </c:extLst>
        </c:ser>
        <c:ser>
          <c:idx val="13"/>
          <c:order val="13"/>
          <c:tx>
            <c:strRef>
              <c:f>ТО!$O$443:$O$445</c:f>
              <c:strCache>
                <c:ptCount val="3"/>
                <c:pt idx="0">
                  <c:v>2023 год</c:v>
                </c:pt>
                <c:pt idx="1">
                  <c:v>Хуторецкая (Саядян)</c:v>
                </c:pt>
                <c:pt idx="2">
                  <c:v>от 10.06.23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ТО!$O$446:$O$488</c:f>
              <c:numCache>
                <c:formatCode>General</c:formatCode>
                <c:ptCount val="43"/>
                <c:pt idx="6" formatCode="0.00">
                  <c:v>100000</c:v>
                </c:pt>
                <c:pt idx="7" formatCode="0.00">
                  <c:v>200000</c:v>
                </c:pt>
                <c:pt idx="27" formatCode="0.00">
                  <c:v>100000</c:v>
                </c:pt>
                <c:pt idx="28" formatCode="0.00">
                  <c:v>200000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D-778A-4C21-9307-BCA765058D93}"/>
            </c:ext>
          </c:extLst>
        </c:ser>
        <c:ser>
          <c:idx val="14"/>
          <c:order val="14"/>
          <c:tx>
            <c:strRef>
              <c:f>ТО!$P$443:$P$445</c:f>
              <c:strCache>
                <c:ptCount val="3"/>
                <c:pt idx="0">
                  <c:v>2023 год</c:v>
                </c:pt>
                <c:pt idx="1">
                  <c:v>Хуторецкая (Саядян)</c:v>
                </c:pt>
                <c:pt idx="2">
                  <c:v>от 10.06.23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ТО!$P$446:$P$488</c:f>
              <c:numCache>
                <c:formatCode>General</c:formatCode>
                <c:ptCount val="43"/>
                <c:pt idx="1">
                  <c:v>240000</c:v>
                </c:pt>
                <c:pt idx="2">
                  <c:v>0</c:v>
                </c:pt>
                <c:pt idx="3">
                  <c:v>0</c:v>
                </c:pt>
                <c:pt idx="6" formatCode="0.00">
                  <c:v>100000</c:v>
                </c:pt>
                <c:pt idx="7" formatCode="0.00">
                  <c:v>200000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@">
                  <c:v>0</c:v>
                </c:pt>
                <c:pt idx="12">
                  <c:v>0</c:v>
                </c:pt>
                <c:pt idx="22">
                  <c:v>462479.4</c:v>
                </c:pt>
                <c:pt idx="26" formatCode="0.00">
                  <c:v>0</c:v>
                </c:pt>
                <c:pt idx="27" formatCode="0.00">
                  <c:v>100000</c:v>
                </c:pt>
                <c:pt idx="28" formatCode="0.00">
                  <c:v>200000</c:v>
                </c:pt>
                <c:pt idx="29" formatCode="0.00">
                  <c:v>0</c:v>
                </c:pt>
                <c:pt idx="35" formatCode="@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E-778A-4C21-9307-BCA765058D93}"/>
            </c:ext>
          </c:extLst>
        </c:ser>
        <c:ser>
          <c:idx val="15"/>
          <c:order val="15"/>
          <c:tx>
            <c:strRef>
              <c:f>ТО!$Q$443:$Q$445</c:f>
              <c:strCache>
                <c:ptCount val="3"/>
                <c:pt idx="0">
                  <c:v>2023 год</c:v>
                </c:pt>
                <c:pt idx="1">
                  <c:v>Хуторецкая (Саядян)</c:v>
                </c:pt>
                <c:pt idx="2">
                  <c:v>от 10.06.23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ТО!$Q$446:$Q$488</c:f>
              <c:numCache>
                <c:formatCode>m/d/yyyy</c:formatCode>
                <c:ptCount val="43"/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6">
                  <c:v>44984</c:v>
                </c:pt>
                <c:pt idx="7">
                  <c:v>44984</c:v>
                </c:pt>
                <c:pt idx="9">
                  <c:v>0</c:v>
                </c:pt>
                <c:pt idx="10" formatCode="General">
                  <c:v>0</c:v>
                </c:pt>
                <c:pt idx="11" formatCode="@">
                  <c:v>0</c:v>
                </c:pt>
                <c:pt idx="12">
                  <c:v>0</c:v>
                </c:pt>
                <c:pt idx="22" formatCode="General">
                  <c:v>0</c:v>
                </c:pt>
                <c:pt idx="26" formatCode="General">
                  <c:v>0</c:v>
                </c:pt>
                <c:pt idx="27">
                  <c:v>44984</c:v>
                </c:pt>
                <c:pt idx="28">
                  <c:v>44984</c:v>
                </c:pt>
                <c:pt idx="29">
                  <c:v>0</c:v>
                </c:pt>
                <c:pt idx="35" formatCode="@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F-778A-4C21-9307-BCA765058D93}"/>
            </c:ext>
          </c:extLst>
        </c:ser>
        <c:ser>
          <c:idx val="16"/>
          <c:order val="16"/>
          <c:tx>
            <c:strRef>
              <c:f>ТО!$R$443:$R$445</c:f>
              <c:strCache>
                <c:ptCount val="3"/>
                <c:pt idx="0">
                  <c:v>2023 год</c:v>
                </c:pt>
                <c:pt idx="1">
                  <c:v>задел</c:v>
                </c:pt>
                <c:pt idx="2">
                  <c:v>от 10.06.23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ТО!$A$446:$A$488</c:f>
              <c:numCache>
                <c:formatCode>General</c:formatCode>
                <c:ptCount val="4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15">
                  <c:v>13</c:v>
                </c:pt>
                <c:pt idx="25">
                  <c:v>4</c:v>
                </c:pt>
              </c:numCache>
            </c:numRef>
          </c:cat>
          <c:val>
            <c:numRef>
              <c:f>ТО!$R$446:$R$488</c:f>
              <c:numCache>
                <c:formatCode>General</c:formatCode>
                <c:ptCount val="43"/>
                <c:pt idx="7">
                  <c:v>0</c:v>
                </c:pt>
                <c:pt idx="28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10-778A-4C21-9307-BCA765058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13090384"/>
        <c:axId val="-1213092016"/>
      </c:barChart>
      <c:catAx>
        <c:axId val="-121309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213092016"/>
        <c:crosses val="autoZero"/>
        <c:auto val="1"/>
        <c:lblAlgn val="ctr"/>
        <c:lblOffset val="100"/>
        <c:noMultiLvlLbl val="0"/>
      </c:catAx>
      <c:valAx>
        <c:axId val="-121309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21309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3126958734274098E-2"/>
          <c:y val="7.7269791722727507E-2"/>
          <c:w val="0.94908874212934058"/>
          <c:h val="0.874399442257217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mc="http://schemas.openxmlformats.org/markup-compatibility/2006" xmlns:c14="http://schemas.microsoft.com/office/drawing/2007/8/2/chart" xmlns:unk3="http://schemas.microsoft.com/office/drawing/2014/chart">
            <c:ext uri="{C3380CC4-5D6E-409C-BE32-E72D297353CC}">
              <unk3:uniqueId val="{00000000-BD2A-443E-AC95-B90E10E2E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13084400"/>
        <c:axId val="-1213093648"/>
      </c:barChart>
      <c:catAx>
        <c:axId val="-1213084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213093648"/>
        <c:crosses val="autoZero"/>
        <c:auto val="1"/>
        <c:lblAlgn val="ctr"/>
        <c:lblOffset val="100"/>
        <c:noMultiLvlLbl val="0"/>
      </c:catAx>
      <c:valAx>
        <c:axId val="-121309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21308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4368" cy="6096000"/>
    <xdr:graphicFrame macro="">
      <xdr:nvGraphicFramePr>
        <xdr:cNvPr id="2" name="Диаграмма 1">
          <a:extLst>
            <a:ext uri="{FF2B5EF4-FFF2-40B4-BE49-F238E27FC236}">
              <unk1:creationId xmlns="" xmlns:c="http://schemas.openxmlformats.org/drawingml/2006/chart" xmlns:unk1="http://schemas.microsoft.com/office/drawing/2014/main" xmlns:r="http://schemas.openxmlformats.org/officeDocument/2006/relationships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103938"/>
    <xdr:graphicFrame macro="">
      <xdr:nvGraphicFramePr>
        <xdr:cNvPr id="2" name="Диаграмма 1">
          <a:extLst>
            <a:ext uri="{FF2B5EF4-FFF2-40B4-BE49-F238E27FC236}">
              <unk1:creationId xmlns="" xmlns:c="http://schemas.openxmlformats.org/drawingml/2006/chart" xmlns:unk1="http://schemas.microsoft.com/office/drawing/2014/main" xmlns:r="http://schemas.openxmlformats.org/officeDocument/2006/relationships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B575"/>
  <sheetViews>
    <sheetView tabSelected="1" zoomScale="77" zoomScaleNormal="77" workbookViewId="0">
      <pane ySplit="5" topLeftCell="A561" activePane="bottomLeft" state="frozen"/>
      <selection activeCell="H451" activeCellId="6" sqref="Y447 M483 D451 H451:I451 J451 J451 H451"/>
      <selection pane="bottomLeft" activeCell="B564" sqref="B564"/>
    </sheetView>
  </sheetViews>
  <sheetFormatPr defaultColWidth="8.85546875" defaultRowHeight="12.75" outlineLevelCol="1"/>
  <cols>
    <col min="1" max="1" width="4.85546875" style="1" customWidth="1"/>
    <col min="2" max="2" width="23.85546875" style="1" customWidth="1"/>
    <col min="3" max="3" width="25.28515625" style="1" customWidth="1"/>
    <col min="4" max="4" width="23.140625" style="1" customWidth="1"/>
    <col min="5" max="5" width="18.42578125" style="1" customWidth="1"/>
    <col min="6" max="6" width="17.42578125" style="1" customWidth="1"/>
    <col min="7" max="7" width="22.28515625" style="1" customWidth="1" outlineLevel="1"/>
    <col min="8" max="8" width="12.28515625" style="1" customWidth="1" outlineLevel="1"/>
    <col min="9" max="9" width="13" style="1" customWidth="1" outlineLevel="1"/>
    <col min="10" max="10" width="13.140625" style="1" customWidth="1"/>
    <col min="11" max="11" width="16.28515625" style="1" customWidth="1"/>
    <col min="12" max="12" width="24.42578125" style="1" customWidth="1"/>
    <col min="13" max="13" width="17.28515625" style="1" customWidth="1"/>
    <col min="14" max="14" width="17" style="1" customWidth="1"/>
    <col min="15" max="15" width="14.85546875" style="1" customWidth="1"/>
    <col min="16" max="16" width="13.140625" style="1" customWidth="1"/>
    <col min="17" max="17" width="19.85546875" style="1" customWidth="1"/>
    <col min="18" max="18" width="20.28515625" style="1" customWidth="1"/>
    <col min="19" max="19" width="18.42578125" style="1" customWidth="1"/>
    <col min="20" max="20" width="20.85546875" style="1" customWidth="1"/>
    <col min="21" max="21" width="15.85546875" style="1" customWidth="1"/>
    <col min="22" max="22" width="14.85546875" style="680" customWidth="1"/>
    <col min="23" max="23" width="11" style="680" bestFit="1" customWidth="1"/>
    <col min="24" max="24" width="14.7109375" style="1" customWidth="1"/>
    <col min="25" max="25" width="10.85546875" style="1" customWidth="1"/>
    <col min="26" max="261" width="9.140625" style="1" customWidth="1"/>
    <col min="262" max="1029" width="9.140625" customWidth="1"/>
  </cols>
  <sheetData>
    <row r="1" spans="1:30">
      <c r="C1" s="1" t="s">
        <v>0</v>
      </c>
      <c r="H1" s="2"/>
      <c r="I1" s="2"/>
      <c r="V1" s="1"/>
      <c r="W1" s="1"/>
    </row>
    <row r="2" spans="1:30" ht="18">
      <c r="B2" s="2378" t="s">
        <v>1</v>
      </c>
      <c r="C2" s="2378"/>
      <c r="D2" s="2378"/>
      <c r="E2" s="2378"/>
      <c r="F2" s="2378"/>
      <c r="G2" s="2379"/>
      <c r="H2" s="2"/>
      <c r="I2" s="4"/>
      <c r="V2" s="1"/>
      <c r="W2" s="1"/>
    </row>
    <row r="3" spans="1:30" ht="13.5" thickBot="1">
      <c r="C3" s="3"/>
      <c r="H3" s="2"/>
      <c r="I3" s="4"/>
      <c r="V3" s="1"/>
      <c r="W3" s="1"/>
    </row>
    <row r="4" spans="1:30" s="14" customFormat="1" ht="30" customHeight="1">
      <c r="A4" s="5" t="s">
        <v>2</v>
      </c>
      <c r="B4" s="6" t="s">
        <v>3</v>
      </c>
      <c r="C4" s="6"/>
      <c r="D4" s="6" t="s">
        <v>4</v>
      </c>
      <c r="E4" s="5" t="s">
        <v>5</v>
      </c>
      <c r="F4" s="5" t="s">
        <v>1127</v>
      </c>
      <c r="G4" s="7" t="s">
        <v>4442</v>
      </c>
      <c r="H4" s="5" t="s">
        <v>6</v>
      </c>
      <c r="I4" s="8" t="s">
        <v>7</v>
      </c>
      <c r="J4" s="9" t="s">
        <v>8</v>
      </c>
      <c r="K4" t="e">
        <f>-'СМР '!#REF!</f>
        <v>#REF!</v>
      </c>
      <c r="L4" s="5" t="s">
        <v>9</v>
      </c>
      <c r="M4" s="11" t="s">
        <v>10</v>
      </c>
      <c r="N4" s="12" t="s">
        <v>11</v>
      </c>
      <c r="O4" s="13" t="s">
        <v>2952</v>
      </c>
      <c r="P4" s="13" t="s">
        <v>12</v>
      </c>
      <c r="Q4" s="641" t="s">
        <v>13</v>
      </c>
      <c r="R4" s="641"/>
      <c r="S4" s="10" t="s">
        <v>3537</v>
      </c>
      <c r="T4" s="641"/>
      <c r="U4" s="708" t="s">
        <v>2938</v>
      </c>
      <c r="V4" s="709"/>
      <c r="W4" s="767"/>
    </row>
    <row r="5" spans="1:30" ht="21.75" customHeight="1" thickBot="1">
      <c r="A5" s="15">
        <v>1</v>
      </c>
      <c r="B5" s="16">
        <v>2</v>
      </c>
      <c r="C5" s="16"/>
      <c r="D5" s="16">
        <v>3</v>
      </c>
      <c r="E5" s="15">
        <v>4</v>
      </c>
      <c r="F5" s="16">
        <v>5</v>
      </c>
      <c r="G5" s="17"/>
      <c r="H5" s="16"/>
      <c r="I5" s="958">
        <v>7</v>
      </c>
      <c r="J5" s="19">
        <v>8</v>
      </c>
      <c r="K5" s="877" t="e">
        <f>-+H399</f>
        <v>#VALUE!</v>
      </c>
      <c r="L5" s="16"/>
      <c r="M5" s="20"/>
      <c r="N5" s="2"/>
      <c r="O5" s="2"/>
      <c r="P5" s="2"/>
      <c r="Q5" s="50"/>
      <c r="R5" s="50"/>
      <c r="S5" s="50"/>
      <c r="T5" s="50"/>
      <c r="U5" s="50"/>
      <c r="V5" s="710" t="s">
        <v>2982</v>
      </c>
      <c r="W5" s="768" t="s">
        <v>3063</v>
      </c>
      <c r="X5" s="1" t="s">
        <v>3064</v>
      </c>
      <c r="Y5" s="1" t="s">
        <v>3062</v>
      </c>
      <c r="Z5" s="1" t="s">
        <v>3058</v>
      </c>
      <c r="AA5" s="1" t="s">
        <v>3059</v>
      </c>
      <c r="AB5" s="1" t="s">
        <v>3060</v>
      </c>
      <c r="AC5" s="1" t="s">
        <v>3061</v>
      </c>
      <c r="AD5" s="1">
        <v>9</v>
      </c>
    </row>
    <row r="6" spans="1:30" ht="15" customHeight="1">
      <c r="A6" s="15"/>
      <c r="B6" s="16"/>
      <c r="C6" s="16"/>
      <c r="D6" s="16"/>
      <c r="E6" s="15"/>
      <c r="F6" s="16"/>
      <c r="G6" s="17"/>
      <c r="H6" s="16"/>
      <c r="I6" s="18"/>
      <c r="J6" s="21"/>
      <c r="K6" s="2"/>
      <c r="M6" s="20"/>
      <c r="N6" s="2"/>
      <c r="O6" s="2"/>
      <c r="P6" s="2"/>
      <c r="Q6" s="50"/>
      <c r="R6" s="50"/>
      <c r="S6" s="50"/>
      <c r="T6" s="50"/>
      <c r="U6" s="2"/>
    </row>
    <row r="7" spans="1:30" ht="36.75" customHeight="1">
      <c r="A7" s="22"/>
      <c r="B7" s="23" t="s">
        <v>14</v>
      </c>
      <c r="C7" s="24" t="s">
        <v>15</v>
      </c>
      <c r="D7" s="25" t="s">
        <v>16</v>
      </c>
      <c r="E7" s="25" t="s">
        <v>17</v>
      </c>
      <c r="F7" s="26">
        <v>13977.6</v>
      </c>
      <c r="G7" s="27" t="s">
        <v>18</v>
      </c>
      <c r="H7" s="28"/>
      <c r="I7" s="29"/>
      <c r="J7" s="30"/>
      <c r="K7" s="2"/>
      <c r="M7" s="20"/>
      <c r="N7" s="2"/>
      <c r="O7" s="2"/>
      <c r="P7" s="2"/>
      <c r="Q7" s="50"/>
      <c r="R7" s="50"/>
      <c r="S7" s="50"/>
      <c r="T7" s="50"/>
      <c r="U7" s="2"/>
    </row>
    <row r="8" spans="1:30" ht="24.75" customHeight="1">
      <c r="A8" s="22"/>
      <c r="B8" s="2436" t="s">
        <v>19</v>
      </c>
      <c r="C8" s="2384" t="s">
        <v>20</v>
      </c>
      <c r="D8" s="32" t="s">
        <v>21</v>
      </c>
      <c r="E8" s="2376" t="s">
        <v>17</v>
      </c>
      <c r="F8" s="26">
        <v>3450</v>
      </c>
      <c r="G8" s="34" t="s">
        <v>22</v>
      </c>
      <c r="H8" s="35"/>
      <c r="I8" s="36"/>
      <c r="J8" s="30" t="s">
        <v>23</v>
      </c>
      <c r="K8" s="2"/>
      <c r="M8" s="20"/>
      <c r="N8" s="2"/>
      <c r="O8" s="2"/>
      <c r="P8" s="2"/>
      <c r="Q8" s="50"/>
      <c r="R8" s="50"/>
      <c r="S8" s="50"/>
      <c r="T8" s="50"/>
      <c r="U8" s="2"/>
    </row>
    <row r="9" spans="1:30" ht="42" customHeight="1">
      <c r="A9" s="22"/>
      <c r="B9" s="2436"/>
      <c r="C9" s="2384"/>
      <c r="D9" s="32" t="s">
        <v>24</v>
      </c>
      <c r="E9" s="2376"/>
      <c r="F9" s="26">
        <v>4850</v>
      </c>
      <c r="G9" s="27" t="s">
        <v>25</v>
      </c>
      <c r="H9" s="28"/>
      <c r="I9" s="37" t="s">
        <v>26</v>
      </c>
      <c r="J9" s="30"/>
      <c r="K9" s="2"/>
      <c r="M9" s="20"/>
      <c r="N9" s="2"/>
      <c r="O9" s="2"/>
      <c r="P9" s="2"/>
      <c r="Q9" s="50"/>
      <c r="R9" s="50"/>
      <c r="S9" s="50"/>
      <c r="T9" s="50"/>
      <c r="U9" s="2"/>
    </row>
    <row r="10" spans="1:30" ht="36.75" customHeight="1">
      <c r="A10" s="22"/>
      <c r="B10" s="2436"/>
      <c r="C10" s="24" t="s">
        <v>27</v>
      </c>
      <c r="D10" s="38"/>
      <c r="E10" s="25"/>
      <c r="F10" s="39">
        <v>6000</v>
      </c>
      <c r="G10" s="40" t="s">
        <v>28</v>
      </c>
      <c r="H10" s="24"/>
      <c r="I10" s="29"/>
      <c r="J10" s="41"/>
      <c r="K10" s="42"/>
      <c r="L10" s="43"/>
      <c r="M10" s="20"/>
      <c r="N10" s="2"/>
      <c r="O10" s="2"/>
      <c r="P10" s="2"/>
      <c r="Q10" s="50"/>
      <c r="R10" s="50"/>
      <c r="S10" s="50"/>
      <c r="T10" s="50"/>
      <c r="U10" s="2"/>
    </row>
    <row r="11" spans="1:30" ht="39" customHeight="1">
      <c r="A11" s="22"/>
      <c r="B11" s="2436"/>
      <c r="C11" s="24" t="s">
        <v>27</v>
      </c>
      <c r="D11" s="38"/>
      <c r="E11" s="25"/>
      <c r="F11" s="39">
        <v>6000</v>
      </c>
      <c r="G11" s="44" t="s">
        <v>29</v>
      </c>
      <c r="H11" s="45"/>
      <c r="I11" s="29"/>
      <c r="J11" s="41"/>
      <c r="K11" s="46"/>
      <c r="L11" s="42"/>
      <c r="M11" s="20"/>
      <c r="N11" s="2"/>
      <c r="O11" s="2"/>
      <c r="P11" s="2"/>
      <c r="Q11" s="50"/>
      <c r="R11" s="50"/>
      <c r="S11" s="50"/>
      <c r="T11" s="50"/>
      <c r="U11" s="2"/>
    </row>
    <row r="12" spans="1:30" ht="26.25" customHeight="1">
      <c r="A12" s="15"/>
      <c r="B12" s="23" t="s">
        <v>30</v>
      </c>
      <c r="C12" s="24" t="s">
        <v>31</v>
      </c>
      <c r="D12" s="25" t="s">
        <v>32</v>
      </c>
      <c r="E12" s="15" t="s">
        <v>33</v>
      </c>
      <c r="F12" s="16">
        <v>3267</v>
      </c>
      <c r="G12" s="47"/>
      <c r="H12" s="48"/>
      <c r="I12" s="48"/>
      <c r="J12" s="49"/>
      <c r="K12" s="50"/>
      <c r="L12" s="2"/>
      <c r="M12" s="20"/>
      <c r="N12" s="2"/>
      <c r="O12" s="2"/>
      <c r="P12" s="2"/>
      <c r="Q12" s="50"/>
      <c r="R12" s="50"/>
      <c r="S12" s="50"/>
      <c r="T12" s="50"/>
      <c r="U12" s="2"/>
    </row>
    <row r="13" spans="1:30" ht="26.25" customHeight="1">
      <c r="A13" s="15"/>
      <c r="B13" s="2436" t="s">
        <v>34</v>
      </c>
      <c r="C13" s="2441" t="s">
        <v>35</v>
      </c>
      <c r="D13" s="2377" t="s">
        <v>36</v>
      </c>
      <c r="E13" s="2376" t="s">
        <v>17</v>
      </c>
      <c r="F13" s="2375">
        <v>7200</v>
      </c>
      <c r="G13" s="2391" t="s">
        <v>37</v>
      </c>
      <c r="H13" s="2442" t="s">
        <v>38</v>
      </c>
      <c r="I13" s="2443" t="s">
        <v>39</v>
      </c>
      <c r="J13" s="2354" t="s">
        <v>40</v>
      </c>
      <c r="K13" s="50"/>
      <c r="L13" s="2"/>
      <c r="M13" s="20"/>
      <c r="N13" s="2"/>
      <c r="O13" s="2"/>
      <c r="P13" s="2"/>
      <c r="Q13" s="50"/>
      <c r="R13" s="50"/>
      <c r="S13" s="50"/>
      <c r="T13" s="50"/>
      <c r="U13" s="2"/>
    </row>
    <row r="14" spans="1:30" ht="22.5" customHeight="1">
      <c r="A14" s="22"/>
      <c r="B14" s="2436"/>
      <c r="C14" s="2441"/>
      <c r="D14" s="2377"/>
      <c r="E14" s="2376"/>
      <c r="F14" s="2375"/>
      <c r="G14" s="2391"/>
      <c r="H14" s="2442"/>
      <c r="I14" s="2443"/>
      <c r="J14" s="2354"/>
      <c r="K14" s="46" t="s">
        <v>41</v>
      </c>
      <c r="L14" s="42"/>
      <c r="M14" s="20"/>
      <c r="N14" s="2"/>
      <c r="O14" s="2"/>
      <c r="P14" s="2"/>
      <c r="Q14" s="50"/>
      <c r="R14" s="50"/>
      <c r="S14" s="50"/>
      <c r="T14" s="50"/>
      <c r="U14" s="2"/>
    </row>
    <row r="15" spans="1:30" ht="34.5" customHeight="1">
      <c r="A15" s="22"/>
      <c r="B15" s="2436"/>
      <c r="C15" s="24" t="s">
        <v>27</v>
      </c>
      <c r="D15" s="38"/>
      <c r="E15" s="25"/>
      <c r="F15" s="39">
        <v>6000</v>
      </c>
      <c r="G15" s="44" t="s">
        <v>42</v>
      </c>
      <c r="H15" s="39"/>
      <c r="I15" s="55"/>
      <c r="J15" s="41"/>
      <c r="K15" s="46"/>
      <c r="L15" s="42"/>
      <c r="M15" s="20"/>
      <c r="N15" s="2"/>
      <c r="O15" s="2"/>
      <c r="P15" s="2"/>
      <c r="Q15" s="50"/>
      <c r="R15" s="50"/>
      <c r="S15" s="50"/>
      <c r="T15" s="50"/>
      <c r="U15" s="2"/>
    </row>
    <row r="16" spans="1:30" ht="34.5" customHeight="1">
      <c r="A16" s="22"/>
      <c r="B16" s="2436"/>
      <c r="C16" s="24" t="s">
        <v>27</v>
      </c>
      <c r="D16" s="38"/>
      <c r="E16" s="25"/>
      <c r="F16" s="39">
        <v>6000</v>
      </c>
      <c r="G16" s="44" t="s">
        <v>28</v>
      </c>
      <c r="H16" s="45"/>
      <c r="I16" s="55"/>
      <c r="J16" s="41"/>
      <c r="K16" s="46"/>
      <c r="L16" s="42"/>
      <c r="M16" s="20"/>
      <c r="N16" s="2"/>
      <c r="O16" s="2"/>
      <c r="P16" s="2"/>
      <c r="Q16" s="50"/>
      <c r="R16" s="50"/>
      <c r="S16" s="50"/>
      <c r="T16" s="50"/>
      <c r="U16" s="2"/>
    </row>
    <row r="17" spans="1:258" ht="36.75" customHeight="1">
      <c r="A17" s="22"/>
      <c r="B17" s="2436"/>
      <c r="C17" s="24" t="s">
        <v>27</v>
      </c>
      <c r="D17" s="38"/>
      <c r="E17" s="25"/>
      <c r="F17" s="39">
        <v>6000</v>
      </c>
      <c r="G17" s="40" t="s">
        <v>43</v>
      </c>
      <c r="H17" s="24"/>
      <c r="I17" s="2"/>
      <c r="J17" s="41"/>
      <c r="K17" s="46"/>
      <c r="L17" s="42"/>
      <c r="M17" s="20"/>
      <c r="N17" s="2"/>
      <c r="O17" s="2"/>
      <c r="P17" s="2"/>
      <c r="Q17" s="50"/>
      <c r="R17" s="50"/>
      <c r="S17" s="50"/>
      <c r="T17" s="50"/>
      <c r="U17" s="2"/>
    </row>
    <row r="18" spans="1:258" ht="39.75" customHeight="1">
      <c r="A18" s="22"/>
      <c r="B18" s="2436" t="s">
        <v>44</v>
      </c>
      <c r="C18" s="56" t="s">
        <v>45</v>
      </c>
      <c r="D18" s="32" t="s">
        <v>46</v>
      </c>
      <c r="E18" s="25" t="s">
        <v>17</v>
      </c>
      <c r="F18" s="26">
        <v>11064</v>
      </c>
      <c r="G18" s="44" t="s">
        <v>47</v>
      </c>
      <c r="H18" s="57"/>
      <c r="I18" s="58" t="s">
        <v>48</v>
      </c>
      <c r="J18" s="59"/>
      <c r="K18" s="50"/>
      <c r="L18" s="2"/>
      <c r="M18" s="20"/>
      <c r="N18" s="2"/>
      <c r="O18" s="2"/>
      <c r="P18" s="2"/>
      <c r="Q18" s="50"/>
      <c r="R18" s="50"/>
      <c r="S18" s="50"/>
      <c r="T18" s="50"/>
      <c r="U18" s="2"/>
    </row>
    <row r="19" spans="1:258" ht="21.75" customHeight="1">
      <c r="A19" s="22"/>
      <c r="B19" s="2436"/>
      <c r="C19" s="45" t="s">
        <v>49</v>
      </c>
      <c r="D19" s="32"/>
      <c r="E19" s="25"/>
      <c r="F19" s="26">
        <v>40330</v>
      </c>
      <c r="G19" s="27" t="s">
        <v>50</v>
      </c>
      <c r="H19" s="28"/>
      <c r="I19" s="58"/>
      <c r="J19" s="59" t="s">
        <v>51</v>
      </c>
      <c r="K19" s="50"/>
      <c r="L19" s="2"/>
      <c r="M19" s="20"/>
      <c r="N19" s="2"/>
      <c r="O19" s="2"/>
      <c r="P19" s="2"/>
      <c r="Q19" s="50"/>
      <c r="R19" s="50"/>
      <c r="S19" s="50"/>
      <c r="T19" s="50"/>
      <c r="U19" s="2"/>
    </row>
    <row r="20" spans="1:258" ht="32.85" customHeight="1">
      <c r="A20"/>
      <c r="B20" s="2436"/>
      <c r="C20" s="60" t="s">
        <v>52</v>
      </c>
      <c r="D20" s="60" t="s">
        <v>53</v>
      </c>
      <c r="E20" s="61"/>
      <c r="F20" s="61">
        <v>424000</v>
      </c>
      <c r="G20" s="60" t="s">
        <v>54</v>
      </c>
      <c r="H20" s="60"/>
      <c r="I20" s="61"/>
      <c r="J20" s="62"/>
      <c r="K20"/>
      <c r="L20" s="61"/>
      <c r="M20" s="63"/>
      <c r="N20" s="61"/>
      <c r="O20" s="61"/>
      <c r="P20" s="61"/>
      <c r="Q20" s="218"/>
      <c r="R20" s="218"/>
      <c r="S20" s="218"/>
      <c r="T20" s="218"/>
      <c r="U20" s="61"/>
      <c r="V20" s="699"/>
      <c r="W20" s="699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</row>
    <row r="21" spans="1:258" ht="21.75" customHeight="1">
      <c r="A21" s="22"/>
      <c r="B21" s="2436"/>
      <c r="C21" s="45" t="s">
        <v>55</v>
      </c>
      <c r="D21" s="32" t="s">
        <v>56</v>
      </c>
      <c r="E21" s="25"/>
      <c r="F21" s="26">
        <v>243000</v>
      </c>
      <c r="G21" s="28" t="s">
        <v>57</v>
      </c>
      <c r="H21" s="28"/>
      <c r="I21" s="58"/>
      <c r="J21" s="59"/>
      <c r="K21" s="50"/>
      <c r="L21" s="2"/>
      <c r="M21" s="20"/>
      <c r="N21" s="2"/>
      <c r="O21" s="2"/>
      <c r="P21" s="2"/>
      <c r="Q21" s="50"/>
      <c r="R21" s="50"/>
      <c r="S21" s="50"/>
      <c r="T21" s="50"/>
      <c r="U21" s="2"/>
    </row>
    <row r="22" spans="1:258" ht="32.25" customHeight="1">
      <c r="A22" s="22"/>
      <c r="B22" s="2436"/>
      <c r="C22" s="45" t="s">
        <v>58</v>
      </c>
      <c r="D22" s="25" t="s">
        <v>59</v>
      </c>
      <c r="E22" s="25"/>
      <c r="F22" s="26">
        <v>220000</v>
      </c>
      <c r="G22" s="27" t="s">
        <v>60</v>
      </c>
      <c r="H22" s="28"/>
      <c r="I22" s="58"/>
      <c r="J22" s="59"/>
      <c r="K22" s="50"/>
      <c r="L22" s="2"/>
      <c r="M22" s="20"/>
      <c r="N22" s="2"/>
      <c r="O22" s="2"/>
      <c r="P22" s="2"/>
      <c r="Q22" s="50"/>
      <c r="R22" s="50"/>
      <c r="S22" s="50"/>
      <c r="T22" s="50"/>
      <c r="U22" s="2"/>
    </row>
    <row r="23" spans="1:258" ht="37.5" customHeight="1">
      <c r="A23" s="22"/>
      <c r="B23" s="2436" t="s">
        <v>61</v>
      </c>
      <c r="C23" s="24" t="s">
        <v>62</v>
      </c>
      <c r="D23" s="64" t="s">
        <v>63</v>
      </c>
      <c r="E23" s="25" t="s">
        <v>17</v>
      </c>
      <c r="F23" s="25">
        <v>6264</v>
      </c>
      <c r="G23" s="27" t="s">
        <v>64</v>
      </c>
      <c r="H23" s="28"/>
      <c r="I23" s="65" t="s">
        <v>65</v>
      </c>
      <c r="J23" s="66"/>
      <c r="K23" s="17">
        <v>9</v>
      </c>
      <c r="L23" s="16"/>
      <c r="M23" s="20"/>
      <c r="N23" s="2"/>
      <c r="O23" s="2"/>
      <c r="P23" s="2"/>
      <c r="Q23" s="50"/>
      <c r="R23" s="50"/>
      <c r="S23" s="50"/>
      <c r="T23" s="50"/>
      <c r="U23" s="2"/>
    </row>
    <row r="24" spans="1:258" ht="33" customHeight="1">
      <c r="A24" s="67"/>
      <c r="B24" s="2436"/>
      <c r="C24" s="24" t="s">
        <v>27</v>
      </c>
      <c r="D24" s="38" t="s">
        <v>66</v>
      </c>
      <c r="E24" s="25"/>
      <c r="F24" s="25">
        <v>10000</v>
      </c>
      <c r="G24" s="68" t="s">
        <v>67</v>
      </c>
      <c r="H24" s="69"/>
      <c r="I24" s="36"/>
      <c r="J24" s="66"/>
      <c r="K24" s="50"/>
      <c r="L24" s="2"/>
      <c r="M24" s="20"/>
      <c r="N24" s="2"/>
      <c r="O24" s="2"/>
      <c r="P24" s="2"/>
      <c r="Q24" s="50"/>
      <c r="R24" s="50"/>
      <c r="S24" s="50"/>
      <c r="T24" s="50"/>
      <c r="U24" s="2"/>
    </row>
    <row r="25" spans="1:258" ht="36.75" customHeight="1">
      <c r="A25" s="67"/>
      <c r="B25" s="2436"/>
      <c r="C25" s="24" t="s">
        <v>68</v>
      </c>
      <c r="D25" s="38" t="s">
        <v>69</v>
      </c>
      <c r="E25" s="25"/>
      <c r="F25" s="25">
        <v>49464.480000000003</v>
      </c>
      <c r="G25" s="27" t="s">
        <v>70</v>
      </c>
      <c r="H25" s="28"/>
      <c r="I25" s="70"/>
      <c r="J25" s="71"/>
      <c r="K25" s="50"/>
      <c r="L25" s="2"/>
      <c r="M25" s="20"/>
      <c r="N25" s="2"/>
      <c r="O25" s="2"/>
      <c r="P25" s="2"/>
      <c r="Q25" s="50"/>
      <c r="R25" s="50"/>
      <c r="S25" s="50"/>
      <c r="T25" s="50"/>
      <c r="U25" s="2"/>
    </row>
    <row r="26" spans="1:258" ht="38.25" customHeight="1">
      <c r="A26" s="67"/>
      <c r="B26" s="2436"/>
      <c r="C26" s="72" t="s">
        <v>62</v>
      </c>
      <c r="D26" s="38" t="s">
        <v>71</v>
      </c>
      <c r="E26" s="25" t="s">
        <v>17</v>
      </c>
      <c r="F26" s="25">
        <v>6500</v>
      </c>
      <c r="G26" s="27" t="s">
        <v>72</v>
      </c>
      <c r="H26" s="28"/>
      <c r="I26" s="73"/>
      <c r="J26" s="71"/>
      <c r="K26" s="50"/>
      <c r="L26" s="2"/>
      <c r="M26" s="20"/>
      <c r="N26" s="2"/>
      <c r="O26" s="2"/>
      <c r="P26" s="2"/>
      <c r="Q26" s="50"/>
      <c r="R26" s="50"/>
      <c r="S26" s="50"/>
      <c r="T26" s="50"/>
      <c r="U26" s="2"/>
    </row>
    <row r="27" spans="1:258" ht="64.5" customHeight="1">
      <c r="A27" s="67"/>
      <c r="B27" s="2436"/>
      <c r="C27" s="24" t="s">
        <v>73</v>
      </c>
      <c r="D27" s="74" t="s">
        <v>74</v>
      </c>
      <c r="E27" s="25" t="s">
        <v>17</v>
      </c>
      <c r="F27" s="25">
        <v>6700</v>
      </c>
      <c r="G27" s="27" t="s">
        <v>75</v>
      </c>
      <c r="H27" s="75" t="s">
        <v>76</v>
      </c>
      <c r="I27" s="73"/>
      <c r="J27" s="76"/>
      <c r="K27" s="50"/>
      <c r="L27" s="2"/>
      <c r="M27" s="20"/>
      <c r="N27" s="2"/>
      <c r="O27" s="2"/>
      <c r="P27" s="2"/>
      <c r="Q27" s="50"/>
      <c r="R27" s="50"/>
      <c r="S27" s="50"/>
      <c r="T27" s="50"/>
      <c r="U27" s="2"/>
    </row>
    <row r="28" spans="1:258" ht="30" customHeight="1">
      <c r="A28" s="67"/>
      <c r="B28" s="2436"/>
      <c r="C28" s="40" t="s">
        <v>77</v>
      </c>
      <c r="D28" s="77" t="s">
        <v>78</v>
      </c>
      <c r="E28" s="78"/>
      <c r="F28" s="25">
        <v>30736.76</v>
      </c>
      <c r="G28" s="25" t="s">
        <v>79</v>
      </c>
      <c r="H28" s="25"/>
      <c r="I28" s="73"/>
      <c r="J28" s="76"/>
      <c r="K28" s="50"/>
      <c r="L28" s="2"/>
      <c r="M28" s="20"/>
      <c r="N28" s="2"/>
      <c r="O28" s="2"/>
      <c r="P28" s="2"/>
      <c r="Q28" s="50"/>
      <c r="R28" s="50"/>
      <c r="S28" s="50"/>
      <c r="T28" s="50"/>
      <c r="U28" s="2"/>
    </row>
    <row r="29" spans="1:258" ht="64.5" customHeight="1">
      <c r="A29" s="67"/>
      <c r="B29" s="2436"/>
      <c r="C29" s="24" t="s">
        <v>73</v>
      </c>
      <c r="D29" s="79" t="s">
        <v>80</v>
      </c>
      <c r="E29" s="25" t="s">
        <v>17</v>
      </c>
      <c r="F29" s="25">
        <v>6700</v>
      </c>
      <c r="G29" s="27" t="s">
        <v>81</v>
      </c>
      <c r="H29" s="75" t="s">
        <v>82</v>
      </c>
      <c r="I29" s="73" t="s">
        <v>83</v>
      </c>
      <c r="J29" s="76"/>
      <c r="K29" s="50"/>
      <c r="L29" s="2"/>
      <c r="M29" s="20"/>
      <c r="N29" s="2"/>
      <c r="O29" s="2"/>
      <c r="P29" s="2"/>
      <c r="Q29" s="50"/>
      <c r="R29" s="50"/>
      <c r="S29" s="50"/>
      <c r="T29" s="50"/>
      <c r="U29" s="2"/>
    </row>
    <row r="30" spans="1:258" ht="35.25" customHeight="1">
      <c r="A30" s="67"/>
      <c r="B30" s="2436"/>
      <c r="C30" s="24" t="s">
        <v>27</v>
      </c>
      <c r="D30" s="38"/>
      <c r="E30" s="25"/>
      <c r="F30" s="39">
        <v>10000</v>
      </c>
      <c r="G30" s="27" t="s">
        <v>84</v>
      </c>
      <c r="H30" s="28"/>
      <c r="I30" s="73"/>
      <c r="J30" s="71"/>
      <c r="K30" s="50"/>
      <c r="L30" s="2"/>
      <c r="M30" s="20"/>
      <c r="N30" s="2"/>
      <c r="O30" s="2"/>
      <c r="P30" s="2"/>
      <c r="Q30" s="50"/>
      <c r="R30" s="50"/>
      <c r="S30" s="50"/>
      <c r="T30" s="50"/>
      <c r="U30" s="2"/>
    </row>
    <row r="31" spans="1:258" ht="36" customHeight="1">
      <c r="A31" s="22"/>
      <c r="B31" s="2436"/>
      <c r="C31" s="24" t="s">
        <v>27</v>
      </c>
      <c r="D31" s="38"/>
      <c r="E31" s="25"/>
      <c r="F31" s="39">
        <v>10000</v>
      </c>
      <c r="G31" s="27" t="s">
        <v>28</v>
      </c>
      <c r="H31" s="28"/>
      <c r="I31" s="29"/>
      <c r="J31" s="41"/>
      <c r="K31" s="46"/>
      <c r="L31" s="42"/>
      <c r="M31" s="20"/>
      <c r="N31" s="2"/>
      <c r="O31" s="2"/>
      <c r="P31" s="2"/>
      <c r="Q31" s="50"/>
      <c r="R31" s="50"/>
      <c r="S31" s="50"/>
      <c r="T31" s="50"/>
      <c r="U31" s="2"/>
    </row>
    <row r="32" spans="1:258" ht="33.75" customHeight="1">
      <c r="A32" s="2444"/>
      <c r="B32" s="80" t="s">
        <v>85</v>
      </c>
      <c r="C32" s="24" t="s">
        <v>86</v>
      </c>
      <c r="D32" s="32" t="s">
        <v>87</v>
      </c>
      <c r="E32" s="25" t="s">
        <v>88</v>
      </c>
      <c r="F32" s="26">
        <v>25920</v>
      </c>
      <c r="G32" s="81" t="s">
        <v>89</v>
      </c>
      <c r="H32" s="82"/>
      <c r="I32" s="83" t="s">
        <v>90</v>
      </c>
      <c r="J32" s="84" t="s">
        <v>91</v>
      </c>
      <c r="K32" s="17" t="s">
        <v>92</v>
      </c>
      <c r="L32" s="16"/>
      <c r="M32" s="20"/>
      <c r="N32" s="2"/>
      <c r="O32" s="2"/>
      <c r="P32" s="2"/>
      <c r="Q32" s="50"/>
      <c r="R32" s="50"/>
      <c r="S32" s="50"/>
      <c r="T32" s="50"/>
      <c r="U32" s="2"/>
    </row>
    <row r="33" spans="1:21" ht="28.5" customHeight="1">
      <c r="A33" s="2444"/>
      <c r="B33" s="2439" t="s">
        <v>93</v>
      </c>
      <c r="C33" s="24" t="s">
        <v>94</v>
      </c>
      <c r="D33" s="38"/>
      <c r="E33" s="25"/>
      <c r="F33" s="85" t="s">
        <v>95</v>
      </c>
      <c r="G33" s="68" t="s">
        <v>96</v>
      </c>
      <c r="H33" s="69"/>
      <c r="I33" s="36"/>
      <c r="J33" s="66"/>
      <c r="K33" s="50"/>
      <c r="L33" s="2"/>
      <c r="M33" s="20"/>
      <c r="N33" s="2"/>
      <c r="O33" s="2"/>
      <c r="P33" s="2"/>
      <c r="Q33" s="50"/>
      <c r="R33" s="50"/>
      <c r="S33" s="50"/>
      <c r="T33" s="50"/>
      <c r="U33" s="2"/>
    </row>
    <row r="34" spans="1:21" ht="40.5" customHeight="1">
      <c r="A34" s="2444"/>
      <c r="B34" s="2439"/>
      <c r="C34" s="24" t="s">
        <v>27</v>
      </c>
      <c r="D34" s="38"/>
      <c r="E34" s="25"/>
      <c r="F34" s="85">
        <v>6200</v>
      </c>
      <c r="G34" s="68" t="s">
        <v>97</v>
      </c>
      <c r="H34" s="69"/>
      <c r="I34" s="36"/>
      <c r="J34" s="66"/>
      <c r="K34" s="50"/>
      <c r="L34" s="2"/>
      <c r="M34" s="20"/>
      <c r="N34" s="2"/>
      <c r="O34" s="2"/>
      <c r="P34" s="2"/>
      <c r="Q34" s="50"/>
      <c r="R34" s="50"/>
      <c r="S34" s="50"/>
      <c r="T34" s="50"/>
      <c r="U34" s="2"/>
    </row>
    <row r="35" spans="1:21" ht="16.5" customHeight="1">
      <c r="A35" s="2444"/>
      <c r="B35" s="2439"/>
      <c r="C35" s="24" t="s">
        <v>94</v>
      </c>
      <c r="D35" s="38"/>
      <c r="E35" s="25"/>
      <c r="F35" s="85">
        <v>6200</v>
      </c>
      <c r="G35" s="68" t="s">
        <v>98</v>
      </c>
      <c r="H35" s="69"/>
      <c r="I35" s="36"/>
      <c r="J35" s="66"/>
      <c r="K35" s="50"/>
      <c r="L35" s="2"/>
      <c r="M35" s="20"/>
      <c r="N35" s="2"/>
      <c r="O35" s="2"/>
      <c r="P35" s="2"/>
      <c r="Q35" s="50"/>
      <c r="R35" s="50"/>
      <c r="S35" s="50"/>
      <c r="T35" s="50"/>
      <c r="U35" s="2"/>
    </row>
    <row r="36" spans="1:21" ht="36">
      <c r="A36" s="2444"/>
      <c r="B36" s="2439"/>
      <c r="C36" s="72" t="s">
        <v>99</v>
      </c>
      <c r="D36" s="86" t="s">
        <v>100</v>
      </c>
      <c r="E36" s="25" t="s">
        <v>17</v>
      </c>
      <c r="F36" s="26">
        <v>4000</v>
      </c>
      <c r="G36" s="87" t="s">
        <v>101</v>
      </c>
      <c r="H36" s="88"/>
      <c r="I36" s="55" t="s">
        <v>102</v>
      </c>
      <c r="J36" s="30"/>
      <c r="K36" s="50"/>
      <c r="L36" s="2"/>
      <c r="M36" s="20"/>
      <c r="N36" s="2"/>
      <c r="O36" s="2"/>
      <c r="P36" s="2"/>
      <c r="Q36" s="50"/>
      <c r="R36" s="50"/>
      <c r="S36" s="50"/>
      <c r="T36" s="50"/>
      <c r="U36" s="2"/>
    </row>
    <row r="37" spans="1:21" ht="51" customHeight="1">
      <c r="A37" s="2444"/>
      <c r="B37" s="23" t="s">
        <v>103</v>
      </c>
      <c r="C37" s="24" t="s">
        <v>104</v>
      </c>
      <c r="D37" s="32" t="s">
        <v>105</v>
      </c>
      <c r="E37" s="25" t="s">
        <v>17</v>
      </c>
      <c r="F37" s="26">
        <v>6200</v>
      </c>
      <c r="G37" s="34" t="s">
        <v>106</v>
      </c>
      <c r="H37" s="35"/>
      <c r="I37" s="83"/>
      <c r="J37" s="30"/>
      <c r="K37" s="17" t="s">
        <v>92</v>
      </c>
      <c r="L37" s="16"/>
      <c r="M37" s="20"/>
      <c r="N37" s="2"/>
      <c r="O37" s="2"/>
      <c r="P37" s="2"/>
      <c r="Q37" s="50"/>
      <c r="R37" s="50"/>
      <c r="S37" s="50"/>
      <c r="T37" s="50"/>
      <c r="U37" s="2"/>
    </row>
    <row r="38" spans="1:21" ht="48.75" customHeight="1">
      <c r="A38" s="2444"/>
      <c r="B38" s="23" t="s">
        <v>107</v>
      </c>
      <c r="C38" s="24" t="s">
        <v>108</v>
      </c>
      <c r="D38" s="64" t="s">
        <v>109</v>
      </c>
      <c r="E38" s="25" t="s">
        <v>17</v>
      </c>
      <c r="F38" s="26">
        <v>6200</v>
      </c>
      <c r="G38" s="89" t="s">
        <v>110</v>
      </c>
      <c r="H38" s="90"/>
      <c r="I38" s="36" t="s">
        <v>111</v>
      </c>
      <c r="J38" s="59" t="s">
        <v>112</v>
      </c>
      <c r="K38" s="17" t="s">
        <v>92</v>
      </c>
      <c r="L38" s="16"/>
      <c r="M38" s="20"/>
      <c r="N38" s="2"/>
      <c r="O38" s="2"/>
      <c r="P38" s="2"/>
      <c r="Q38" s="50"/>
      <c r="R38" s="50"/>
      <c r="S38" s="50"/>
      <c r="T38" s="50"/>
      <c r="U38" s="2"/>
    </row>
    <row r="39" spans="1:21" ht="26.25" customHeight="1">
      <c r="A39" s="2444"/>
      <c r="B39" s="2440" t="s">
        <v>113</v>
      </c>
      <c r="C39" s="2441" t="s">
        <v>114</v>
      </c>
      <c r="D39" s="91" t="s">
        <v>115</v>
      </c>
      <c r="E39" s="92"/>
      <c r="F39" s="93">
        <v>16436</v>
      </c>
      <c r="G39" s="34" t="s">
        <v>116</v>
      </c>
      <c r="H39" s="35"/>
      <c r="I39" s="36"/>
      <c r="J39" s="94" t="s">
        <v>117</v>
      </c>
      <c r="K39" s="50"/>
      <c r="L39" s="2"/>
      <c r="M39" s="20"/>
      <c r="N39" s="2"/>
      <c r="O39" s="2"/>
      <c r="P39" s="2"/>
      <c r="Q39" s="50"/>
      <c r="R39" s="50"/>
      <c r="S39" s="50"/>
      <c r="T39" s="50"/>
      <c r="U39" s="2"/>
    </row>
    <row r="40" spans="1:21" ht="25.5" customHeight="1">
      <c r="A40" s="2444"/>
      <c r="B40" s="2440"/>
      <c r="C40" s="2441"/>
      <c r="D40" s="91" t="s">
        <v>118</v>
      </c>
      <c r="E40" s="95" t="s">
        <v>17</v>
      </c>
      <c r="F40" s="96">
        <v>16437</v>
      </c>
      <c r="G40" s="34" t="s">
        <v>119</v>
      </c>
      <c r="H40" s="35"/>
      <c r="I40" s="36"/>
      <c r="J40" s="94" t="s">
        <v>120</v>
      </c>
      <c r="K40" s="50"/>
      <c r="L40" s="2"/>
      <c r="M40" s="20"/>
      <c r="N40" s="2"/>
      <c r="O40" s="2"/>
      <c r="P40" s="2"/>
      <c r="Q40" s="50"/>
      <c r="R40" s="50"/>
      <c r="S40" s="50"/>
      <c r="T40" s="50"/>
      <c r="U40" s="2"/>
    </row>
    <row r="41" spans="1:21" ht="27.75" customHeight="1">
      <c r="A41" s="2444"/>
      <c r="B41" s="2440"/>
      <c r="C41" s="2441"/>
      <c r="D41" s="91" t="s">
        <v>121</v>
      </c>
      <c r="E41" s="95" t="s">
        <v>17</v>
      </c>
      <c r="F41" s="93">
        <v>16436</v>
      </c>
      <c r="G41" s="34" t="s">
        <v>122</v>
      </c>
      <c r="H41" s="35"/>
      <c r="I41" s="55" t="s">
        <v>123</v>
      </c>
      <c r="J41" s="30"/>
      <c r="K41" s="50"/>
      <c r="L41" s="2"/>
      <c r="M41" s="20"/>
      <c r="N41" s="2"/>
      <c r="O41" s="2"/>
      <c r="P41" s="2"/>
      <c r="Q41" s="50"/>
      <c r="R41" s="50"/>
      <c r="S41" s="50"/>
      <c r="T41" s="50"/>
      <c r="U41" s="2"/>
    </row>
    <row r="42" spans="1:21" ht="25.5" customHeight="1">
      <c r="A42" s="97"/>
      <c r="B42" s="2440"/>
      <c r="C42" s="2441"/>
      <c r="D42" s="98" t="s">
        <v>124</v>
      </c>
      <c r="E42" s="95" t="s">
        <v>17</v>
      </c>
      <c r="F42" s="93">
        <v>16436</v>
      </c>
      <c r="G42" s="34" t="s">
        <v>125</v>
      </c>
      <c r="H42" s="35"/>
      <c r="I42" s="55"/>
      <c r="J42" s="30"/>
      <c r="K42" s="50"/>
      <c r="L42" s="2"/>
      <c r="M42" s="20"/>
      <c r="N42" s="2"/>
      <c r="O42" s="2"/>
      <c r="P42" s="2"/>
      <c r="Q42" s="50"/>
      <c r="R42" s="50"/>
      <c r="S42" s="50"/>
      <c r="T42" s="50"/>
      <c r="U42" s="2"/>
    </row>
    <row r="43" spans="1:21" ht="25.5" customHeight="1">
      <c r="A43" s="97"/>
      <c r="B43" s="2440"/>
      <c r="C43" s="2441"/>
      <c r="D43" s="91" t="s">
        <v>126</v>
      </c>
      <c r="E43" s="95" t="s">
        <v>17</v>
      </c>
      <c r="F43" s="93">
        <v>16436</v>
      </c>
      <c r="G43" s="34" t="s">
        <v>127</v>
      </c>
      <c r="H43" s="35"/>
      <c r="I43" s="55"/>
      <c r="J43" s="30"/>
      <c r="K43" s="50"/>
      <c r="L43" s="2"/>
      <c r="M43" s="20"/>
      <c r="N43" s="2"/>
      <c r="O43" s="2"/>
      <c r="P43" s="2"/>
      <c r="Q43" s="50"/>
      <c r="R43" s="50"/>
      <c r="S43" s="50"/>
      <c r="T43" s="50"/>
      <c r="U43" s="2"/>
    </row>
    <row r="44" spans="1:21" ht="18" customHeight="1">
      <c r="A44" s="97"/>
      <c r="B44" s="2440"/>
      <c r="C44" s="2441"/>
      <c r="D44" s="99" t="s">
        <v>128</v>
      </c>
      <c r="E44" s="95" t="s">
        <v>17</v>
      </c>
      <c r="F44" s="93">
        <v>49308</v>
      </c>
      <c r="G44" s="34" t="s">
        <v>129</v>
      </c>
      <c r="H44" s="35"/>
      <c r="I44" s="100"/>
      <c r="J44" s="30"/>
      <c r="K44" s="50"/>
      <c r="L44" s="2"/>
      <c r="M44" s="20"/>
      <c r="N44" s="2"/>
      <c r="O44" s="2"/>
      <c r="P44" s="2"/>
      <c r="Q44" s="50"/>
      <c r="R44" s="50"/>
      <c r="S44" s="50"/>
      <c r="T44" s="50"/>
      <c r="U44" s="2"/>
    </row>
    <row r="45" spans="1:21" ht="23.25" customHeight="1">
      <c r="A45" s="97"/>
      <c r="B45" s="2440"/>
      <c r="C45" s="2441"/>
      <c r="D45" s="99" t="s">
        <v>130</v>
      </c>
      <c r="E45" s="95" t="s">
        <v>131</v>
      </c>
      <c r="F45" s="93">
        <v>16436</v>
      </c>
      <c r="G45" s="34" t="s">
        <v>132</v>
      </c>
      <c r="H45" s="35"/>
      <c r="I45" s="55"/>
      <c r="J45" s="101"/>
      <c r="K45" s="50"/>
      <c r="L45" s="2"/>
      <c r="M45" s="20"/>
      <c r="N45" s="2"/>
      <c r="O45" s="2"/>
      <c r="P45" s="2"/>
      <c r="Q45" s="50"/>
      <c r="R45" s="50"/>
      <c r="S45" s="50"/>
      <c r="T45" s="50"/>
      <c r="U45" s="2"/>
    </row>
    <row r="46" spans="1:21" ht="24" customHeight="1">
      <c r="A46" s="97"/>
      <c r="B46" s="2440"/>
      <c r="C46" s="2441"/>
      <c r="D46" s="99" t="s">
        <v>133</v>
      </c>
      <c r="E46" s="95" t="s">
        <v>134</v>
      </c>
      <c r="F46" s="93">
        <v>16436</v>
      </c>
      <c r="G46" s="34" t="s">
        <v>135</v>
      </c>
      <c r="H46" s="35"/>
      <c r="I46" s="55" t="s">
        <v>136</v>
      </c>
      <c r="J46" s="30"/>
      <c r="K46" s="50"/>
      <c r="L46" s="2"/>
      <c r="M46" s="20"/>
      <c r="N46" s="2"/>
      <c r="O46" s="2"/>
      <c r="P46" s="2"/>
      <c r="Q46" s="50"/>
      <c r="R46" s="50"/>
      <c r="S46" s="50"/>
      <c r="T46" s="50"/>
      <c r="U46" s="2"/>
    </row>
    <row r="47" spans="1:21" ht="24.75" customHeight="1">
      <c r="A47" s="97"/>
      <c r="B47" s="2440"/>
      <c r="C47" s="2441"/>
      <c r="D47" s="102" t="s">
        <v>137</v>
      </c>
      <c r="E47" s="95"/>
      <c r="F47" s="93">
        <v>89000</v>
      </c>
      <c r="G47" s="103" t="s">
        <v>138</v>
      </c>
      <c r="H47" s="104"/>
      <c r="I47" s="28" t="s">
        <v>139</v>
      </c>
      <c r="J47" s="30" t="s">
        <v>140</v>
      </c>
      <c r="K47" s="50"/>
      <c r="L47" s="2"/>
      <c r="M47" s="20"/>
      <c r="N47" s="2"/>
      <c r="O47" s="2"/>
      <c r="P47" s="2"/>
      <c r="Q47" s="50"/>
      <c r="R47" s="50"/>
      <c r="S47" s="50"/>
      <c r="T47" s="50"/>
      <c r="U47" s="2"/>
    </row>
    <row r="48" spans="1:21" ht="22.5" customHeight="1">
      <c r="A48" s="97"/>
      <c r="B48" s="2440"/>
      <c r="C48" s="2441"/>
      <c r="D48" s="99" t="s">
        <v>141</v>
      </c>
      <c r="E48" s="95" t="s">
        <v>142</v>
      </c>
      <c r="F48" s="93">
        <v>18500</v>
      </c>
      <c r="G48" s="34" t="s">
        <v>143</v>
      </c>
      <c r="H48" s="35"/>
      <c r="I48" s="55"/>
      <c r="J48" s="30"/>
      <c r="K48" s="50"/>
      <c r="L48" s="2"/>
      <c r="M48" s="20"/>
      <c r="N48" s="2"/>
      <c r="O48" s="2"/>
      <c r="P48" s="2"/>
      <c r="Q48" s="50"/>
      <c r="R48" s="50"/>
      <c r="S48" s="50"/>
      <c r="T48" s="50"/>
      <c r="U48" s="2"/>
    </row>
    <row r="49" spans="1:23" ht="25.5" customHeight="1">
      <c r="A49" s="97"/>
      <c r="B49" s="2440"/>
      <c r="C49" s="2441"/>
      <c r="D49" s="105" t="s">
        <v>144</v>
      </c>
      <c r="E49" s="95" t="s">
        <v>145</v>
      </c>
      <c r="F49" s="93">
        <v>18500</v>
      </c>
      <c r="G49" s="34" t="s">
        <v>146</v>
      </c>
      <c r="H49" s="35"/>
      <c r="I49" s="55"/>
      <c r="J49" s="30"/>
      <c r="K49" s="50"/>
      <c r="L49" s="2"/>
      <c r="M49" s="20"/>
      <c r="N49" s="2"/>
      <c r="O49" s="2"/>
      <c r="P49" s="2"/>
      <c r="Q49" s="50"/>
      <c r="R49" s="50"/>
      <c r="S49" s="50"/>
      <c r="T49" s="50"/>
      <c r="U49" s="2"/>
    </row>
    <row r="50" spans="1:23" ht="25.5" customHeight="1">
      <c r="A50" s="97"/>
      <c r="B50" s="2440"/>
      <c r="C50" s="2441"/>
      <c r="D50" s="105" t="s">
        <v>147</v>
      </c>
      <c r="E50" s="95" t="s">
        <v>148</v>
      </c>
      <c r="F50" s="93">
        <v>18500</v>
      </c>
      <c r="G50" s="34" t="s">
        <v>149</v>
      </c>
      <c r="H50" s="35"/>
      <c r="I50" s="55"/>
      <c r="J50" s="30"/>
      <c r="K50" s="50"/>
      <c r="L50" s="2"/>
      <c r="M50" s="20"/>
      <c r="N50" s="2"/>
      <c r="O50" s="2"/>
      <c r="P50" s="2"/>
      <c r="Q50" s="50"/>
      <c r="R50" s="50"/>
      <c r="S50" s="50"/>
      <c r="T50" s="50"/>
      <c r="U50" s="2"/>
    </row>
    <row r="51" spans="1:23" ht="22.5" customHeight="1">
      <c r="A51" s="97"/>
      <c r="B51" s="2440"/>
      <c r="C51" s="51"/>
      <c r="D51" s="105" t="s">
        <v>150</v>
      </c>
      <c r="E51" s="95" t="s">
        <v>151</v>
      </c>
      <c r="F51" s="93">
        <v>18500</v>
      </c>
      <c r="G51" s="34" t="s">
        <v>152</v>
      </c>
      <c r="H51" s="35"/>
      <c r="I51" s="73" t="s">
        <v>153</v>
      </c>
      <c r="J51" s="30"/>
      <c r="K51" s="50"/>
      <c r="L51" s="2"/>
      <c r="M51" s="20"/>
      <c r="N51" s="2"/>
      <c r="O51" s="2"/>
      <c r="P51" s="2"/>
      <c r="Q51" s="50"/>
      <c r="R51" s="50"/>
      <c r="S51" s="50"/>
      <c r="T51" s="50"/>
      <c r="U51" s="2"/>
    </row>
    <row r="52" spans="1:23" ht="16.5" customHeight="1">
      <c r="A52" s="97"/>
      <c r="B52" s="2440"/>
      <c r="C52" s="24" t="s">
        <v>154</v>
      </c>
      <c r="D52" s="98"/>
      <c r="E52" s="25"/>
      <c r="F52" s="26">
        <v>8573.3799999999992</v>
      </c>
      <c r="G52" s="27" t="s">
        <v>155</v>
      </c>
      <c r="H52" s="28"/>
      <c r="I52" s="55"/>
      <c r="J52" s="30"/>
      <c r="K52" s="50"/>
      <c r="L52" s="2"/>
      <c r="M52" s="20"/>
      <c r="N52" s="2"/>
      <c r="O52" s="2"/>
      <c r="P52" s="2"/>
      <c r="Q52" s="50"/>
      <c r="R52" s="50"/>
      <c r="S52" s="50"/>
      <c r="T52" s="50"/>
      <c r="U52" s="2"/>
    </row>
    <row r="53" spans="1:23" ht="22.5" customHeight="1">
      <c r="A53" s="97"/>
      <c r="B53" s="2440"/>
      <c r="C53" s="24" t="s">
        <v>156</v>
      </c>
      <c r="D53" s="98"/>
      <c r="E53" s="25"/>
      <c r="F53" s="26">
        <v>8354.4</v>
      </c>
      <c r="G53" s="34" t="s">
        <v>157</v>
      </c>
      <c r="H53" s="35"/>
      <c r="I53" s="29"/>
      <c r="J53" s="30"/>
      <c r="K53" s="50"/>
      <c r="L53" s="2"/>
      <c r="M53" s="20"/>
      <c r="N53" s="2"/>
      <c r="O53" s="2"/>
      <c r="P53" s="2"/>
      <c r="Q53" s="50"/>
      <c r="R53" s="50"/>
      <c r="S53" s="50"/>
      <c r="T53" s="50"/>
      <c r="U53" s="2"/>
    </row>
    <row r="54" spans="1:23" ht="23.25" customHeight="1">
      <c r="A54" s="97"/>
      <c r="B54" s="2376" t="s">
        <v>158</v>
      </c>
      <c r="C54" s="106" t="s">
        <v>159</v>
      </c>
      <c r="D54" s="91" t="s">
        <v>160</v>
      </c>
      <c r="E54" s="92"/>
      <c r="F54" s="26">
        <v>17000</v>
      </c>
      <c r="G54" s="27" t="s">
        <v>161</v>
      </c>
      <c r="H54" s="28"/>
      <c r="I54" s="29"/>
      <c r="J54" s="30"/>
      <c r="K54" s="50"/>
      <c r="L54" s="2"/>
      <c r="M54" s="20"/>
      <c r="N54" s="2"/>
      <c r="O54" s="2"/>
      <c r="P54" s="2"/>
      <c r="Q54" s="50"/>
      <c r="R54" s="50"/>
      <c r="S54" s="50"/>
      <c r="T54" s="50"/>
      <c r="U54" s="2"/>
    </row>
    <row r="55" spans="1:23" ht="24" customHeight="1">
      <c r="A55" s="22"/>
      <c r="B55" s="2376"/>
      <c r="C55" s="2438" t="s">
        <v>162</v>
      </c>
      <c r="D55" s="38" t="s">
        <v>163</v>
      </c>
      <c r="E55" s="2376" t="s">
        <v>17</v>
      </c>
      <c r="F55" s="26">
        <v>7884</v>
      </c>
      <c r="G55" s="27" t="s">
        <v>164</v>
      </c>
      <c r="H55" s="28"/>
      <c r="I55" s="29" t="s">
        <v>165</v>
      </c>
      <c r="J55" s="41" t="s">
        <v>166</v>
      </c>
      <c r="K55" s="50"/>
      <c r="L55" s="2"/>
      <c r="M55" s="20"/>
      <c r="N55" s="2"/>
      <c r="O55" s="2"/>
      <c r="P55" s="2"/>
      <c r="Q55" s="50"/>
      <c r="R55" s="50"/>
      <c r="S55" s="50"/>
      <c r="T55" s="50"/>
      <c r="U55" s="2"/>
    </row>
    <row r="56" spans="1:23" ht="29.25" customHeight="1">
      <c r="A56" s="22"/>
      <c r="B56" s="2376"/>
      <c r="C56" s="2438"/>
      <c r="D56" s="32" t="s">
        <v>167</v>
      </c>
      <c r="E56" s="2376"/>
      <c r="F56" s="26">
        <v>8279</v>
      </c>
      <c r="G56" s="27" t="s">
        <v>168</v>
      </c>
      <c r="H56" s="28"/>
      <c r="I56" s="55"/>
      <c r="J56" s="107" t="s">
        <v>169</v>
      </c>
      <c r="K56" s="50"/>
      <c r="L56" s="2"/>
      <c r="M56" s="20"/>
      <c r="N56" s="2"/>
      <c r="O56" s="2"/>
      <c r="P56" s="2"/>
      <c r="Q56" s="50"/>
      <c r="R56" s="50"/>
      <c r="S56" s="50"/>
      <c r="T56" s="50"/>
      <c r="U56" s="2"/>
    </row>
    <row r="57" spans="1:23" s="114" customFormat="1" ht="39" customHeight="1">
      <c r="A57" s="108"/>
      <c r="B57" s="2437" t="s">
        <v>170</v>
      </c>
      <c r="C57" s="2438" t="s">
        <v>171</v>
      </c>
      <c r="D57" s="32" t="s">
        <v>172</v>
      </c>
      <c r="E57" s="2437" t="s">
        <v>17</v>
      </c>
      <c r="F57" s="99" t="s">
        <v>173</v>
      </c>
      <c r="G57" s="109" t="s">
        <v>174</v>
      </c>
      <c r="H57" s="110"/>
      <c r="I57" s="111" t="s">
        <v>175</v>
      </c>
      <c r="J57" s="112" t="s">
        <v>176</v>
      </c>
      <c r="K57" s="113"/>
      <c r="L57" s="4"/>
      <c r="M57" s="20"/>
      <c r="N57" s="4"/>
      <c r="O57" s="4"/>
      <c r="P57" s="4"/>
      <c r="Q57" s="113"/>
      <c r="R57" s="113"/>
      <c r="S57" s="113"/>
      <c r="T57" s="113"/>
      <c r="U57" s="4"/>
      <c r="V57" s="700"/>
      <c r="W57" s="700"/>
    </row>
    <row r="58" spans="1:23" s="114" customFormat="1" ht="28.5" customHeight="1">
      <c r="A58" s="115"/>
      <c r="B58" s="2437"/>
      <c r="C58" s="2438"/>
      <c r="D58" s="64" t="s">
        <v>177</v>
      </c>
      <c r="E58" s="2437"/>
      <c r="F58" s="99">
        <v>6500</v>
      </c>
      <c r="G58" s="109"/>
      <c r="H58" s="110"/>
      <c r="I58" s="55" t="s">
        <v>178</v>
      </c>
      <c r="J58" s="112"/>
      <c r="K58" s="113"/>
      <c r="L58" s="4"/>
      <c r="M58" s="20"/>
      <c r="N58" s="4"/>
      <c r="O58" s="4"/>
      <c r="P58" s="4"/>
      <c r="Q58" s="113"/>
      <c r="R58" s="113"/>
      <c r="S58" s="113"/>
      <c r="T58" s="113"/>
      <c r="U58" s="4"/>
      <c r="V58" s="700"/>
      <c r="W58" s="700"/>
    </row>
    <row r="59" spans="1:23" ht="37.5" customHeight="1">
      <c r="A59" s="2444"/>
      <c r="B59" s="80" t="s">
        <v>179</v>
      </c>
      <c r="C59" s="24" t="s">
        <v>180</v>
      </c>
      <c r="D59" s="116"/>
      <c r="E59" s="25" t="s">
        <v>17</v>
      </c>
      <c r="F59" s="26">
        <v>14076</v>
      </c>
      <c r="G59" s="27" t="s">
        <v>181</v>
      </c>
      <c r="H59" s="28"/>
      <c r="I59" s="83"/>
      <c r="J59" s="21"/>
      <c r="K59" s="50"/>
      <c r="L59" s="2"/>
      <c r="M59" s="20"/>
      <c r="N59" s="2"/>
      <c r="O59" s="2"/>
      <c r="P59" s="2"/>
      <c r="Q59" s="50"/>
      <c r="R59" s="50"/>
      <c r="S59" s="50"/>
      <c r="T59" s="50"/>
      <c r="U59" s="2"/>
    </row>
    <row r="60" spans="1:23" ht="39" customHeight="1">
      <c r="A60" s="2444"/>
      <c r="B60" s="2376" t="s">
        <v>182</v>
      </c>
      <c r="C60" s="2438" t="s">
        <v>183</v>
      </c>
      <c r="D60" s="32" t="s">
        <v>184</v>
      </c>
      <c r="E60" s="2376" t="s">
        <v>17</v>
      </c>
      <c r="F60" s="26">
        <v>14076</v>
      </c>
      <c r="G60" s="27" t="s">
        <v>185</v>
      </c>
      <c r="H60" s="28"/>
      <c r="I60" s="36"/>
      <c r="J60" s="117"/>
      <c r="K60" s="50"/>
      <c r="L60" s="2"/>
      <c r="M60" s="20"/>
      <c r="N60" s="2"/>
      <c r="O60" s="2"/>
      <c r="P60" s="2"/>
      <c r="Q60" s="50"/>
      <c r="R60" s="50"/>
      <c r="S60" s="50"/>
      <c r="T60" s="50"/>
      <c r="U60" s="2"/>
    </row>
    <row r="61" spans="1:23" ht="55.5" customHeight="1">
      <c r="A61" s="118"/>
      <c r="B61" s="2376"/>
      <c r="C61" s="2438"/>
      <c r="D61" s="32" t="s">
        <v>186</v>
      </c>
      <c r="E61" s="2376"/>
      <c r="F61" s="25" t="s">
        <v>187</v>
      </c>
      <c r="G61" s="27" t="s">
        <v>188</v>
      </c>
      <c r="H61" s="28"/>
      <c r="I61" s="83" t="s">
        <v>189</v>
      </c>
      <c r="J61" s="2357" t="s">
        <v>190</v>
      </c>
      <c r="K61" s="2357"/>
      <c r="L61" s="119"/>
      <c r="M61" s="20"/>
      <c r="N61" s="2"/>
      <c r="O61" s="2"/>
      <c r="P61" s="2"/>
      <c r="Q61" s="50"/>
      <c r="R61" s="50"/>
      <c r="S61" s="50"/>
      <c r="T61" s="50"/>
      <c r="U61" s="2"/>
    </row>
    <row r="62" spans="1:23" ht="28.5" customHeight="1">
      <c r="A62" s="2444"/>
      <c r="B62" s="2374" t="s">
        <v>191</v>
      </c>
      <c r="C62" s="24" t="s">
        <v>192</v>
      </c>
      <c r="D62" s="70"/>
      <c r="E62" s="25"/>
      <c r="F62" s="26">
        <v>4600</v>
      </c>
      <c r="G62" s="34" t="s">
        <v>193</v>
      </c>
      <c r="H62" s="35"/>
      <c r="I62" s="45"/>
      <c r="J62" s="41" t="s">
        <v>194</v>
      </c>
      <c r="K62" s="46" t="s">
        <v>195</v>
      </c>
      <c r="L62" s="42"/>
      <c r="M62" s="20"/>
      <c r="N62" s="2"/>
      <c r="O62" s="2"/>
      <c r="P62" s="2"/>
      <c r="Q62" s="50"/>
      <c r="R62" s="50"/>
      <c r="S62" s="50"/>
      <c r="T62" s="50"/>
      <c r="U62" s="2"/>
    </row>
    <row r="63" spans="1:23" ht="36" customHeight="1">
      <c r="A63" s="2444"/>
      <c r="B63" s="2374"/>
      <c r="C63" s="24" t="s">
        <v>192</v>
      </c>
      <c r="D63" s="64" t="s">
        <v>196</v>
      </c>
      <c r="E63" s="25" t="s">
        <v>17</v>
      </c>
      <c r="F63" s="26">
        <v>8600</v>
      </c>
      <c r="G63" s="44" t="s">
        <v>197</v>
      </c>
      <c r="H63" s="45"/>
      <c r="I63" s="83" t="s">
        <v>198</v>
      </c>
      <c r="J63" s="21"/>
      <c r="K63" s="17" t="s">
        <v>92</v>
      </c>
      <c r="L63" s="16"/>
      <c r="M63" s="20"/>
      <c r="N63" s="2"/>
      <c r="O63" s="2"/>
      <c r="P63" s="2"/>
      <c r="Q63" s="50"/>
      <c r="R63" s="50"/>
      <c r="S63" s="50"/>
      <c r="T63" s="50"/>
      <c r="U63" s="2"/>
    </row>
    <row r="64" spans="1:23" ht="30" customHeight="1">
      <c r="A64" s="2444"/>
      <c r="B64" s="2374"/>
      <c r="C64" s="24" t="s">
        <v>159</v>
      </c>
      <c r="D64" s="64" t="s">
        <v>199</v>
      </c>
      <c r="E64" s="25"/>
      <c r="F64" s="26">
        <v>10000</v>
      </c>
      <c r="G64" s="44" t="s">
        <v>200</v>
      </c>
      <c r="H64" s="45"/>
      <c r="I64" s="83"/>
      <c r="J64" s="21"/>
      <c r="K64" s="50"/>
      <c r="L64" s="2"/>
      <c r="M64" s="20"/>
      <c r="N64" s="2"/>
      <c r="O64" s="2"/>
      <c r="P64" s="2"/>
      <c r="Q64" s="50"/>
      <c r="R64" s="50"/>
      <c r="S64" s="50"/>
      <c r="T64" s="50"/>
      <c r="U64" s="2"/>
    </row>
    <row r="65" spans="1:21" ht="72.75" customHeight="1">
      <c r="A65" s="22"/>
      <c r="B65" s="31" t="s">
        <v>201</v>
      </c>
      <c r="C65" s="51" t="s">
        <v>202</v>
      </c>
      <c r="D65" s="64" t="s">
        <v>203</v>
      </c>
      <c r="E65" s="26" t="s">
        <v>204</v>
      </c>
      <c r="F65" s="120">
        <v>15000</v>
      </c>
      <c r="G65" s="121" t="s">
        <v>205</v>
      </c>
      <c r="H65" s="122"/>
      <c r="I65" s="123" t="s">
        <v>206</v>
      </c>
      <c r="J65" s="101" t="s">
        <v>207</v>
      </c>
      <c r="K65" s="50"/>
      <c r="L65" s="2"/>
      <c r="M65" s="20"/>
      <c r="N65" s="2"/>
      <c r="O65" s="2"/>
      <c r="P65" s="2"/>
      <c r="Q65" s="50"/>
      <c r="R65" s="50"/>
      <c r="S65" s="50"/>
      <c r="T65" s="50"/>
      <c r="U65" s="2"/>
    </row>
    <row r="66" spans="1:21" ht="58.5" customHeight="1">
      <c r="A66" s="124"/>
      <c r="B66" s="32" t="s">
        <v>208</v>
      </c>
      <c r="C66" s="45" t="s">
        <v>209</v>
      </c>
      <c r="D66" s="125" t="s">
        <v>210</v>
      </c>
      <c r="E66" s="25" t="s">
        <v>17</v>
      </c>
      <c r="F66" s="26">
        <v>65000</v>
      </c>
      <c r="G66" s="126" t="s">
        <v>211</v>
      </c>
      <c r="H66" s="22"/>
      <c r="I66" s="83" t="s">
        <v>212</v>
      </c>
      <c r="J66" s="71"/>
      <c r="K66" s="50"/>
      <c r="L66" s="2"/>
      <c r="M66" s="20"/>
      <c r="N66" s="2"/>
      <c r="O66" s="2"/>
      <c r="P66" s="2"/>
      <c r="Q66" s="50"/>
      <c r="R66" s="50"/>
      <c r="S66" s="50"/>
      <c r="T66" s="50"/>
      <c r="U66" s="2"/>
    </row>
    <row r="67" spans="1:21" ht="21.75" customHeight="1">
      <c r="B67" s="16" t="s">
        <v>213</v>
      </c>
      <c r="C67" s="22" t="s">
        <v>214</v>
      </c>
      <c r="D67" s="26" t="s">
        <v>215</v>
      </c>
      <c r="E67" s="2"/>
      <c r="F67" s="2">
        <v>4705000</v>
      </c>
      <c r="G67" s="50"/>
      <c r="H67" s="2"/>
      <c r="I67" s="2"/>
      <c r="J67" s="21"/>
      <c r="K67" s="50"/>
      <c r="L67" s="2"/>
      <c r="M67" s="20"/>
      <c r="N67" s="2"/>
      <c r="O67" s="2"/>
      <c r="P67" s="2"/>
      <c r="Q67" s="50"/>
      <c r="R67" s="50"/>
      <c r="S67" s="50"/>
      <c r="T67" s="50"/>
      <c r="U67" s="2"/>
    </row>
    <row r="68" spans="1:21" ht="42" customHeight="1">
      <c r="A68" s="97"/>
      <c r="B68" s="2375" t="s">
        <v>216</v>
      </c>
      <c r="C68" s="45" t="s">
        <v>217</v>
      </c>
      <c r="D68" s="127" t="s">
        <v>218</v>
      </c>
      <c r="E68" s="25" t="s">
        <v>17</v>
      </c>
      <c r="F68" s="128">
        <v>8279</v>
      </c>
      <c r="G68" s="27" t="s">
        <v>219</v>
      </c>
      <c r="H68" s="28"/>
      <c r="I68" s="55" t="s">
        <v>65</v>
      </c>
      <c r="J68" s="30"/>
      <c r="K68" s="50"/>
      <c r="L68" s="2"/>
      <c r="M68" s="20"/>
      <c r="N68" s="2"/>
      <c r="O68" s="2"/>
      <c r="P68" s="2"/>
      <c r="Q68" s="50"/>
      <c r="R68" s="50"/>
      <c r="S68" s="50"/>
      <c r="T68" s="50"/>
      <c r="U68" s="2"/>
    </row>
    <row r="69" spans="1:21" ht="16.5" customHeight="1">
      <c r="A69" s="97"/>
      <c r="B69" s="2375"/>
      <c r="C69" s="45" t="s">
        <v>220</v>
      </c>
      <c r="D69" s="127" t="s">
        <v>221</v>
      </c>
      <c r="E69" s="25"/>
      <c r="F69" s="128">
        <v>7000</v>
      </c>
      <c r="G69" s="27" t="s">
        <v>222</v>
      </c>
      <c r="H69" s="28"/>
      <c r="I69" s="73"/>
      <c r="J69" s="30"/>
      <c r="K69" s="50"/>
      <c r="L69" s="2"/>
      <c r="M69" s="20"/>
      <c r="N69" s="2"/>
      <c r="O69" s="2"/>
      <c r="P69" s="2"/>
      <c r="Q69" s="50"/>
      <c r="R69" s="50"/>
      <c r="S69" s="50"/>
      <c r="T69" s="50"/>
      <c r="U69" s="2"/>
    </row>
    <row r="70" spans="1:21" ht="26.25" customHeight="1">
      <c r="A70" s="97"/>
      <c r="B70" s="2375"/>
      <c r="C70" s="45" t="s">
        <v>159</v>
      </c>
      <c r="D70" s="127" t="s">
        <v>223</v>
      </c>
      <c r="E70" s="25"/>
      <c r="F70" s="129">
        <v>10000</v>
      </c>
      <c r="G70" s="27" t="s">
        <v>224</v>
      </c>
      <c r="H70" s="28"/>
      <c r="I70" s="73"/>
      <c r="J70" s="30"/>
      <c r="K70" s="50"/>
      <c r="L70" s="2"/>
      <c r="M70" s="20"/>
      <c r="N70" s="2"/>
      <c r="O70" s="2"/>
      <c r="P70" s="2"/>
      <c r="Q70" s="50"/>
      <c r="R70" s="50"/>
      <c r="S70" s="50"/>
      <c r="T70" s="50"/>
      <c r="U70" s="2"/>
    </row>
    <row r="71" spans="1:21" ht="26.25" customHeight="1">
      <c r="A71" s="97"/>
      <c r="B71" s="2439" t="s">
        <v>225</v>
      </c>
      <c r="C71" s="2349" t="s">
        <v>226</v>
      </c>
      <c r="D71" s="2445" t="s">
        <v>227</v>
      </c>
      <c r="E71" s="25"/>
      <c r="F71" s="129"/>
      <c r="G71" s="27" t="s">
        <v>228</v>
      </c>
      <c r="H71" s="28"/>
      <c r="I71" s="73" t="s">
        <v>229</v>
      </c>
      <c r="J71" s="30"/>
      <c r="K71" s="50"/>
      <c r="L71" s="2"/>
      <c r="M71" s="20"/>
      <c r="N71" s="2"/>
      <c r="O71" s="2"/>
      <c r="P71" s="2"/>
      <c r="Q71" s="50"/>
      <c r="R71" s="50"/>
      <c r="S71" s="50"/>
      <c r="T71" s="50"/>
      <c r="U71" s="2"/>
    </row>
    <row r="72" spans="1:21" ht="26.25" customHeight="1">
      <c r="A72" s="97"/>
      <c r="B72" s="2439"/>
      <c r="C72" s="2349"/>
      <c r="D72" s="2445"/>
      <c r="E72" s="25"/>
      <c r="F72" s="28" t="s">
        <v>230</v>
      </c>
      <c r="G72" s="27" t="s">
        <v>231</v>
      </c>
      <c r="H72" s="28"/>
      <c r="I72" s="73"/>
      <c r="J72" s="30"/>
      <c r="K72" s="50"/>
      <c r="L72" s="2"/>
      <c r="M72" s="20"/>
      <c r="N72" s="2"/>
      <c r="O72" s="2"/>
      <c r="P72" s="2"/>
      <c r="Q72" s="50"/>
      <c r="R72" s="50"/>
      <c r="S72" s="50"/>
      <c r="T72" s="50"/>
      <c r="U72" s="2"/>
    </row>
    <row r="73" spans="1:21" ht="25.5" customHeight="1">
      <c r="A73" s="97"/>
      <c r="B73" s="2439"/>
      <c r="C73" s="2349"/>
      <c r="D73" s="2445"/>
      <c r="E73" s="25" t="s">
        <v>17</v>
      </c>
      <c r="F73" s="26">
        <v>15600</v>
      </c>
      <c r="G73" s="34" t="s">
        <v>232</v>
      </c>
      <c r="H73" s="35"/>
      <c r="I73" s="55" t="s">
        <v>65</v>
      </c>
      <c r="J73" s="30"/>
      <c r="K73" s="50"/>
      <c r="L73" s="2"/>
      <c r="M73" s="20"/>
      <c r="N73" s="2"/>
      <c r="O73" s="2"/>
      <c r="P73" s="2"/>
      <c r="Q73" s="50"/>
      <c r="R73" s="50"/>
      <c r="S73" s="50"/>
      <c r="T73" s="50"/>
      <c r="U73" s="2"/>
    </row>
    <row r="74" spans="1:21" ht="31.5" customHeight="1">
      <c r="A74" s="97"/>
      <c r="B74" s="2358" t="s">
        <v>233</v>
      </c>
      <c r="C74" s="131"/>
      <c r="D74" s="127" t="s">
        <v>234</v>
      </c>
      <c r="E74" s="25" t="s">
        <v>235</v>
      </c>
      <c r="F74" s="26">
        <v>98548.4</v>
      </c>
      <c r="G74" s="27" t="s">
        <v>236</v>
      </c>
      <c r="H74" s="28"/>
      <c r="I74" s="55"/>
      <c r="J74" s="30"/>
      <c r="K74" s="50"/>
      <c r="L74" s="2"/>
      <c r="M74" s="20"/>
      <c r="N74" s="2"/>
      <c r="O74" s="2"/>
      <c r="P74" s="2"/>
      <c r="Q74" s="50"/>
      <c r="R74" s="50"/>
      <c r="S74" s="50"/>
      <c r="T74" s="50"/>
      <c r="U74" s="2"/>
    </row>
    <row r="75" spans="1:21" ht="31.5" customHeight="1">
      <c r="A75" s="97"/>
      <c r="B75" s="2358"/>
      <c r="C75" s="132" t="s">
        <v>237</v>
      </c>
      <c r="D75" s="127" t="s">
        <v>238</v>
      </c>
      <c r="E75" s="25" t="s">
        <v>239</v>
      </c>
      <c r="F75" s="25" t="s">
        <v>240</v>
      </c>
      <c r="G75" s="34" t="s">
        <v>241</v>
      </c>
      <c r="H75" s="35"/>
      <c r="I75" s="55"/>
      <c r="J75" s="30"/>
      <c r="K75" s="50"/>
      <c r="L75" s="2"/>
      <c r="M75" s="20"/>
      <c r="N75" s="2"/>
      <c r="O75" s="2"/>
      <c r="P75" s="2"/>
      <c r="Q75" s="50"/>
      <c r="R75" s="50"/>
      <c r="S75" s="50"/>
      <c r="T75" s="50"/>
      <c r="U75" s="2"/>
    </row>
    <row r="76" spans="1:21" ht="27.75" customHeight="1">
      <c r="A76" s="97"/>
      <c r="B76" s="2358"/>
      <c r="C76" s="132"/>
      <c r="D76" s="127" t="s">
        <v>242</v>
      </c>
      <c r="E76" s="25" t="s">
        <v>243</v>
      </c>
      <c r="F76" s="25">
        <v>62000</v>
      </c>
      <c r="G76" s="133" t="s">
        <v>244</v>
      </c>
      <c r="H76" s="134"/>
      <c r="I76" s="2"/>
      <c r="J76" s="30"/>
      <c r="K76" s="50"/>
      <c r="L76" s="2"/>
      <c r="M76" s="20"/>
      <c r="N76" s="2"/>
      <c r="O76" s="2"/>
      <c r="P76" s="2"/>
      <c r="Q76" s="50"/>
      <c r="R76" s="50"/>
      <c r="S76" s="50"/>
      <c r="T76" s="50"/>
      <c r="U76" s="2"/>
    </row>
    <row r="77" spans="1:21" ht="25.5" customHeight="1">
      <c r="A77" s="97"/>
      <c r="B77" s="2358"/>
      <c r="C77" s="132"/>
      <c r="D77" s="127" t="s">
        <v>245</v>
      </c>
      <c r="E77" s="25" t="s">
        <v>246</v>
      </c>
      <c r="F77" s="25">
        <v>62000</v>
      </c>
      <c r="G77" s="133" t="s">
        <v>247</v>
      </c>
      <c r="H77" s="134"/>
      <c r="I77" s="2"/>
      <c r="J77" s="30"/>
      <c r="K77" s="50"/>
      <c r="L77" s="2"/>
      <c r="M77" s="20"/>
      <c r="N77" s="2"/>
      <c r="O77" s="2"/>
      <c r="P77" s="2"/>
      <c r="Q77" s="50"/>
      <c r="R77" s="50"/>
      <c r="S77" s="50"/>
      <c r="T77" s="50"/>
      <c r="U77" s="2"/>
    </row>
    <row r="78" spans="1:21" ht="28.5" customHeight="1">
      <c r="A78" s="97"/>
      <c r="B78" s="2358"/>
      <c r="C78" s="135"/>
      <c r="D78" s="136" t="s">
        <v>248</v>
      </c>
      <c r="E78" s="25" t="s">
        <v>249</v>
      </c>
      <c r="F78" s="25">
        <v>62000</v>
      </c>
      <c r="G78" s="34"/>
      <c r="H78" s="35"/>
      <c r="I78" s="55" t="s">
        <v>250</v>
      </c>
      <c r="J78" s="30"/>
      <c r="K78" s="50"/>
      <c r="L78" s="2"/>
      <c r="M78" s="20"/>
      <c r="N78" s="2"/>
      <c r="O78" s="2"/>
      <c r="P78" s="2"/>
      <c r="Q78" s="50"/>
      <c r="R78" s="50"/>
      <c r="S78" s="50"/>
      <c r="T78" s="50"/>
      <c r="U78" s="2"/>
    </row>
    <row r="79" spans="1:21" ht="28.5" customHeight="1">
      <c r="A79" s="97"/>
      <c r="B79" s="2358"/>
      <c r="C79" s="135"/>
      <c r="D79" s="136" t="s">
        <v>251</v>
      </c>
      <c r="E79" s="25" t="s">
        <v>252</v>
      </c>
      <c r="F79" s="25">
        <v>62000</v>
      </c>
      <c r="G79" s="27" t="s">
        <v>253</v>
      </c>
      <c r="H79" s="28"/>
      <c r="I79" s="55" t="s">
        <v>253</v>
      </c>
      <c r="J79" s="30"/>
      <c r="K79" s="50"/>
      <c r="L79" s="2"/>
      <c r="M79" s="20"/>
      <c r="N79" s="2"/>
      <c r="O79" s="2"/>
      <c r="P79" s="2"/>
      <c r="Q79" s="50"/>
      <c r="R79" s="50"/>
      <c r="S79" s="50"/>
      <c r="T79" s="50"/>
      <c r="U79" s="2"/>
    </row>
    <row r="80" spans="1:21" ht="28.5" customHeight="1">
      <c r="A80" s="97"/>
      <c r="B80" s="2358"/>
      <c r="C80" s="135"/>
      <c r="D80" s="136" t="s">
        <v>254</v>
      </c>
      <c r="E80" s="25" t="s">
        <v>255</v>
      </c>
      <c r="F80" s="25">
        <v>62000</v>
      </c>
      <c r="G80" s="27" t="s">
        <v>256</v>
      </c>
      <c r="H80" s="28"/>
      <c r="I80" s="55"/>
      <c r="J80" s="30"/>
      <c r="K80" s="50"/>
      <c r="L80" s="2"/>
      <c r="M80" s="20"/>
      <c r="N80" s="2"/>
      <c r="O80" s="2"/>
      <c r="P80" s="2"/>
      <c r="Q80" s="50"/>
      <c r="R80" s="50"/>
      <c r="S80" s="50"/>
      <c r="T80" s="50"/>
      <c r="U80" s="2"/>
    </row>
    <row r="81" spans="1:21" ht="28.5" customHeight="1">
      <c r="A81" s="97"/>
      <c r="B81" s="2358"/>
      <c r="C81" s="132"/>
      <c r="D81" s="136" t="s">
        <v>257</v>
      </c>
      <c r="E81" s="25" t="s">
        <v>258</v>
      </c>
      <c r="F81" s="25">
        <v>62000</v>
      </c>
      <c r="G81" s="27" t="s">
        <v>259</v>
      </c>
      <c r="H81" s="28"/>
      <c r="I81" s="55"/>
      <c r="J81" s="30"/>
      <c r="K81" s="50"/>
      <c r="L81" s="2"/>
      <c r="M81" s="20"/>
      <c r="N81" s="2"/>
      <c r="O81" s="2"/>
      <c r="P81" s="2"/>
      <c r="Q81" s="50"/>
      <c r="R81" s="50"/>
      <c r="S81" s="50"/>
      <c r="T81" s="50"/>
      <c r="U81" s="2"/>
    </row>
    <row r="82" spans="1:21" ht="28.5" customHeight="1">
      <c r="A82" s="97"/>
      <c r="B82" s="2358"/>
      <c r="C82" s="132"/>
      <c r="D82" s="32" t="s">
        <v>260</v>
      </c>
      <c r="E82" s="25" t="s">
        <v>261</v>
      </c>
      <c r="F82" s="25">
        <v>42000</v>
      </c>
      <c r="G82" s="27" t="s">
        <v>262</v>
      </c>
      <c r="H82" s="28"/>
      <c r="I82" s="55"/>
      <c r="J82" s="30"/>
      <c r="K82" s="50"/>
      <c r="L82" s="2"/>
      <c r="M82" s="20"/>
      <c r="N82" s="2"/>
      <c r="O82" s="2"/>
      <c r="P82" s="2"/>
      <c r="Q82" s="50"/>
      <c r="R82" s="50"/>
      <c r="S82" s="50"/>
      <c r="T82" s="50"/>
      <c r="U82" s="2"/>
    </row>
    <row r="83" spans="1:21" ht="28.5" customHeight="1">
      <c r="A83" s="97"/>
      <c r="B83" s="2358"/>
      <c r="C83" s="132"/>
      <c r="D83" s="32" t="s">
        <v>263</v>
      </c>
      <c r="E83" s="25" t="s">
        <v>264</v>
      </c>
      <c r="F83" s="25">
        <v>62000</v>
      </c>
      <c r="G83" s="27" t="s">
        <v>265</v>
      </c>
      <c r="H83" s="28"/>
      <c r="I83" s="55"/>
      <c r="J83" s="30"/>
      <c r="K83" s="50"/>
      <c r="L83" s="2"/>
      <c r="M83" s="20"/>
      <c r="N83" s="2"/>
      <c r="O83" s="2"/>
      <c r="P83" s="2"/>
      <c r="Q83" s="50"/>
      <c r="R83" s="50"/>
      <c r="S83" s="50"/>
      <c r="T83" s="50"/>
      <c r="U83" s="2"/>
    </row>
    <row r="84" spans="1:21" ht="28.5" customHeight="1">
      <c r="A84" s="97"/>
      <c r="B84" s="2358"/>
      <c r="C84" s="132"/>
      <c r="D84" s="32" t="s">
        <v>266</v>
      </c>
      <c r="E84" s="25" t="s">
        <v>267</v>
      </c>
      <c r="F84" s="25">
        <v>62000</v>
      </c>
      <c r="G84" s="27" t="s">
        <v>268</v>
      </c>
      <c r="H84" s="28"/>
      <c r="I84" s="55"/>
      <c r="J84" s="30"/>
      <c r="K84" s="50"/>
      <c r="L84" s="2"/>
      <c r="M84" s="20"/>
      <c r="N84" s="2"/>
      <c r="O84" s="2"/>
      <c r="P84" s="2"/>
      <c r="Q84" s="50"/>
      <c r="R84" s="50"/>
      <c r="S84" s="50"/>
      <c r="T84" s="50"/>
      <c r="U84" s="2"/>
    </row>
    <row r="85" spans="1:21" ht="28.5" customHeight="1">
      <c r="A85" s="97"/>
      <c r="B85" s="2358"/>
      <c r="C85" s="132"/>
      <c r="D85" s="105" t="s">
        <v>269</v>
      </c>
      <c r="E85" s="25" t="s">
        <v>270</v>
      </c>
      <c r="F85" s="25">
        <v>62000</v>
      </c>
      <c r="G85" s="27" t="s">
        <v>271</v>
      </c>
      <c r="H85" s="28"/>
      <c r="I85" s="55"/>
      <c r="J85" s="30"/>
      <c r="K85" s="50"/>
      <c r="L85" s="2"/>
      <c r="M85" s="20"/>
      <c r="N85" s="2"/>
      <c r="O85" s="2"/>
      <c r="P85" s="2"/>
      <c r="Q85" s="50"/>
      <c r="R85" s="50"/>
      <c r="S85" s="50"/>
      <c r="T85" s="50"/>
      <c r="U85" s="2"/>
    </row>
    <row r="86" spans="1:21" ht="28.5" customHeight="1">
      <c r="A86" s="97"/>
      <c r="B86" s="2358"/>
      <c r="C86" s="132"/>
      <c r="D86" s="32" t="s">
        <v>272</v>
      </c>
      <c r="E86" s="25" t="s">
        <v>273</v>
      </c>
      <c r="F86" s="25">
        <v>40000</v>
      </c>
      <c r="G86" s="27" t="s">
        <v>274</v>
      </c>
      <c r="H86" s="28"/>
      <c r="I86" s="55"/>
      <c r="J86" s="30"/>
      <c r="K86" s="50"/>
      <c r="L86" s="2"/>
      <c r="M86" s="20"/>
      <c r="N86" s="2"/>
      <c r="O86" s="2"/>
      <c r="P86" s="2"/>
      <c r="Q86" s="50"/>
      <c r="R86" s="50"/>
      <c r="S86" s="50"/>
      <c r="T86" s="50"/>
      <c r="U86" s="2"/>
    </row>
    <row r="87" spans="1:21" ht="39.75" customHeight="1">
      <c r="B87" s="2453" t="s">
        <v>275</v>
      </c>
      <c r="C87" s="131"/>
      <c r="D87" s="30" t="s">
        <v>276</v>
      </c>
      <c r="E87" s="138">
        <v>40906</v>
      </c>
      <c r="F87" s="139" t="s">
        <v>277</v>
      </c>
      <c r="G87" s="140" t="s">
        <v>278</v>
      </c>
      <c r="H87" s="139"/>
      <c r="I87" s="141"/>
      <c r="J87" s="30"/>
      <c r="K87" s="50"/>
      <c r="L87" s="2"/>
      <c r="M87" s="20"/>
      <c r="N87" s="2"/>
      <c r="O87" s="2"/>
      <c r="P87" s="2"/>
      <c r="Q87" s="50"/>
      <c r="R87" s="50"/>
      <c r="S87" s="50"/>
      <c r="T87" s="50"/>
      <c r="U87" s="2"/>
    </row>
    <row r="88" spans="1:21" ht="39.75" customHeight="1">
      <c r="B88" s="2453"/>
      <c r="C88" s="132" t="s">
        <v>279</v>
      </c>
      <c r="D88" s="30" t="s">
        <v>280</v>
      </c>
      <c r="E88" s="138"/>
      <c r="F88" s="142" t="s">
        <v>281</v>
      </c>
      <c r="G88" s="133" t="s">
        <v>282</v>
      </c>
      <c r="H88" s="134"/>
      <c r="I88" s="55"/>
      <c r="J88" s="30"/>
      <c r="K88" s="50"/>
      <c r="L88" s="2"/>
      <c r="M88" s="20"/>
      <c r="N88" s="2"/>
      <c r="O88" s="2"/>
      <c r="P88" s="2"/>
      <c r="Q88" s="50"/>
      <c r="R88" s="50"/>
      <c r="S88" s="50"/>
      <c r="T88" s="50"/>
      <c r="U88" s="2"/>
    </row>
    <row r="89" spans="1:21" ht="40.5" customHeight="1">
      <c r="B89" s="2453"/>
      <c r="C89" s="135"/>
      <c r="D89" s="139" t="s">
        <v>283</v>
      </c>
      <c r="E89" s="138">
        <v>41670</v>
      </c>
      <c r="F89" s="139" t="s">
        <v>284</v>
      </c>
      <c r="G89" s="143" t="s">
        <v>285</v>
      </c>
      <c r="H89" s="144"/>
      <c r="I89" s="55" t="s">
        <v>65</v>
      </c>
      <c r="J89" s="30"/>
      <c r="K89" s="50"/>
      <c r="L89" s="2"/>
      <c r="M89" s="20"/>
      <c r="N89" s="2"/>
      <c r="O89" s="2"/>
      <c r="P89" s="2"/>
      <c r="Q89" s="50"/>
      <c r="R89" s="50"/>
      <c r="S89" s="50"/>
      <c r="T89" s="50"/>
      <c r="U89" s="2"/>
    </row>
    <row r="90" spans="1:21" ht="24">
      <c r="B90" s="2453"/>
      <c r="C90" s="45" t="s">
        <v>286</v>
      </c>
      <c r="D90" s="2"/>
      <c r="E90" s="138"/>
      <c r="F90" s="145">
        <v>232900</v>
      </c>
      <c r="G90" s="146">
        <v>232900</v>
      </c>
      <c r="H90" s="145"/>
      <c r="I90" s="147" t="s">
        <v>287</v>
      </c>
      <c r="J90" s="30"/>
      <c r="K90" s="50"/>
      <c r="L90" s="2"/>
      <c r="M90" s="20"/>
      <c r="N90" s="2"/>
      <c r="O90" s="2"/>
      <c r="P90" s="2"/>
      <c r="Q90" s="50"/>
      <c r="R90" s="50"/>
      <c r="S90" s="50"/>
      <c r="T90" s="50"/>
      <c r="U90" s="2"/>
    </row>
    <row r="91" spans="1:21">
      <c r="B91" s="2453"/>
      <c r="C91" s="45" t="s">
        <v>288</v>
      </c>
      <c r="D91" s="2"/>
      <c r="E91" s="138"/>
      <c r="F91" s="145">
        <v>51000</v>
      </c>
      <c r="G91" s="146">
        <v>51000</v>
      </c>
      <c r="H91" s="145"/>
      <c r="I91" s="147" t="s">
        <v>289</v>
      </c>
      <c r="J91" s="30"/>
      <c r="K91" s="50"/>
      <c r="L91" s="2"/>
      <c r="M91" s="20"/>
      <c r="N91" s="2"/>
      <c r="O91" s="2"/>
      <c r="P91" s="2"/>
      <c r="Q91" s="50"/>
      <c r="R91" s="50"/>
      <c r="S91" s="50"/>
      <c r="T91" s="50"/>
      <c r="U91" s="2"/>
    </row>
    <row r="92" spans="1:21" ht="24">
      <c r="B92" s="2453"/>
      <c r="C92" s="45" t="s">
        <v>290</v>
      </c>
      <c r="D92" s="2"/>
      <c r="E92" s="138"/>
      <c r="F92" s="2">
        <v>91672.320000000007</v>
      </c>
      <c r="G92" s="50">
        <v>91672.320000000007</v>
      </c>
      <c r="H92" s="2"/>
      <c r="I92" s="148">
        <v>41010</v>
      </c>
      <c r="J92" s="30"/>
      <c r="K92" s="50"/>
      <c r="L92" s="2"/>
      <c r="M92" s="20"/>
      <c r="N92" s="2"/>
      <c r="O92" s="2"/>
      <c r="P92" s="2"/>
      <c r="Q92" s="50"/>
      <c r="R92" s="50"/>
      <c r="S92" s="50"/>
      <c r="T92" s="50"/>
      <c r="U92" s="2"/>
    </row>
    <row r="93" spans="1:21" ht="24">
      <c r="B93" s="2453"/>
      <c r="C93" s="45" t="s">
        <v>290</v>
      </c>
      <c r="D93" s="2"/>
      <c r="E93" s="138"/>
      <c r="F93" s="145">
        <v>96923.19</v>
      </c>
      <c r="G93" s="146">
        <v>96923.19</v>
      </c>
      <c r="H93" s="145"/>
      <c r="I93" s="149" t="s">
        <v>291</v>
      </c>
      <c r="J93" s="30"/>
      <c r="K93" s="50"/>
      <c r="L93" s="2"/>
      <c r="M93" s="20"/>
      <c r="N93" s="2"/>
      <c r="O93" s="2"/>
      <c r="P93" s="2"/>
      <c r="Q93" s="50"/>
      <c r="R93" s="50"/>
      <c r="S93" s="50"/>
      <c r="T93" s="50"/>
      <c r="U93" s="2"/>
    </row>
    <row r="94" spans="1:21" ht="24">
      <c r="B94" s="2453"/>
      <c r="C94" s="45" t="s">
        <v>290</v>
      </c>
      <c r="D94" s="2"/>
      <c r="E94" s="138"/>
      <c r="F94" s="2">
        <v>83846.990000000005</v>
      </c>
      <c r="G94" s="50">
        <v>83846.990000000005</v>
      </c>
      <c r="H94" s="2"/>
      <c r="I94" s="141"/>
      <c r="J94" s="66" t="s">
        <v>292</v>
      </c>
      <c r="K94" s="50"/>
      <c r="L94" s="2"/>
      <c r="M94" s="20"/>
      <c r="N94" s="2"/>
      <c r="O94" s="2"/>
      <c r="P94" s="2"/>
      <c r="Q94" s="50"/>
      <c r="R94" s="50"/>
      <c r="S94" s="50"/>
      <c r="T94" s="50"/>
      <c r="U94" s="2"/>
    </row>
    <row r="95" spans="1:21">
      <c r="B95" s="2453"/>
      <c r="C95" s="45" t="s">
        <v>293</v>
      </c>
      <c r="D95" s="2"/>
      <c r="E95" s="138"/>
      <c r="F95" s="2">
        <v>98810.11</v>
      </c>
      <c r="G95" s="50">
        <v>98810.11</v>
      </c>
      <c r="H95" s="2"/>
      <c r="I95" s="141"/>
      <c r="J95" s="66"/>
      <c r="K95" s="50"/>
      <c r="L95" s="2"/>
      <c r="M95" s="20"/>
      <c r="N95" s="2"/>
      <c r="O95" s="2"/>
      <c r="P95" s="2"/>
      <c r="Q95" s="50"/>
      <c r="R95" s="50"/>
      <c r="S95" s="50"/>
      <c r="T95" s="50"/>
      <c r="U95" s="2"/>
    </row>
    <row r="96" spans="1:21" ht="24">
      <c r="B96" s="2453"/>
      <c r="C96" s="45" t="s">
        <v>294</v>
      </c>
      <c r="D96" s="2"/>
      <c r="E96" s="138"/>
      <c r="F96" s="2">
        <v>91448.7</v>
      </c>
      <c r="G96" s="50">
        <v>91448.7</v>
      </c>
      <c r="H96" s="2"/>
      <c r="I96" s="2"/>
      <c r="J96" s="66"/>
      <c r="K96" s="50"/>
      <c r="L96" s="2"/>
      <c r="M96" s="20"/>
      <c r="N96" s="2"/>
      <c r="O96" s="2"/>
      <c r="P96" s="2"/>
      <c r="Q96" s="50"/>
      <c r="R96" s="50"/>
      <c r="S96" s="50"/>
      <c r="T96" s="50"/>
      <c r="U96" s="2"/>
    </row>
    <row r="97" spans="2:21" ht="24.75" customHeight="1">
      <c r="B97" s="2453"/>
      <c r="C97" s="45" t="s">
        <v>295</v>
      </c>
      <c r="D97" s="2"/>
      <c r="E97" s="138"/>
      <c r="F97" s="2">
        <v>97156.479999999996</v>
      </c>
      <c r="G97" s="50">
        <v>97156.479999999996</v>
      </c>
      <c r="H97" s="2"/>
      <c r="I97" s="141"/>
      <c r="J97" s="66"/>
      <c r="K97" s="50"/>
      <c r="L97" s="2"/>
      <c r="M97" s="20"/>
      <c r="N97" s="2"/>
      <c r="O97" s="2"/>
      <c r="P97" s="2"/>
      <c r="Q97" s="50"/>
      <c r="R97" s="50"/>
      <c r="S97" s="50"/>
      <c r="T97" s="50"/>
      <c r="U97" s="2"/>
    </row>
    <row r="98" spans="2:21" ht="24">
      <c r="B98" s="2453"/>
      <c r="C98" s="45" t="s">
        <v>296</v>
      </c>
      <c r="D98" s="150" t="s">
        <v>297</v>
      </c>
      <c r="E98" s="138"/>
      <c r="F98" s="2">
        <v>74500.87</v>
      </c>
      <c r="G98" s="50">
        <v>74500.87</v>
      </c>
      <c r="H98" s="2"/>
      <c r="I98" s="2"/>
      <c r="J98" s="66"/>
      <c r="K98" s="50"/>
      <c r="L98" s="2"/>
      <c r="M98" s="20"/>
      <c r="N98" s="2"/>
      <c r="O98" s="2"/>
      <c r="P98" s="2"/>
      <c r="Q98" s="50"/>
      <c r="R98" s="50"/>
      <c r="S98" s="50"/>
      <c r="T98" s="50"/>
      <c r="U98" s="2"/>
    </row>
    <row r="99" spans="2:21" ht="24">
      <c r="B99" s="2453"/>
      <c r="C99" s="45" t="s">
        <v>298</v>
      </c>
      <c r="D99" s="150" t="s">
        <v>299</v>
      </c>
      <c r="E99" s="138"/>
      <c r="F99" s="2">
        <v>46907.360000000001</v>
      </c>
      <c r="G99" s="50">
        <v>46907.360000000001</v>
      </c>
      <c r="H99" s="2"/>
      <c r="I99" s="2"/>
      <c r="J99" s="66"/>
      <c r="K99" s="50"/>
      <c r="L99" s="2"/>
      <c r="M99" s="20"/>
      <c r="N99" s="2"/>
      <c r="O99" s="2"/>
      <c r="P99" s="2"/>
      <c r="Q99" s="50"/>
      <c r="R99" s="50"/>
      <c r="S99" s="50"/>
      <c r="T99" s="50"/>
      <c r="U99" s="2"/>
    </row>
    <row r="100" spans="2:21" ht="27" customHeight="1">
      <c r="B100" s="2453"/>
      <c r="C100" s="45" t="s">
        <v>300</v>
      </c>
      <c r="D100" s="151" t="s">
        <v>301</v>
      </c>
      <c r="E100" s="138"/>
      <c r="F100" s="2">
        <v>98608.66</v>
      </c>
      <c r="G100" s="50">
        <v>98608.66</v>
      </c>
      <c r="H100" s="2"/>
      <c r="I100" s="141"/>
      <c r="J100" s="66"/>
      <c r="K100" s="50"/>
      <c r="L100" s="2"/>
      <c r="M100" s="20"/>
      <c r="N100" s="2"/>
      <c r="O100" s="2"/>
      <c r="P100" s="2"/>
      <c r="Q100" s="50"/>
      <c r="R100" s="50"/>
      <c r="S100" s="50"/>
      <c r="T100" s="50"/>
      <c r="U100" s="2"/>
    </row>
    <row r="101" spans="2:21" ht="24">
      <c r="B101" s="2453"/>
      <c r="C101" s="45" t="s">
        <v>302</v>
      </c>
      <c r="D101" s="150" t="s">
        <v>303</v>
      </c>
      <c r="E101" s="138"/>
      <c r="F101" s="2">
        <v>94270.9</v>
      </c>
      <c r="G101" s="50">
        <v>94270.9</v>
      </c>
      <c r="H101" s="2"/>
      <c r="I101" s="141"/>
      <c r="J101" s="66"/>
      <c r="K101" s="50"/>
      <c r="L101" s="2"/>
      <c r="M101" s="20"/>
      <c r="N101" s="2"/>
      <c r="O101" s="2"/>
      <c r="P101" s="2"/>
      <c r="Q101" s="50"/>
      <c r="R101" s="50"/>
      <c r="S101" s="50"/>
      <c r="T101" s="50"/>
      <c r="U101" s="2"/>
    </row>
    <row r="102" spans="2:21" ht="24">
      <c r="B102" s="2453"/>
      <c r="C102" s="45" t="s">
        <v>304</v>
      </c>
      <c r="D102" s="150" t="s">
        <v>305</v>
      </c>
      <c r="E102" s="138"/>
      <c r="F102" s="152">
        <v>87919.65</v>
      </c>
      <c r="G102" s="50">
        <v>87919.65</v>
      </c>
      <c r="H102" s="2"/>
      <c r="I102" s="153"/>
      <c r="J102" s="66"/>
      <c r="K102" s="50"/>
      <c r="L102" s="2"/>
      <c r="M102" s="20"/>
      <c r="N102" s="2"/>
      <c r="O102" s="2"/>
      <c r="P102" s="2"/>
      <c r="Q102" s="50"/>
      <c r="R102" s="50"/>
      <c r="S102" s="50"/>
      <c r="T102" s="50"/>
      <c r="U102" s="2"/>
    </row>
    <row r="103" spans="2:21" ht="22.5" customHeight="1">
      <c r="B103" s="2375" t="s">
        <v>306</v>
      </c>
      <c r="C103" s="45" t="s">
        <v>307</v>
      </c>
      <c r="D103" s="150" t="s">
        <v>308</v>
      </c>
      <c r="E103" s="138"/>
      <c r="F103" s="152">
        <v>98477.82</v>
      </c>
      <c r="G103" s="154">
        <v>98477.82</v>
      </c>
      <c r="H103" s="152"/>
      <c r="I103" s="153"/>
      <c r="J103" s="66"/>
      <c r="K103" s="50"/>
      <c r="L103" s="2"/>
      <c r="M103" s="20"/>
      <c r="N103" s="2"/>
      <c r="O103" s="2"/>
      <c r="P103" s="2"/>
      <c r="Q103" s="50"/>
      <c r="R103" s="50"/>
      <c r="S103" s="50"/>
      <c r="T103" s="50"/>
      <c r="U103" s="2"/>
    </row>
    <row r="104" spans="2:21" ht="25.5" customHeight="1">
      <c r="B104" s="2375"/>
      <c r="C104" s="45" t="s">
        <v>309</v>
      </c>
      <c r="D104" s="150" t="s">
        <v>310</v>
      </c>
      <c r="E104" s="138"/>
      <c r="F104" s="152">
        <v>95688.34</v>
      </c>
      <c r="G104" s="152">
        <v>95688.34</v>
      </c>
      <c r="H104" s="152"/>
      <c r="I104" s="153"/>
      <c r="J104" s="66"/>
      <c r="K104" s="50"/>
      <c r="L104" s="2"/>
      <c r="M104" s="20"/>
      <c r="N104" s="2"/>
      <c r="O104" s="2"/>
      <c r="P104" s="2"/>
      <c r="Q104" s="50"/>
      <c r="R104" s="50"/>
      <c r="S104" s="50"/>
      <c r="T104" s="50"/>
      <c r="U104" s="2"/>
    </row>
    <row r="105" spans="2:21" ht="27" customHeight="1">
      <c r="B105" s="2375"/>
      <c r="C105" s="45" t="s">
        <v>311</v>
      </c>
      <c r="D105" s="150" t="s">
        <v>312</v>
      </c>
      <c r="E105" s="138"/>
      <c r="F105" s="152">
        <v>99751.43</v>
      </c>
      <c r="G105" s="152">
        <v>99751.43</v>
      </c>
      <c r="H105" s="152"/>
      <c r="I105" s="153"/>
      <c r="J105" s="66"/>
      <c r="K105" s="50"/>
      <c r="L105" s="2"/>
      <c r="M105" s="20"/>
      <c r="N105" s="2"/>
      <c r="O105" s="2"/>
      <c r="P105" s="2"/>
      <c r="Q105" s="50"/>
      <c r="R105" s="50"/>
      <c r="S105" s="50"/>
      <c r="T105" s="50"/>
      <c r="U105" s="2"/>
    </row>
    <row r="106" spans="2:21" ht="36" customHeight="1">
      <c r="B106" s="2375"/>
      <c r="C106" s="45" t="s">
        <v>313</v>
      </c>
      <c r="D106" s="150" t="s">
        <v>314</v>
      </c>
      <c r="E106" s="138"/>
      <c r="F106" s="152">
        <v>97121.99</v>
      </c>
      <c r="G106" s="152">
        <v>97121.99</v>
      </c>
      <c r="H106" s="152"/>
      <c r="I106" s="153"/>
      <c r="J106" s="66"/>
      <c r="K106" s="50"/>
      <c r="L106" s="2"/>
      <c r="M106" s="20"/>
      <c r="N106" s="2"/>
      <c r="O106" s="2"/>
      <c r="P106" s="2"/>
      <c r="Q106" s="50"/>
      <c r="R106" s="50"/>
      <c r="S106" s="50"/>
      <c r="T106" s="50"/>
      <c r="U106" s="2"/>
    </row>
    <row r="107" spans="2:21" ht="27" customHeight="1">
      <c r="B107" s="2375"/>
      <c r="C107" s="45" t="s">
        <v>315</v>
      </c>
      <c r="D107" s="150" t="s">
        <v>316</v>
      </c>
      <c r="E107" s="138"/>
      <c r="F107" s="152">
        <v>99420.02</v>
      </c>
      <c r="G107" s="152">
        <v>99420.02</v>
      </c>
      <c r="H107" s="152"/>
      <c r="I107" s="153"/>
      <c r="J107" s="66"/>
      <c r="K107" s="50"/>
      <c r="L107" s="2"/>
      <c r="M107" s="20"/>
      <c r="N107" s="2"/>
      <c r="O107" s="2"/>
      <c r="P107" s="2"/>
      <c r="Q107" s="50"/>
      <c r="R107" s="50"/>
      <c r="S107" s="50"/>
      <c r="T107" s="50"/>
      <c r="U107" s="2"/>
    </row>
    <row r="108" spans="2:21" ht="26.25" customHeight="1">
      <c r="B108" s="2375"/>
      <c r="C108" s="45" t="s">
        <v>315</v>
      </c>
      <c r="D108" s="150" t="s">
        <v>317</v>
      </c>
      <c r="E108" s="138"/>
      <c r="F108" s="152">
        <v>99420.02</v>
      </c>
      <c r="G108" s="154" t="s">
        <v>318</v>
      </c>
      <c r="H108" s="155"/>
      <c r="I108" s="153"/>
      <c r="J108" s="66"/>
      <c r="K108" s="50"/>
      <c r="L108" s="2"/>
      <c r="M108" s="20"/>
      <c r="N108" s="2"/>
      <c r="O108" s="2"/>
      <c r="P108" s="2"/>
      <c r="Q108" s="50"/>
      <c r="R108" s="50"/>
      <c r="S108" s="50"/>
      <c r="T108" s="50"/>
      <c r="U108" s="2"/>
    </row>
    <row r="109" spans="2:21" ht="65.25" customHeight="1">
      <c r="B109" s="2375"/>
      <c r="C109" s="45" t="s">
        <v>319</v>
      </c>
      <c r="D109" s="150" t="s">
        <v>320</v>
      </c>
      <c r="E109" s="138"/>
      <c r="F109" s="152">
        <v>97768.97</v>
      </c>
      <c r="G109" s="156" t="s">
        <v>321</v>
      </c>
      <c r="H109" s="156"/>
      <c r="I109" s="157"/>
      <c r="J109" s="66"/>
      <c r="K109" s="50"/>
      <c r="L109" s="2"/>
      <c r="M109" s="20"/>
      <c r="N109" s="2"/>
      <c r="O109" s="2"/>
      <c r="P109" s="2"/>
      <c r="Q109" s="50"/>
      <c r="R109" s="50"/>
      <c r="S109" s="50"/>
      <c r="T109" s="50"/>
      <c r="U109" s="2"/>
    </row>
    <row r="110" spans="2:21" ht="51.75" customHeight="1">
      <c r="B110" s="2375"/>
      <c r="C110" s="45" t="s">
        <v>322</v>
      </c>
      <c r="D110" s="150" t="s">
        <v>323</v>
      </c>
      <c r="E110" s="138" t="s">
        <v>17</v>
      </c>
      <c r="F110" s="152">
        <v>132500</v>
      </c>
      <c r="G110" s="158" t="s">
        <v>324</v>
      </c>
      <c r="H110" s="158"/>
      <c r="I110" s="153" t="s">
        <v>325</v>
      </c>
      <c r="J110" s="66"/>
      <c r="K110" s="50"/>
      <c r="L110" s="2"/>
      <c r="M110" s="20"/>
      <c r="N110" s="2"/>
      <c r="O110" s="2"/>
      <c r="P110" s="2"/>
      <c r="Q110" s="50"/>
      <c r="R110" s="50"/>
      <c r="S110" s="50"/>
      <c r="T110" s="50"/>
      <c r="U110" s="2"/>
    </row>
    <row r="111" spans="2:21" ht="36.6" customHeight="1">
      <c r="B111" s="2436" t="s">
        <v>326</v>
      </c>
      <c r="C111" s="45" t="s">
        <v>327</v>
      </c>
      <c r="D111" s="150" t="s">
        <v>328</v>
      </c>
      <c r="E111" s="138"/>
      <c r="F111" s="152">
        <v>107704.02</v>
      </c>
      <c r="G111" s="159" t="s">
        <v>329</v>
      </c>
      <c r="H111" s="160"/>
      <c r="I111" s="161"/>
      <c r="J111" s="66"/>
      <c r="K111" s="50"/>
      <c r="L111" s="2"/>
      <c r="M111" s="20"/>
      <c r="N111" s="2"/>
      <c r="O111" s="2"/>
      <c r="P111" s="2"/>
      <c r="Q111" s="50"/>
      <c r="R111" s="50"/>
      <c r="S111" s="50"/>
      <c r="T111" s="50"/>
      <c r="U111" s="2"/>
    </row>
    <row r="112" spans="2:21" ht="71.099999999999994" customHeight="1">
      <c r="B112" s="2436"/>
      <c r="C112" s="162" t="s">
        <v>330</v>
      </c>
      <c r="D112" s="163" t="s">
        <v>331</v>
      </c>
      <c r="E112" s="138"/>
      <c r="F112" s="2">
        <v>45000</v>
      </c>
      <c r="G112" s="140" t="s">
        <v>332</v>
      </c>
      <c r="H112" s="164"/>
      <c r="I112" s="165" t="s">
        <v>333</v>
      </c>
      <c r="J112" s="30"/>
      <c r="K112" s="50"/>
      <c r="L112" s="2"/>
      <c r="M112" s="20"/>
      <c r="N112" s="2"/>
      <c r="O112" s="2"/>
      <c r="P112" s="2"/>
      <c r="Q112" s="50"/>
      <c r="R112" s="50"/>
      <c r="S112" s="50"/>
      <c r="T112" s="50"/>
      <c r="U112" s="2"/>
    </row>
    <row r="113" spans="1:23" ht="26.25" customHeight="1">
      <c r="A113" s="97"/>
      <c r="B113" s="2436"/>
      <c r="C113" s="45" t="s">
        <v>159</v>
      </c>
      <c r="D113" s="99" t="s">
        <v>334</v>
      </c>
      <c r="E113" s="25"/>
      <c r="F113" s="166">
        <v>93000</v>
      </c>
      <c r="G113" s="27"/>
      <c r="H113" s="166">
        <v>93000</v>
      </c>
      <c r="I113" s="167"/>
      <c r="J113" s="30"/>
      <c r="K113" s="50"/>
      <c r="L113" s="2"/>
      <c r="M113" s="20"/>
      <c r="N113" s="2"/>
      <c r="O113" s="2"/>
      <c r="P113" s="2"/>
      <c r="Q113" s="50"/>
      <c r="R113" s="50"/>
      <c r="S113" s="50"/>
      <c r="T113" s="50"/>
      <c r="U113" s="2"/>
    </row>
    <row r="114" spans="1:23" s="114" customFormat="1" ht="24" customHeight="1">
      <c r="A114" s="168"/>
      <c r="B114" s="2454" t="s">
        <v>335</v>
      </c>
      <c r="C114" s="2384" t="s">
        <v>336</v>
      </c>
      <c r="D114" s="2452" t="s">
        <v>337</v>
      </c>
      <c r="E114" s="99"/>
      <c r="F114" s="39">
        <v>7000</v>
      </c>
      <c r="G114" s="169" t="s">
        <v>338</v>
      </c>
      <c r="H114" s="108"/>
      <c r="I114" s="108"/>
      <c r="J114" s="170"/>
      <c r="K114" s="113"/>
      <c r="L114" s="4"/>
      <c r="M114" s="20"/>
      <c r="N114" s="4"/>
      <c r="O114" s="4"/>
      <c r="P114" s="4"/>
      <c r="Q114" s="113"/>
      <c r="R114" s="113"/>
      <c r="S114" s="113"/>
      <c r="T114" s="113"/>
      <c r="U114" s="4"/>
      <c r="V114" s="700"/>
      <c r="W114" s="700"/>
    </row>
    <row r="115" spans="1:23" s="114" customFormat="1" ht="24" customHeight="1">
      <c r="A115" s="168"/>
      <c r="B115" s="2454"/>
      <c r="C115" s="2384"/>
      <c r="D115" s="2452"/>
      <c r="E115" s="99"/>
      <c r="F115" s="39">
        <v>12000</v>
      </c>
      <c r="G115" s="169" t="s">
        <v>339</v>
      </c>
      <c r="H115" s="108"/>
      <c r="I115" s="108"/>
      <c r="J115" s="170"/>
      <c r="K115" s="113"/>
      <c r="L115" s="4"/>
      <c r="M115" s="20"/>
      <c r="N115" s="4"/>
      <c r="O115" s="4"/>
      <c r="P115" s="4"/>
      <c r="Q115" s="113"/>
      <c r="R115" s="113"/>
      <c r="S115" s="113"/>
      <c r="T115" s="113"/>
      <c r="U115" s="4"/>
      <c r="V115" s="700"/>
      <c r="W115" s="700"/>
    </row>
    <row r="116" spans="1:23" ht="63.75" customHeight="1">
      <c r="B116" s="171" t="s">
        <v>340</v>
      </c>
      <c r="C116" s="139" t="s">
        <v>341</v>
      </c>
      <c r="D116" s="116" t="s">
        <v>342</v>
      </c>
      <c r="E116" s="25" t="s">
        <v>17</v>
      </c>
      <c r="F116" s="16">
        <v>22500</v>
      </c>
      <c r="G116" s="140" t="s">
        <v>343</v>
      </c>
      <c r="H116" s="139"/>
      <c r="I116" s="172" t="s">
        <v>344</v>
      </c>
      <c r="J116" s="30"/>
      <c r="K116" s="50"/>
      <c r="L116" s="2"/>
      <c r="M116" s="20"/>
      <c r="N116" s="2"/>
      <c r="O116" s="2"/>
      <c r="P116" s="2"/>
      <c r="Q116" s="50"/>
      <c r="R116" s="50"/>
      <c r="S116" s="50"/>
      <c r="T116" s="50"/>
      <c r="U116" s="2"/>
    </row>
    <row r="117" spans="1:23" ht="24">
      <c r="B117" s="16" t="s">
        <v>345</v>
      </c>
      <c r="C117" s="2" t="s">
        <v>346</v>
      </c>
      <c r="D117" s="15" t="s">
        <v>347</v>
      </c>
      <c r="E117" s="25" t="s">
        <v>17</v>
      </c>
      <c r="F117" s="16">
        <v>5000</v>
      </c>
      <c r="G117" s="50"/>
      <c r="H117" s="2"/>
      <c r="I117" s="2"/>
      <c r="J117" s="30"/>
      <c r="K117" s="50"/>
      <c r="L117" s="2"/>
      <c r="M117" s="20"/>
      <c r="N117" s="2"/>
      <c r="O117" s="2"/>
      <c r="P117" s="2"/>
      <c r="Q117" s="50"/>
      <c r="R117" s="50"/>
      <c r="S117" s="50"/>
      <c r="T117" s="50"/>
      <c r="U117" s="2"/>
    </row>
    <row r="118" spans="1:23" ht="48">
      <c r="B118" s="16" t="s">
        <v>348</v>
      </c>
      <c r="C118" s="139" t="s">
        <v>349</v>
      </c>
      <c r="D118" s="127" t="s">
        <v>350</v>
      </c>
      <c r="E118" s="25" t="s">
        <v>17</v>
      </c>
      <c r="F118" s="16">
        <v>5000</v>
      </c>
      <c r="G118" s="173" t="s">
        <v>351</v>
      </c>
      <c r="H118" s="174"/>
      <c r="I118" s="172" t="s">
        <v>352</v>
      </c>
      <c r="J118" s="30"/>
      <c r="K118" s="175"/>
      <c r="L118" s="176"/>
      <c r="M118" s="20"/>
      <c r="N118" s="2"/>
      <c r="O118" s="2"/>
      <c r="P118" s="2"/>
      <c r="Q118" s="50"/>
      <c r="R118" s="50"/>
      <c r="S118" s="50"/>
      <c r="T118" s="50"/>
      <c r="U118" s="2"/>
    </row>
    <row r="119" spans="1:23" ht="48">
      <c r="B119" s="177" t="s">
        <v>348</v>
      </c>
      <c r="C119" s="139" t="s">
        <v>353</v>
      </c>
      <c r="D119" s="127" t="s">
        <v>354</v>
      </c>
      <c r="E119" s="25" t="s">
        <v>17</v>
      </c>
      <c r="F119" s="16">
        <v>6000</v>
      </c>
      <c r="G119" s="173" t="s">
        <v>355</v>
      </c>
      <c r="H119" s="174"/>
      <c r="I119" s="178" t="s">
        <v>356</v>
      </c>
      <c r="J119" s="30"/>
      <c r="K119" s="50"/>
      <c r="L119" s="2"/>
      <c r="M119" s="20"/>
      <c r="N119" s="2"/>
      <c r="O119" s="2"/>
      <c r="P119" s="2"/>
      <c r="Q119" s="50"/>
      <c r="R119" s="50"/>
      <c r="S119" s="50"/>
      <c r="T119" s="50"/>
      <c r="U119" s="2"/>
    </row>
    <row r="120" spans="1:23" ht="72">
      <c r="B120" s="15" t="s">
        <v>357</v>
      </c>
      <c r="C120" s="139" t="s">
        <v>358</v>
      </c>
      <c r="D120" s="15" t="s">
        <v>359</v>
      </c>
      <c r="E120" s="25" t="s">
        <v>17</v>
      </c>
      <c r="F120" s="16">
        <v>8700</v>
      </c>
      <c r="G120" s="50"/>
      <c r="H120" s="2"/>
      <c r="I120" s="2"/>
      <c r="J120" s="30"/>
      <c r="K120" s="50"/>
      <c r="L120" s="2"/>
      <c r="M120" s="20"/>
      <c r="N120" s="2"/>
      <c r="O120" s="2"/>
      <c r="P120" s="2"/>
      <c r="Q120" s="50"/>
      <c r="R120" s="50"/>
      <c r="S120" s="50"/>
      <c r="T120" s="50"/>
      <c r="U120" s="2"/>
    </row>
    <row r="121" spans="1:23" ht="13.35" customHeight="1">
      <c r="B121" s="2447" t="s">
        <v>360</v>
      </c>
      <c r="C121" s="2354" t="s">
        <v>361</v>
      </c>
      <c r="D121" s="2389" t="s">
        <v>362</v>
      </c>
      <c r="E121" s="25" t="s">
        <v>363</v>
      </c>
      <c r="F121" s="16" t="s">
        <v>364</v>
      </c>
      <c r="G121" s="17">
        <v>34000</v>
      </c>
      <c r="H121" s="16"/>
      <c r="I121" s="2"/>
      <c r="J121" s="30"/>
      <c r="K121" s="50"/>
      <c r="L121" s="2"/>
      <c r="M121" s="20"/>
      <c r="N121" s="2"/>
      <c r="O121" s="2"/>
      <c r="P121" s="2"/>
      <c r="Q121" s="50"/>
      <c r="R121" s="50"/>
      <c r="S121" s="50"/>
      <c r="T121" s="50"/>
      <c r="U121" s="2"/>
    </row>
    <row r="122" spans="1:23" ht="39.75" customHeight="1">
      <c r="B122" s="2447"/>
      <c r="C122" s="2354"/>
      <c r="D122" s="2389"/>
      <c r="E122" s="25" t="s">
        <v>17</v>
      </c>
      <c r="F122" s="16">
        <v>2500</v>
      </c>
      <c r="G122" s="140" t="s">
        <v>365</v>
      </c>
      <c r="H122" s="139"/>
      <c r="I122" s="181" t="s">
        <v>366</v>
      </c>
      <c r="J122" s="30"/>
      <c r="K122" s="50"/>
      <c r="L122" s="2"/>
      <c r="M122" s="20"/>
      <c r="N122" s="2"/>
      <c r="O122" s="2"/>
      <c r="P122" s="2"/>
      <c r="Q122" s="50"/>
      <c r="R122" s="50"/>
      <c r="S122" s="50"/>
      <c r="T122" s="50"/>
      <c r="U122" s="2"/>
    </row>
    <row r="123" spans="1:23" s="182" customFormat="1" ht="60.75" customHeight="1">
      <c r="B123" s="183"/>
      <c r="C123" s="184" t="s">
        <v>367</v>
      </c>
      <c r="D123" s="185" t="s">
        <v>368</v>
      </c>
      <c r="E123" s="186" t="s">
        <v>17</v>
      </c>
      <c r="F123" s="187">
        <v>18000</v>
      </c>
      <c r="G123" s="188"/>
      <c r="H123" s="189"/>
      <c r="I123" s="189" t="s">
        <v>369</v>
      </c>
      <c r="J123" s="190"/>
      <c r="K123" s="191"/>
      <c r="L123" s="192"/>
      <c r="M123" s="20"/>
      <c r="N123" s="192"/>
      <c r="O123" s="192"/>
      <c r="P123" s="192"/>
      <c r="Q123" s="191"/>
      <c r="R123" s="191"/>
      <c r="S123" s="191"/>
      <c r="T123" s="191"/>
      <c r="U123" s="192"/>
      <c r="V123" s="701"/>
      <c r="W123" s="701"/>
    </row>
    <row r="124" spans="1:23" ht="48">
      <c r="B124" s="179" t="s">
        <v>370</v>
      </c>
      <c r="C124" s="54" t="s">
        <v>371</v>
      </c>
      <c r="D124" s="193" t="s">
        <v>372</v>
      </c>
      <c r="E124" s="194" t="s">
        <v>17</v>
      </c>
      <c r="F124" s="195" t="s">
        <v>373</v>
      </c>
      <c r="G124" s="196" t="s">
        <v>374</v>
      </c>
      <c r="H124" s="54"/>
      <c r="I124" s="197" t="s">
        <v>375</v>
      </c>
      <c r="J124" s="30" t="s">
        <v>376</v>
      </c>
      <c r="K124" s="50"/>
      <c r="L124" s="2"/>
      <c r="M124" s="20"/>
      <c r="N124" s="2"/>
      <c r="O124" s="2"/>
      <c r="P124" s="2"/>
      <c r="Q124" s="50"/>
      <c r="R124" s="50"/>
      <c r="S124" s="50"/>
      <c r="T124" s="50"/>
      <c r="U124" s="2"/>
    </row>
    <row r="125" spans="1:23" s="182" customFormat="1" ht="38.25" customHeight="1">
      <c r="B125" s="198" t="s">
        <v>377</v>
      </c>
      <c r="C125" s="199" t="s">
        <v>378</v>
      </c>
      <c r="D125" s="185" t="s">
        <v>379</v>
      </c>
      <c r="E125" s="186" t="s">
        <v>17</v>
      </c>
      <c r="F125" s="200" t="s">
        <v>380</v>
      </c>
      <c r="G125" s="188"/>
      <c r="H125" s="189"/>
      <c r="I125" s="189"/>
      <c r="J125" s="190"/>
      <c r="K125" s="191"/>
      <c r="L125" s="192"/>
      <c r="M125" s="20"/>
      <c r="N125" s="192"/>
      <c r="O125" s="192"/>
      <c r="P125" s="192"/>
      <c r="Q125" s="191"/>
      <c r="R125" s="191"/>
      <c r="S125" s="191"/>
      <c r="T125" s="191"/>
      <c r="U125" s="192"/>
      <c r="V125" s="701"/>
      <c r="W125" s="701"/>
    </row>
    <row r="126" spans="1:23" ht="95.25" customHeight="1">
      <c r="B126" s="179" t="s">
        <v>381</v>
      </c>
      <c r="C126" s="52" t="s">
        <v>382</v>
      </c>
      <c r="D126" s="15" t="s">
        <v>383</v>
      </c>
      <c r="E126" s="33" t="s">
        <v>384</v>
      </c>
      <c r="F126" s="26">
        <v>15500</v>
      </c>
      <c r="G126" s="201" t="s">
        <v>385</v>
      </c>
      <c r="H126" s="202"/>
      <c r="I126" s="203" t="s">
        <v>386</v>
      </c>
      <c r="J126" s="30"/>
      <c r="K126" s="50"/>
      <c r="L126" s="2"/>
      <c r="M126" s="20"/>
      <c r="N126" s="2"/>
      <c r="O126" s="2"/>
      <c r="P126" s="2"/>
      <c r="Q126" s="50"/>
      <c r="R126" s="50"/>
      <c r="S126" s="50"/>
      <c r="T126" s="50"/>
      <c r="U126" s="2"/>
    </row>
    <row r="127" spans="1:23" ht="60">
      <c r="B127" s="179" t="s">
        <v>387</v>
      </c>
      <c r="C127" s="52" t="s">
        <v>388</v>
      </c>
      <c r="D127" s="15" t="s">
        <v>389</v>
      </c>
      <c r="E127" s="33"/>
      <c r="F127" s="204">
        <v>18000</v>
      </c>
      <c r="G127" s="48" t="s">
        <v>390</v>
      </c>
      <c r="H127" s="48"/>
      <c r="I127" s="48"/>
      <c r="L127" s="2"/>
      <c r="M127" s="20"/>
      <c r="N127" s="2"/>
      <c r="O127" s="2"/>
      <c r="P127" s="2"/>
      <c r="Q127" s="50"/>
      <c r="R127" s="50"/>
      <c r="S127" s="50"/>
      <c r="T127" s="50"/>
      <c r="U127" s="2"/>
    </row>
    <row r="128" spans="1:23" s="182" customFormat="1" ht="48">
      <c r="B128" s="185" t="s">
        <v>391</v>
      </c>
      <c r="C128" s="184" t="s">
        <v>392</v>
      </c>
      <c r="D128" s="205" t="s">
        <v>393</v>
      </c>
      <c r="E128" s="186"/>
      <c r="F128" s="189">
        <v>4000</v>
      </c>
      <c r="G128" s="188"/>
      <c r="H128" s="189"/>
      <c r="I128" s="206" t="s">
        <v>394</v>
      </c>
      <c r="L128" s="192"/>
      <c r="M128" s="20"/>
      <c r="N128" s="192"/>
      <c r="O128" s="192"/>
      <c r="P128" s="192"/>
      <c r="Q128" s="191"/>
      <c r="R128" s="191"/>
      <c r="S128" s="191"/>
      <c r="T128" s="191"/>
      <c r="U128" s="192"/>
      <c r="V128" s="701"/>
      <c r="W128" s="701"/>
    </row>
    <row r="129" spans="1:261" ht="51" customHeight="1">
      <c r="A129" s="61">
        <v>7</v>
      </c>
      <c r="B129" s="207" t="s">
        <v>395</v>
      </c>
      <c r="C129" s="60" t="s">
        <v>396</v>
      </c>
      <c r="D129" s="60" t="s">
        <v>397</v>
      </c>
      <c r="E129" s="60" t="s">
        <v>398</v>
      </c>
      <c r="F129" s="60" t="s">
        <v>399</v>
      </c>
      <c r="G129" s="208" t="s">
        <v>400</v>
      </c>
      <c r="H129" s="209"/>
      <c r="I129" s="210" t="s">
        <v>401</v>
      </c>
      <c r="J129" s="211"/>
      <c r="K129" s="212"/>
      <c r="L129" s="213"/>
      <c r="M129" s="63"/>
      <c r="N129" s="61"/>
      <c r="O129" s="61"/>
      <c r="P129" s="61"/>
      <c r="Q129" s="218"/>
      <c r="R129" s="218"/>
      <c r="S129" s="218"/>
      <c r="T129" s="218"/>
      <c r="U129" s="61"/>
      <c r="V129" s="699"/>
      <c r="W129" s="69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</row>
    <row r="130" spans="1:261" ht="94.5" customHeight="1">
      <c r="A130" s="61">
        <v>19</v>
      </c>
      <c r="B130" s="214" t="s">
        <v>402</v>
      </c>
      <c r="C130" s="214" t="s">
        <v>403</v>
      </c>
      <c r="D130" s="215" t="s">
        <v>404</v>
      </c>
      <c r="E130" s="215" t="s">
        <v>405</v>
      </c>
      <c r="F130" s="216">
        <v>150000</v>
      </c>
      <c r="G130" s="60" t="s">
        <v>406</v>
      </c>
      <c r="H130" s="217"/>
      <c r="I130" s="210" t="s">
        <v>401</v>
      </c>
      <c r="J130" s="61"/>
      <c r="K130" s="218"/>
      <c r="L130" s="61"/>
      <c r="M130" s="63"/>
      <c r="N130" s="61"/>
      <c r="O130" s="61"/>
      <c r="P130" s="61"/>
      <c r="Q130" s="218"/>
      <c r="R130" s="218"/>
      <c r="S130" s="218"/>
      <c r="T130" s="218"/>
      <c r="U130" s="61"/>
      <c r="V130" s="699"/>
      <c r="W130" s="699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</row>
    <row r="131" spans="1:261" ht="36" customHeight="1">
      <c r="B131" s="180" t="s">
        <v>407</v>
      </c>
      <c r="C131" s="54" t="s">
        <v>408</v>
      </c>
      <c r="D131" s="15" t="s">
        <v>409</v>
      </c>
      <c r="E131" s="33" t="s">
        <v>410</v>
      </c>
      <c r="F131" s="219">
        <v>260800</v>
      </c>
      <c r="G131" s="219" t="s">
        <v>411</v>
      </c>
      <c r="H131" s="220"/>
      <c r="I131" s="210" t="s">
        <v>401</v>
      </c>
      <c r="J131" s="2" t="s">
        <v>412</v>
      </c>
      <c r="K131" s="50"/>
      <c r="L131" s="2"/>
      <c r="M131" s="20"/>
      <c r="N131" s="2"/>
      <c r="O131" s="2"/>
      <c r="P131" s="2"/>
      <c r="Q131" s="50"/>
      <c r="R131" s="50"/>
      <c r="S131" s="50"/>
      <c r="T131" s="50"/>
      <c r="U131" s="2"/>
    </row>
    <row r="132" spans="1:261" s="221" customFormat="1" ht="19.5" customHeight="1">
      <c r="B132" s="222" t="s">
        <v>413</v>
      </c>
      <c r="C132" s="223"/>
      <c r="D132" s="224"/>
      <c r="E132" s="225"/>
      <c r="F132" s="226"/>
      <c r="G132" s="226"/>
      <c r="H132" s="227"/>
      <c r="I132" s="228"/>
      <c r="J132" s="229"/>
      <c r="K132" s="230"/>
      <c r="L132" s="229"/>
      <c r="M132" s="20"/>
      <c r="N132" s="229"/>
      <c r="O132" s="229"/>
      <c r="P132" s="229"/>
      <c r="Q132" s="230"/>
      <c r="R132" s="230"/>
      <c r="S132" s="230"/>
      <c r="T132" s="230"/>
      <c r="U132" s="229"/>
      <c r="V132" s="702"/>
      <c r="W132" s="702"/>
    </row>
    <row r="133" spans="1:261" ht="12.75" customHeight="1">
      <c r="B133" s="2450" t="s">
        <v>414</v>
      </c>
      <c r="C133" s="2354" t="s">
        <v>415</v>
      </c>
      <c r="D133" s="2451" t="s">
        <v>416</v>
      </c>
      <c r="E133" s="232"/>
      <c r="F133" s="233">
        <v>12000</v>
      </c>
      <c r="G133" s="52"/>
      <c r="H133" s="234"/>
      <c r="I133" s="235" t="s">
        <v>417</v>
      </c>
      <c r="J133" s="30"/>
      <c r="K133" s="50"/>
      <c r="L133" s="2"/>
      <c r="M133" s="20"/>
      <c r="N133" s="2"/>
      <c r="O133" s="2"/>
      <c r="P133" s="2"/>
      <c r="Q133" s="50"/>
      <c r="R133" s="50"/>
      <c r="S133" s="50"/>
      <c r="T133" s="50"/>
      <c r="U133" s="2"/>
    </row>
    <row r="134" spans="1:261" ht="48" customHeight="1">
      <c r="B134" s="2450"/>
      <c r="C134" s="2354"/>
      <c r="D134" s="2451"/>
      <c r="E134" s="236" t="s">
        <v>17</v>
      </c>
      <c r="F134" s="237">
        <v>35000</v>
      </c>
      <c r="G134" s="52" t="s">
        <v>418</v>
      </c>
      <c r="H134" s="238" t="s">
        <v>419</v>
      </c>
      <c r="I134" s="239" t="s">
        <v>420</v>
      </c>
      <c r="J134" s="30"/>
      <c r="K134" s="50"/>
      <c r="L134" s="2"/>
      <c r="M134" s="20"/>
      <c r="N134" s="2"/>
      <c r="O134" s="2"/>
      <c r="P134" s="2"/>
      <c r="Q134" s="50"/>
      <c r="R134" s="50"/>
      <c r="S134" s="50"/>
      <c r="T134" s="50"/>
      <c r="U134" s="2"/>
    </row>
    <row r="135" spans="1:261" ht="63" customHeight="1">
      <c r="A135" s="22"/>
      <c r="B135" s="137" t="s">
        <v>421</v>
      </c>
      <c r="C135" s="240" t="s">
        <v>422</v>
      </c>
      <c r="D135" s="125" t="s">
        <v>423</v>
      </c>
      <c r="E135" s="92" t="s">
        <v>17</v>
      </c>
      <c r="F135" s="241">
        <v>5000</v>
      </c>
      <c r="G135" s="242" t="s">
        <v>424</v>
      </c>
      <c r="H135" s="243"/>
      <c r="I135" s="244" t="s">
        <v>425</v>
      </c>
      <c r="J135" s="245"/>
      <c r="K135" s="246"/>
      <c r="L135" s="2"/>
      <c r="M135" s="20"/>
      <c r="N135" s="2"/>
      <c r="O135" s="2"/>
      <c r="P135" s="2"/>
      <c r="Q135" s="50"/>
      <c r="R135" s="50"/>
      <c r="S135" s="50"/>
      <c r="T135" s="50"/>
      <c r="U135" s="2"/>
    </row>
    <row r="136" spans="1:261" ht="52.5" customHeight="1">
      <c r="B136" s="180" t="s">
        <v>426</v>
      </c>
      <c r="C136" s="69" t="s">
        <v>427</v>
      </c>
      <c r="D136" s="247" t="s">
        <v>428</v>
      </c>
      <c r="E136" s="60" t="s">
        <v>429</v>
      </c>
      <c r="F136" s="48">
        <v>7500</v>
      </c>
      <c r="G136" s="48"/>
      <c r="H136" s="248" t="s">
        <v>430</v>
      </c>
      <c r="I136" s="249"/>
      <c r="J136" s="2"/>
      <c r="K136" s="50"/>
      <c r="L136" s="2"/>
      <c r="M136" s="20"/>
      <c r="N136" s="2"/>
      <c r="O136" s="2"/>
      <c r="P136" s="2"/>
      <c r="Q136" s="50"/>
      <c r="R136" s="50"/>
      <c r="S136" s="50"/>
      <c r="T136" s="50"/>
      <c r="U136" s="2"/>
    </row>
    <row r="137" spans="1:261" ht="60.75" customHeight="1">
      <c r="B137" s="180" t="s">
        <v>431</v>
      </c>
      <c r="C137" s="69" t="s">
        <v>432</v>
      </c>
      <c r="D137" s="247" t="s">
        <v>433</v>
      </c>
      <c r="E137" s="60" t="s">
        <v>434</v>
      </c>
      <c r="F137" s="48">
        <v>25000</v>
      </c>
      <c r="G137" s="48"/>
      <c r="H137" s="248" t="s">
        <v>435</v>
      </c>
      <c r="I137" s="249"/>
      <c r="J137" s="2"/>
      <c r="K137" s="50"/>
      <c r="L137" s="2"/>
      <c r="M137" s="20"/>
      <c r="N137" s="2"/>
      <c r="O137" s="2"/>
      <c r="P137" s="2"/>
      <c r="Q137" s="50"/>
      <c r="R137" s="50"/>
      <c r="S137" s="50"/>
      <c r="T137" s="50"/>
      <c r="U137" s="2"/>
    </row>
    <row r="138" spans="1:261" ht="56.25" customHeight="1">
      <c r="B138" s="250" t="s">
        <v>436</v>
      </c>
      <c r="C138" s="54" t="s">
        <v>437</v>
      </c>
      <c r="D138" s="247" t="s">
        <v>438</v>
      </c>
      <c r="E138" s="23"/>
      <c r="F138" s="251" t="s">
        <v>439</v>
      </c>
      <c r="G138" s="48"/>
      <c r="H138" s="248" t="s">
        <v>440</v>
      </c>
      <c r="I138" s="249" t="s">
        <v>441</v>
      </c>
      <c r="J138" s="2"/>
      <c r="K138" s="50"/>
      <c r="L138" s="2"/>
      <c r="M138" s="20"/>
      <c r="N138" s="2"/>
      <c r="O138" s="2"/>
      <c r="P138" s="2"/>
      <c r="Q138" s="50"/>
      <c r="R138" s="50"/>
      <c r="S138" s="50"/>
      <c r="T138" s="50"/>
      <c r="U138" s="2"/>
    </row>
    <row r="139" spans="1:261" ht="36.75">
      <c r="B139" s="250" t="s">
        <v>436</v>
      </c>
      <c r="C139" s="54" t="s">
        <v>442</v>
      </c>
      <c r="D139" s="247" t="s">
        <v>443</v>
      </c>
      <c r="E139" s="33"/>
      <c r="F139" s="251">
        <v>98245.99</v>
      </c>
      <c r="G139" s="48"/>
      <c r="H139" s="248" t="s">
        <v>444</v>
      </c>
      <c r="I139" s="53" t="s">
        <v>445</v>
      </c>
      <c r="J139" s="2"/>
      <c r="K139" s="50"/>
      <c r="L139" s="2"/>
      <c r="M139" s="20"/>
      <c r="N139" s="152">
        <f>F139+F141+F142+F143+F144+F145+F148+F149+F150+N140</f>
        <v>6435941.0099999998</v>
      </c>
      <c r="O139" s="2"/>
      <c r="P139" s="2"/>
      <c r="Q139" s="50"/>
      <c r="R139" s="50"/>
      <c r="S139" s="50"/>
      <c r="T139" s="50"/>
      <c r="U139" s="2"/>
    </row>
    <row r="140" spans="1:261" ht="62.25" customHeight="1">
      <c r="B140" s="250" t="s">
        <v>436</v>
      </c>
      <c r="C140" s="54" t="s">
        <v>446</v>
      </c>
      <c r="D140" s="247" t="s">
        <v>447</v>
      </c>
      <c r="E140" s="33"/>
      <c r="F140" s="252">
        <v>6194406.7800000003</v>
      </c>
      <c r="G140" s="253"/>
      <c r="H140" s="254" t="s">
        <v>448</v>
      </c>
      <c r="I140" s="255"/>
      <c r="J140" s="152"/>
      <c r="K140" s="154"/>
      <c r="L140" s="152"/>
      <c r="M140" s="20"/>
      <c r="N140" s="2">
        <v>5540831.1100000003</v>
      </c>
      <c r="O140" s="2"/>
      <c r="P140" s="2"/>
      <c r="Q140" s="50"/>
      <c r="R140" s="50"/>
      <c r="S140" s="50"/>
      <c r="T140" s="50"/>
      <c r="U140" s="2"/>
    </row>
    <row r="141" spans="1:261" ht="72.75">
      <c r="B141" s="250" t="s">
        <v>449</v>
      </c>
      <c r="C141" s="54" t="s">
        <v>450</v>
      </c>
      <c r="D141" s="247" t="s">
        <v>451</v>
      </c>
      <c r="E141" s="33"/>
      <c r="F141" s="256">
        <v>98943.78</v>
      </c>
      <c r="G141" s="253"/>
      <c r="H141" s="257">
        <v>98943.78</v>
      </c>
      <c r="I141" s="255"/>
      <c r="J141" s="152"/>
      <c r="K141" s="154"/>
      <c r="L141" s="152"/>
      <c r="M141" s="20"/>
      <c r="N141" s="152">
        <f>F139+F141+F142+F143+F144+F145+F148+F149+F150</f>
        <v>895109.89999999991</v>
      </c>
      <c r="O141" s="2"/>
      <c r="P141" s="2"/>
      <c r="Q141" s="50"/>
      <c r="R141" s="50"/>
      <c r="S141" s="50"/>
      <c r="T141" s="50"/>
      <c r="U141" s="2"/>
    </row>
    <row r="142" spans="1:261" ht="36.75">
      <c r="B142" s="250" t="s">
        <v>436</v>
      </c>
      <c r="C142" s="54" t="s">
        <v>452</v>
      </c>
      <c r="D142" s="247" t="s">
        <v>453</v>
      </c>
      <c r="E142" s="33"/>
      <c r="F142" s="251">
        <v>98245.99</v>
      </c>
      <c r="G142" s="48"/>
      <c r="H142" s="258">
        <v>98245.99</v>
      </c>
      <c r="I142" s="259"/>
      <c r="J142" s="2"/>
      <c r="K142" s="50"/>
      <c r="L142" s="2"/>
      <c r="M142" s="20"/>
      <c r="N142" s="2"/>
      <c r="O142" s="2"/>
      <c r="P142" s="2"/>
      <c r="Q142" s="50"/>
      <c r="R142" s="50"/>
      <c r="S142" s="50"/>
      <c r="T142" s="50"/>
      <c r="U142" s="2"/>
    </row>
    <row r="143" spans="1:261" ht="36.75">
      <c r="B143" s="250" t="s">
        <v>436</v>
      </c>
      <c r="C143" s="54" t="s">
        <v>454</v>
      </c>
      <c r="D143" s="247" t="s">
        <v>455</v>
      </c>
      <c r="E143" s="33"/>
      <c r="F143" s="251">
        <v>60760.18</v>
      </c>
      <c r="G143" s="48"/>
      <c r="H143" s="258">
        <v>60760.18</v>
      </c>
      <c r="I143" s="259"/>
      <c r="J143" s="2"/>
      <c r="K143" s="50"/>
      <c r="L143" s="2"/>
      <c r="M143" s="20"/>
      <c r="N143" s="2"/>
      <c r="O143" s="2"/>
      <c r="P143" s="2"/>
      <c r="Q143" s="50"/>
      <c r="R143" s="50"/>
      <c r="S143" s="50"/>
      <c r="T143" s="50"/>
      <c r="U143" s="2"/>
    </row>
    <row r="144" spans="1:261" ht="36.75">
      <c r="B144" s="250" t="s">
        <v>436</v>
      </c>
      <c r="C144" s="54" t="s">
        <v>456</v>
      </c>
      <c r="D144" s="247" t="s">
        <v>457</v>
      </c>
      <c r="E144" s="33"/>
      <c r="F144" s="251">
        <v>79026.41</v>
      </c>
      <c r="G144" s="48"/>
      <c r="H144" s="258">
        <v>79026.41</v>
      </c>
      <c r="I144" s="259"/>
      <c r="J144" s="2"/>
      <c r="K144" s="50"/>
      <c r="L144" s="2"/>
      <c r="M144" s="20"/>
      <c r="N144" s="2"/>
      <c r="O144" s="2"/>
      <c r="P144" s="2"/>
      <c r="Q144" s="50"/>
      <c r="R144" s="50"/>
      <c r="S144" s="50"/>
      <c r="T144" s="50"/>
      <c r="U144" s="2"/>
    </row>
    <row r="145" spans="1:21" ht="36.75">
      <c r="B145" s="250" t="s">
        <v>436</v>
      </c>
      <c r="C145" s="54" t="s">
        <v>458</v>
      </c>
      <c r="D145" s="247" t="s">
        <v>459</v>
      </c>
      <c r="E145" s="33"/>
      <c r="F145" s="251">
        <v>67649.179999999993</v>
      </c>
      <c r="G145" s="48"/>
      <c r="H145" s="258">
        <v>67649.179999999993</v>
      </c>
      <c r="I145" s="259"/>
      <c r="J145" s="2"/>
      <c r="K145" s="50"/>
      <c r="L145" s="2"/>
      <c r="M145" s="20"/>
      <c r="N145" s="2"/>
      <c r="O145" s="2"/>
      <c r="P145" s="2"/>
      <c r="Q145" s="50"/>
      <c r="R145" s="50"/>
      <c r="S145" s="50"/>
      <c r="T145" s="50"/>
      <c r="U145" s="2"/>
    </row>
    <row r="146" spans="1:21" ht="122.25" customHeight="1">
      <c r="B146" s="250" t="s">
        <v>436</v>
      </c>
      <c r="C146" s="54" t="s">
        <v>460</v>
      </c>
      <c r="D146" s="247" t="s">
        <v>461</v>
      </c>
      <c r="E146" s="33"/>
      <c r="F146" s="251">
        <v>147823.35999999999</v>
      </c>
      <c r="G146" s="48"/>
      <c r="H146" s="258">
        <v>147823.35999999999</v>
      </c>
      <c r="I146" s="259"/>
      <c r="J146" s="2"/>
      <c r="K146" s="50"/>
      <c r="L146" s="2"/>
      <c r="M146" s="20"/>
      <c r="N146" s="2"/>
      <c r="O146" s="2"/>
      <c r="P146" s="2"/>
      <c r="Q146" s="50"/>
      <c r="R146" s="50"/>
      <c r="S146" s="50"/>
      <c r="T146" s="50"/>
      <c r="U146" s="2"/>
    </row>
    <row r="147" spans="1:21" ht="100.5" customHeight="1">
      <c r="B147" s="250" t="s">
        <v>436</v>
      </c>
      <c r="C147" s="54" t="s">
        <v>462</v>
      </c>
      <c r="D147" s="247" t="s">
        <v>463</v>
      </c>
      <c r="E147" s="33"/>
      <c r="F147" s="251">
        <v>148380.81</v>
      </c>
      <c r="G147" s="48"/>
      <c r="H147" s="258">
        <v>148380.81</v>
      </c>
      <c r="I147" s="259"/>
      <c r="J147" s="2"/>
      <c r="K147" s="2"/>
      <c r="L147" s="2"/>
      <c r="M147" s="20"/>
      <c r="N147" s="2"/>
      <c r="O147" s="2"/>
      <c r="P147" s="2"/>
      <c r="Q147" s="50"/>
      <c r="R147" s="50"/>
      <c r="S147" s="50"/>
      <c r="T147" s="50"/>
      <c r="U147" s="2"/>
    </row>
    <row r="148" spans="1:21" ht="81.75" customHeight="1">
      <c r="B148" s="250" t="s">
        <v>464</v>
      </c>
      <c r="C148" s="54" t="s">
        <v>465</v>
      </c>
      <c r="D148" s="247" t="s">
        <v>466</v>
      </c>
      <c r="E148" s="33"/>
      <c r="F148" s="251">
        <v>95076.36</v>
      </c>
      <c r="G148" s="48"/>
      <c r="H148" s="258">
        <v>95076.36</v>
      </c>
      <c r="I148" s="259"/>
      <c r="J148" s="2"/>
      <c r="K148" s="2"/>
      <c r="L148" s="2"/>
      <c r="M148" s="20"/>
      <c r="N148" s="2"/>
      <c r="O148" s="2"/>
      <c r="P148" s="2"/>
      <c r="Q148" s="50"/>
      <c r="R148" s="50"/>
      <c r="S148" s="50"/>
      <c r="T148" s="50"/>
      <c r="U148" s="2"/>
    </row>
    <row r="149" spans="1:21" ht="72.75">
      <c r="B149" s="250" t="s">
        <v>467</v>
      </c>
      <c r="C149" s="54" t="s">
        <v>468</v>
      </c>
      <c r="D149" s="247" t="s">
        <v>469</v>
      </c>
      <c r="E149" s="33"/>
      <c r="F149" s="251">
        <v>149994.57</v>
      </c>
      <c r="G149" s="48"/>
      <c r="H149" s="258">
        <v>149994.57</v>
      </c>
      <c r="I149" s="259"/>
      <c r="J149" s="2"/>
      <c r="K149" s="2"/>
      <c r="L149" s="2"/>
      <c r="M149" s="20"/>
      <c r="N149" s="2"/>
      <c r="O149" s="2"/>
      <c r="P149" s="2"/>
      <c r="Q149" s="50"/>
      <c r="R149" s="50"/>
      <c r="S149" s="50"/>
      <c r="T149" s="50"/>
      <c r="U149" s="2"/>
    </row>
    <row r="150" spans="1:21" ht="99" customHeight="1">
      <c r="B150" s="250" t="s">
        <v>449</v>
      </c>
      <c r="C150" s="54" t="s">
        <v>470</v>
      </c>
      <c r="D150" s="247" t="s">
        <v>471</v>
      </c>
      <c r="E150" s="33"/>
      <c r="F150" s="251">
        <v>147167.44</v>
      </c>
      <c r="G150" s="48"/>
      <c r="H150" s="258">
        <v>147167.44</v>
      </c>
      <c r="I150" s="259"/>
      <c r="J150" s="2"/>
      <c r="K150" s="2"/>
      <c r="L150" s="2"/>
      <c r="M150" s="20"/>
      <c r="N150" s="2"/>
      <c r="O150" s="2"/>
      <c r="P150" s="2"/>
      <c r="Q150" s="50"/>
      <c r="R150" s="50"/>
      <c r="S150" s="50"/>
      <c r="T150" s="50"/>
      <c r="U150" s="2"/>
    </row>
    <row r="151" spans="1:21" ht="75.75" customHeight="1">
      <c r="B151" s="250" t="s">
        <v>449</v>
      </c>
      <c r="C151" s="54" t="s">
        <v>472</v>
      </c>
      <c r="D151" s="247" t="s">
        <v>473</v>
      </c>
      <c r="E151" s="33"/>
      <c r="F151" s="251">
        <v>149569.54999999999</v>
      </c>
      <c r="G151" s="48"/>
      <c r="H151" s="258">
        <v>149569.54999999999</v>
      </c>
      <c r="I151" s="259"/>
      <c r="J151" s="2"/>
      <c r="K151" s="2"/>
      <c r="L151" s="2"/>
      <c r="M151" s="20"/>
      <c r="N151" s="2"/>
      <c r="O151" s="2"/>
      <c r="P151" s="2"/>
      <c r="Q151" s="50"/>
      <c r="R151" s="50"/>
      <c r="S151" s="50"/>
      <c r="T151" s="50"/>
      <c r="U151" s="2"/>
    </row>
    <row r="152" spans="1:21" ht="39.75" customHeight="1">
      <c r="A152" s="22"/>
      <c r="B152" s="2448" t="s">
        <v>474</v>
      </c>
      <c r="C152" s="56" t="s">
        <v>45</v>
      </c>
      <c r="D152" s="32" t="s">
        <v>46</v>
      </c>
      <c r="E152" s="25" t="s">
        <v>17</v>
      </c>
      <c r="F152" s="26">
        <v>11064</v>
      </c>
      <c r="G152" s="44" t="s">
        <v>47</v>
      </c>
      <c r="H152" s="57" t="s">
        <v>475</v>
      </c>
      <c r="I152" s="58" t="s">
        <v>476</v>
      </c>
      <c r="J152" s="59"/>
      <c r="K152" s="2"/>
      <c r="M152" s="20"/>
      <c r="N152" s="2"/>
      <c r="O152" s="2"/>
      <c r="P152" s="2"/>
      <c r="Q152" s="50"/>
      <c r="R152" s="50"/>
      <c r="S152" s="50"/>
      <c r="T152" s="50"/>
      <c r="U152" s="2"/>
    </row>
    <row r="153" spans="1:21" ht="21.75" customHeight="1">
      <c r="A153" s="22"/>
      <c r="B153" s="2448"/>
      <c r="C153" s="45" t="s">
        <v>477</v>
      </c>
      <c r="D153" s="32"/>
      <c r="E153" s="25"/>
      <c r="F153" s="26">
        <v>16000</v>
      </c>
      <c r="G153" s="27"/>
      <c r="H153" s="260" t="s">
        <v>478</v>
      </c>
      <c r="I153" s="260"/>
      <c r="J153" s="261" t="s">
        <v>479</v>
      </c>
      <c r="K153" s="2"/>
      <c r="M153" s="20"/>
      <c r="N153" s="2"/>
      <c r="O153" s="2"/>
      <c r="P153" s="2"/>
      <c r="Q153" s="50"/>
      <c r="R153" s="50"/>
      <c r="S153" s="50"/>
      <c r="T153" s="50"/>
      <c r="U153" s="2"/>
    </row>
    <row r="154" spans="1:21" ht="50.25" customHeight="1">
      <c r="B154" s="180" t="s">
        <v>480</v>
      </c>
      <c r="C154" s="54" t="s">
        <v>481</v>
      </c>
      <c r="D154" s="15" t="s">
        <v>482</v>
      </c>
      <c r="E154" s="25" t="s">
        <v>17</v>
      </c>
      <c r="F154" s="16">
        <v>2500</v>
      </c>
      <c r="G154" s="140" t="s">
        <v>483</v>
      </c>
      <c r="H154" s="262" t="s">
        <v>484</v>
      </c>
      <c r="I154" s="263" t="s">
        <v>485</v>
      </c>
      <c r="J154" s="264" t="s">
        <v>486</v>
      </c>
      <c r="K154" s="2"/>
      <c r="M154" s="20"/>
      <c r="N154" s="2"/>
      <c r="O154" s="2"/>
      <c r="P154" s="2"/>
      <c r="Q154" s="50"/>
      <c r="R154" s="50"/>
      <c r="S154" s="50"/>
      <c r="T154" s="50"/>
      <c r="U154" s="2"/>
    </row>
    <row r="155" spans="1:21" ht="41.25" customHeight="1">
      <c r="A155" s="97"/>
      <c r="B155" s="2440" t="s">
        <v>487</v>
      </c>
      <c r="C155" s="2392" t="s">
        <v>488</v>
      </c>
      <c r="D155" s="127" t="s">
        <v>489</v>
      </c>
      <c r="E155" s="25" t="s">
        <v>490</v>
      </c>
      <c r="F155" s="2375">
        <v>9000</v>
      </c>
      <c r="G155" s="34" t="s">
        <v>491</v>
      </c>
      <c r="H155" s="35"/>
      <c r="I155" s="55"/>
      <c r="J155" s="30"/>
      <c r="K155" s="2"/>
      <c r="M155" s="20"/>
      <c r="N155" s="2"/>
      <c r="O155" s="2"/>
      <c r="P155" s="2"/>
      <c r="Q155" s="50"/>
      <c r="R155" s="50"/>
      <c r="S155" s="50"/>
      <c r="T155" s="50"/>
      <c r="U155" s="2"/>
    </row>
    <row r="156" spans="1:21" ht="40.5" customHeight="1">
      <c r="A156" s="97"/>
      <c r="B156" s="2440"/>
      <c r="C156" s="2392"/>
      <c r="D156" s="38" t="s">
        <v>492</v>
      </c>
      <c r="E156" s="25" t="s">
        <v>493</v>
      </c>
      <c r="F156" s="2375"/>
      <c r="G156" s="34" t="s">
        <v>494</v>
      </c>
      <c r="H156" s="266" t="s">
        <v>495</v>
      </c>
      <c r="I156" s="267" t="s">
        <v>496</v>
      </c>
      <c r="J156" s="30"/>
      <c r="K156" s="2"/>
      <c r="M156" s="20"/>
      <c r="N156" s="2"/>
      <c r="O156" s="2"/>
      <c r="P156" s="2"/>
      <c r="Q156" s="50"/>
      <c r="R156" s="50"/>
      <c r="S156" s="50"/>
      <c r="T156" s="50"/>
      <c r="U156" s="2"/>
    </row>
    <row r="157" spans="1:21" ht="27" customHeight="1">
      <c r="A157" s="97"/>
      <c r="B157" s="2440"/>
      <c r="C157" s="131" t="s">
        <v>497</v>
      </c>
      <c r="D157" s="268"/>
      <c r="E157" s="92"/>
      <c r="F157" s="269">
        <v>61000</v>
      </c>
      <c r="G157" s="242" t="s">
        <v>498</v>
      </c>
      <c r="H157" s="28"/>
      <c r="I157" s="55"/>
      <c r="J157" s="30"/>
      <c r="K157" s="2"/>
      <c r="M157" s="20"/>
      <c r="N157" s="2"/>
      <c r="O157" s="2"/>
      <c r="P157" s="2"/>
      <c r="Q157" s="50"/>
      <c r="R157" s="50"/>
      <c r="S157" s="50"/>
      <c r="T157" s="50"/>
      <c r="U157" s="2"/>
    </row>
    <row r="158" spans="1:21" ht="27" customHeight="1">
      <c r="A158" s="270"/>
      <c r="B158" s="2449" t="s">
        <v>499</v>
      </c>
      <c r="C158" s="45" t="s">
        <v>500</v>
      </c>
      <c r="D158" s="271" t="s">
        <v>501</v>
      </c>
      <c r="E158" s="25"/>
      <c r="F158" s="26">
        <v>258000</v>
      </c>
      <c r="G158" s="28"/>
      <c r="H158" s="28" t="s">
        <v>502</v>
      </c>
      <c r="I158" s="2369" t="s">
        <v>401</v>
      </c>
      <c r="M158" s="20"/>
      <c r="N158" s="2"/>
      <c r="O158" s="2"/>
      <c r="P158" s="2"/>
      <c r="Q158" s="50"/>
      <c r="R158" s="50"/>
      <c r="S158" s="50"/>
      <c r="T158" s="50"/>
      <c r="U158" s="2"/>
    </row>
    <row r="159" spans="1:21" ht="24">
      <c r="B159" s="2449"/>
      <c r="C159" s="54" t="s">
        <v>503</v>
      </c>
      <c r="D159" s="247" t="s">
        <v>504</v>
      </c>
      <c r="E159" s="60" t="s">
        <v>505</v>
      </c>
      <c r="F159" s="272" t="s">
        <v>506</v>
      </c>
      <c r="G159" s="48"/>
      <c r="H159" s="248" t="s">
        <v>507</v>
      </c>
      <c r="I159" s="2369"/>
      <c r="J159" s="2"/>
      <c r="K159" s="2"/>
      <c r="L159" s="2"/>
      <c r="M159" s="20"/>
      <c r="N159" s="2"/>
      <c r="O159" s="2"/>
      <c r="P159" s="2"/>
      <c r="Q159" s="50"/>
      <c r="R159" s="50"/>
      <c r="S159" s="50"/>
      <c r="T159" s="50"/>
      <c r="U159" s="2"/>
    </row>
    <row r="160" spans="1:21" ht="54">
      <c r="B160" s="273" t="s">
        <v>508</v>
      </c>
      <c r="C160" s="54" t="s">
        <v>509</v>
      </c>
      <c r="D160" s="247" t="s">
        <v>510</v>
      </c>
      <c r="E160" s="60" t="s">
        <v>505</v>
      </c>
      <c r="F160" s="54" t="s">
        <v>511</v>
      </c>
      <c r="G160" s="48"/>
      <c r="H160" s="248" t="s">
        <v>512</v>
      </c>
      <c r="I160" s="248" t="s">
        <v>513</v>
      </c>
      <c r="J160" s="2"/>
      <c r="K160" s="2"/>
      <c r="L160" s="2"/>
      <c r="M160" s="20"/>
      <c r="N160" s="2"/>
      <c r="O160" s="2"/>
      <c r="P160" s="2"/>
      <c r="Q160" s="50"/>
      <c r="R160" s="50"/>
      <c r="S160" s="50"/>
      <c r="T160" s="50"/>
      <c r="U160" s="2"/>
    </row>
    <row r="161" spans="1:21" ht="41.25" customHeight="1">
      <c r="B161" s="2447" t="s">
        <v>514</v>
      </c>
      <c r="C161" s="2354" t="s">
        <v>515</v>
      </c>
      <c r="D161" s="180" t="s">
        <v>516</v>
      </c>
      <c r="E161" s="92" t="s">
        <v>17</v>
      </c>
      <c r="F161" s="237">
        <v>30200</v>
      </c>
      <c r="G161" s="52" t="s">
        <v>517</v>
      </c>
      <c r="H161" s="2"/>
      <c r="I161" s="2371" t="s">
        <v>518</v>
      </c>
      <c r="J161" s="30"/>
      <c r="K161" s="2"/>
      <c r="M161" s="20"/>
      <c r="N161" s="2"/>
      <c r="O161" s="2"/>
      <c r="P161" s="2"/>
      <c r="Q161" s="50"/>
      <c r="R161" s="50"/>
      <c r="S161" s="50"/>
      <c r="T161" s="50"/>
      <c r="U161" s="2"/>
    </row>
    <row r="162" spans="1:21" ht="24">
      <c r="B162" s="2447"/>
      <c r="C162" s="2354"/>
      <c r="D162" s="231" t="s">
        <v>519</v>
      </c>
      <c r="E162" s="25"/>
      <c r="F162" s="233">
        <v>9000</v>
      </c>
      <c r="G162" s="52" t="s">
        <v>65</v>
      </c>
      <c r="H162" s="139" t="s">
        <v>520</v>
      </c>
      <c r="I162" s="2371"/>
      <c r="J162" s="30"/>
      <c r="K162" s="2"/>
      <c r="M162" s="20"/>
      <c r="N162" s="2"/>
      <c r="O162" s="2"/>
      <c r="P162" s="2"/>
      <c r="Q162" s="50"/>
      <c r="R162" s="50"/>
      <c r="S162" s="50"/>
      <c r="T162" s="50"/>
      <c r="U162" s="2"/>
    </row>
    <row r="163" spans="1:21" ht="36">
      <c r="B163" s="2447"/>
      <c r="C163" s="274"/>
      <c r="D163" s="275" t="s">
        <v>521</v>
      </c>
      <c r="E163" s="25"/>
      <c r="F163" s="233">
        <v>30704</v>
      </c>
      <c r="G163" s="52"/>
      <c r="H163" s="276" t="s">
        <v>522</v>
      </c>
      <c r="I163" s="276" t="s">
        <v>523</v>
      </c>
      <c r="J163" s="30"/>
      <c r="K163" s="2"/>
      <c r="M163" s="20"/>
      <c r="N163" s="2"/>
      <c r="O163" s="2"/>
      <c r="P163" s="2"/>
      <c r="Q163" s="50"/>
      <c r="R163" s="50"/>
      <c r="S163" s="50"/>
      <c r="T163" s="50"/>
      <c r="U163" s="2"/>
    </row>
    <row r="164" spans="1:21">
      <c r="B164" s="2447"/>
      <c r="C164" s="274" t="s">
        <v>524</v>
      </c>
      <c r="D164" s="277" t="s">
        <v>525</v>
      </c>
      <c r="E164" s="25"/>
      <c r="F164" s="233">
        <v>100000</v>
      </c>
      <c r="G164" s="52"/>
      <c r="H164" s="278">
        <v>100000</v>
      </c>
      <c r="I164" s="279"/>
      <c r="J164" s="30" t="s">
        <v>526</v>
      </c>
      <c r="K164" s="2"/>
      <c r="M164" s="20"/>
      <c r="N164" s="2"/>
      <c r="O164" s="2"/>
      <c r="P164" s="2"/>
      <c r="Q164" s="50"/>
      <c r="R164" s="50"/>
      <c r="S164" s="50"/>
      <c r="T164" s="50"/>
      <c r="U164" s="2"/>
    </row>
    <row r="165" spans="1:21" ht="24">
      <c r="B165" s="2447"/>
      <c r="C165" s="280" t="s">
        <v>527</v>
      </c>
      <c r="D165" s="277" t="s">
        <v>528</v>
      </c>
      <c r="E165" s="25"/>
      <c r="F165" s="233">
        <v>120000</v>
      </c>
      <c r="G165" s="52"/>
      <c r="H165" s="278">
        <v>120000</v>
      </c>
      <c r="I165" s="279"/>
      <c r="J165" s="30" t="s">
        <v>529</v>
      </c>
      <c r="K165" s="2"/>
      <c r="M165" s="20"/>
      <c r="N165" s="2"/>
      <c r="O165" s="2"/>
      <c r="P165" s="2"/>
      <c r="Q165" s="50"/>
      <c r="R165" s="50"/>
      <c r="S165" s="50"/>
      <c r="T165" s="50"/>
      <c r="U165" s="2"/>
    </row>
    <row r="166" spans="1:21" ht="22.5" customHeight="1">
      <c r="B166" s="2383" t="s">
        <v>530</v>
      </c>
      <c r="C166" s="2384" t="s">
        <v>27</v>
      </c>
      <c r="D166" s="15"/>
      <c r="E166" s="33"/>
      <c r="F166" s="39">
        <v>10000</v>
      </c>
      <c r="G166" s="45" t="s">
        <v>531</v>
      </c>
      <c r="H166" s="45"/>
      <c r="I166" s="203"/>
      <c r="J166" s="30"/>
      <c r="K166" s="2"/>
      <c r="M166" s="20"/>
      <c r="N166" s="2"/>
      <c r="O166" s="2"/>
      <c r="P166" s="2"/>
      <c r="Q166" s="50"/>
      <c r="R166" s="50"/>
      <c r="S166" s="50"/>
      <c r="T166" s="50"/>
      <c r="U166" s="2"/>
    </row>
    <row r="167" spans="1:21" ht="27" customHeight="1">
      <c r="A167" s="22"/>
      <c r="B167" s="2383"/>
      <c r="C167" s="2384"/>
      <c r="D167" s="38"/>
      <c r="E167" s="25"/>
      <c r="F167" s="39">
        <v>10000</v>
      </c>
      <c r="G167" s="45" t="s">
        <v>532</v>
      </c>
      <c r="H167" s="281" t="s">
        <v>533</v>
      </c>
      <c r="I167" s="29"/>
      <c r="J167" s="41"/>
      <c r="K167" s="42"/>
      <c r="L167" s="43"/>
      <c r="M167" s="20"/>
      <c r="N167" s="2"/>
      <c r="O167" s="2"/>
      <c r="P167" s="2"/>
      <c r="Q167" s="50"/>
      <c r="R167" s="50"/>
      <c r="S167" s="50"/>
      <c r="T167" s="50"/>
      <c r="U167" s="2"/>
    </row>
    <row r="168" spans="1:21" ht="92.25" customHeight="1">
      <c r="B168" s="2383"/>
      <c r="C168" s="52" t="s">
        <v>382</v>
      </c>
      <c r="D168" s="15" t="s">
        <v>534</v>
      </c>
      <c r="E168" s="33" t="s">
        <v>535</v>
      </c>
      <c r="F168" s="26" t="s">
        <v>536</v>
      </c>
      <c r="G168" s="282" t="s">
        <v>537</v>
      </c>
      <c r="H168" s="283" t="s">
        <v>538</v>
      </c>
      <c r="I168" s="284"/>
      <c r="J168" s="30"/>
      <c r="K168" s="2"/>
      <c r="M168" s="20"/>
      <c r="N168" s="2"/>
      <c r="O168" s="2"/>
      <c r="P168" s="2"/>
      <c r="Q168" s="50"/>
      <c r="R168" s="50"/>
      <c r="S168" s="50"/>
      <c r="T168" s="50"/>
      <c r="U168" s="2"/>
    </row>
    <row r="169" spans="1:21" ht="42.75" customHeight="1">
      <c r="B169" s="285" t="s">
        <v>539</v>
      </c>
      <c r="C169" s="45" t="s">
        <v>540</v>
      </c>
      <c r="D169" s="271" t="s">
        <v>541</v>
      </c>
      <c r="E169" s="25" t="s">
        <v>17</v>
      </c>
      <c r="F169" s="286">
        <v>11900</v>
      </c>
      <c r="G169" s="48"/>
      <c r="H169" s="248" t="s">
        <v>542</v>
      </c>
      <c r="I169" s="248" t="s">
        <v>543</v>
      </c>
      <c r="J169" s="2"/>
      <c r="K169" s="2"/>
      <c r="L169" s="2"/>
      <c r="M169" s="20"/>
      <c r="N169" s="2"/>
      <c r="O169" s="2"/>
      <c r="P169" s="2"/>
      <c r="Q169" s="50"/>
      <c r="R169" s="50"/>
      <c r="S169" s="50"/>
      <c r="T169" s="50"/>
      <c r="U169" s="2"/>
    </row>
    <row r="170" spans="1:21" ht="30.75" customHeight="1">
      <c r="A170" s="1" t="s">
        <v>544</v>
      </c>
      <c r="B170" s="2446" t="s">
        <v>545</v>
      </c>
      <c r="C170" s="24" t="s">
        <v>27</v>
      </c>
      <c r="D170" s="38" t="s">
        <v>546</v>
      </c>
      <c r="E170" s="25"/>
      <c r="F170" s="39">
        <v>10000</v>
      </c>
      <c r="G170" s="287" t="s">
        <v>43</v>
      </c>
      <c r="H170" s="288"/>
      <c r="I170" s="289" t="s">
        <v>547</v>
      </c>
      <c r="J170" s="290"/>
      <c r="K170" s="2"/>
      <c r="M170" s="20"/>
      <c r="N170" s="2"/>
      <c r="O170" s="2"/>
      <c r="P170" s="2"/>
      <c r="Q170" s="50"/>
      <c r="R170" s="50"/>
      <c r="S170" s="50"/>
      <c r="T170" s="50"/>
      <c r="U170" s="2"/>
    </row>
    <row r="171" spans="1:21" ht="38.25" customHeight="1">
      <c r="A171" s="22"/>
      <c r="B171" s="2446"/>
      <c r="C171" s="24" t="s">
        <v>27</v>
      </c>
      <c r="D171" s="38" t="s">
        <v>548</v>
      </c>
      <c r="E171" s="25"/>
      <c r="F171" s="39">
        <v>10000</v>
      </c>
      <c r="G171" s="44" t="s">
        <v>28</v>
      </c>
      <c r="H171" s="45"/>
      <c r="I171" s="29"/>
      <c r="J171" s="41"/>
      <c r="K171" s="42"/>
      <c r="L171" s="43"/>
      <c r="M171" s="20"/>
      <c r="N171" s="2"/>
      <c r="O171" s="2"/>
      <c r="P171" s="2"/>
      <c r="Q171" s="50"/>
      <c r="R171" s="50"/>
      <c r="S171" s="50"/>
      <c r="T171" s="50"/>
      <c r="U171" s="2"/>
    </row>
    <row r="172" spans="1:21" ht="63" customHeight="1">
      <c r="B172" s="2446"/>
      <c r="C172" s="45" t="s">
        <v>540</v>
      </c>
      <c r="D172" s="64" t="s">
        <v>549</v>
      </c>
      <c r="E172" s="25" t="s">
        <v>17</v>
      </c>
      <c r="F172" s="26">
        <v>12000</v>
      </c>
      <c r="G172" s="291" t="s">
        <v>550</v>
      </c>
      <c r="H172" s="292" t="s">
        <v>551</v>
      </c>
      <c r="I172" s="178" t="s">
        <v>552</v>
      </c>
      <c r="J172" s="293"/>
      <c r="K172" s="2"/>
      <c r="M172" s="20"/>
      <c r="N172" s="2"/>
      <c r="O172" s="2"/>
      <c r="P172" s="2"/>
      <c r="Q172" s="50"/>
      <c r="R172" s="50"/>
      <c r="S172" s="50"/>
      <c r="T172" s="50"/>
      <c r="U172" s="2"/>
    </row>
    <row r="173" spans="1:21" ht="63.75" customHeight="1">
      <c r="A173" s="22"/>
      <c r="B173" s="137" t="s">
        <v>553</v>
      </c>
      <c r="C173" s="240" t="s">
        <v>422</v>
      </c>
      <c r="D173" s="294" t="s">
        <v>554</v>
      </c>
      <c r="E173" s="92" t="s">
        <v>17</v>
      </c>
      <c r="F173" s="241">
        <v>5000</v>
      </c>
      <c r="G173" s="242"/>
      <c r="H173" s="295" t="s">
        <v>555</v>
      </c>
      <c r="I173" s="55" t="s">
        <v>556</v>
      </c>
      <c r="J173" s="296"/>
      <c r="K173" s="2"/>
      <c r="M173" s="20"/>
      <c r="N173" s="2"/>
      <c r="O173" s="2"/>
      <c r="P173" s="2"/>
      <c r="Q173" s="50"/>
      <c r="R173" s="50"/>
      <c r="S173" s="50"/>
      <c r="T173" s="50"/>
      <c r="U173" s="2"/>
    </row>
    <row r="174" spans="1:21" ht="26.25" customHeight="1">
      <c r="A174" s="15"/>
      <c r="B174" s="2436" t="s">
        <v>557</v>
      </c>
      <c r="C174" s="2441" t="s">
        <v>35</v>
      </c>
      <c r="D174" s="2377" t="s">
        <v>36</v>
      </c>
      <c r="E174" s="2376" t="s">
        <v>17</v>
      </c>
      <c r="F174" s="2375">
        <v>7200</v>
      </c>
      <c r="G174" s="2391" t="s">
        <v>37</v>
      </c>
      <c r="H174" s="2372" t="s">
        <v>558</v>
      </c>
      <c r="I174" s="2373" t="s">
        <v>559</v>
      </c>
      <c r="J174" s="2354" t="s">
        <v>40</v>
      </c>
      <c r="K174" s="2"/>
      <c r="M174" s="20"/>
      <c r="N174" s="139"/>
      <c r="O174" s="2"/>
      <c r="P174" s="2"/>
      <c r="Q174" s="50"/>
      <c r="R174" s="50"/>
      <c r="S174" s="50"/>
      <c r="T174" s="50"/>
      <c r="U174" s="2"/>
    </row>
    <row r="175" spans="1:21" ht="22.5" customHeight="1">
      <c r="A175" s="22"/>
      <c r="B175" s="2436"/>
      <c r="C175" s="2441"/>
      <c r="D175" s="2377"/>
      <c r="E175" s="2376"/>
      <c r="F175" s="2375"/>
      <c r="G175" s="2391"/>
      <c r="H175" s="2372"/>
      <c r="I175" s="2373"/>
      <c r="J175" s="2354"/>
      <c r="K175" s="42" t="s">
        <v>41</v>
      </c>
      <c r="L175" s="43"/>
      <c r="M175" s="20"/>
      <c r="N175" s="2"/>
      <c r="O175" s="2"/>
      <c r="P175" s="2"/>
      <c r="Q175" s="50"/>
      <c r="R175" s="50"/>
      <c r="S175" s="50"/>
      <c r="T175" s="50"/>
      <c r="U175" s="2"/>
    </row>
    <row r="176" spans="1:21" ht="48">
      <c r="B176" s="179" t="s">
        <v>560</v>
      </c>
      <c r="C176" s="52" t="s">
        <v>561</v>
      </c>
      <c r="D176" s="15" t="s">
        <v>562</v>
      </c>
      <c r="E176" s="33" t="s">
        <v>563</v>
      </c>
      <c r="F176" s="16">
        <v>25000</v>
      </c>
      <c r="G176" s="140" t="s">
        <v>564</v>
      </c>
      <c r="H176" s="298" t="s">
        <v>565</v>
      </c>
      <c r="I176" s="172" t="s">
        <v>566</v>
      </c>
      <c r="J176" s="299" t="s">
        <v>567</v>
      </c>
      <c r="K176" s="2"/>
      <c r="M176" s="20"/>
      <c r="N176" s="2"/>
      <c r="O176" s="2"/>
      <c r="P176" s="2"/>
      <c r="Q176" s="50"/>
      <c r="R176" s="50"/>
      <c r="S176" s="50"/>
      <c r="T176" s="50"/>
      <c r="U176" s="2"/>
    </row>
    <row r="177" spans="1:23" ht="64.5" customHeight="1">
      <c r="A177" s="300"/>
      <c r="B177" s="207" t="s">
        <v>568</v>
      </c>
      <c r="C177" s="207" t="s">
        <v>569</v>
      </c>
      <c r="D177" s="301" t="s">
        <v>570</v>
      </c>
      <c r="E177" s="60" t="s">
        <v>571</v>
      </c>
      <c r="F177" s="302">
        <v>16000</v>
      </c>
      <c r="G177" s="61"/>
      <c r="H177" s="35" t="s">
        <v>572</v>
      </c>
      <c r="I177" s="295"/>
      <c r="J177" s="30"/>
      <c r="K177" s="2"/>
      <c r="M177" s="20"/>
      <c r="N177" s="2"/>
      <c r="O177" s="2"/>
      <c r="P177" s="2"/>
      <c r="Q177" s="50"/>
      <c r="R177" s="50"/>
      <c r="S177" s="50"/>
      <c r="T177" s="50"/>
      <c r="U177" s="2"/>
    </row>
    <row r="178" spans="1:23" ht="51.75" customHeight="1">
      <c r="B178" s="2463" t="s">
        <v>573</v>
      </c>
      <c r="C178" s="52" t="s">
        <v>574</v>
      </c>
      <c r="D178" s="180" t="s">
        <v>575</v>
      </c>
      <c r="E178" s="33" t="s">
        <v>576</v>
      </c>
      <c r="F178" s="26">
        <v>15600</v>
      </c>
      <c r="G178" s="303" t="s">
        <v>577</v>
      </c>
      <c r="H178" s="298" t="s">
        <v>578</v>
      </c>
      <c r="I178" s="284" t="s">
        <v>579</v>
      </c>
      <c r="J178" s="30"/>
      <c r="K178" s="2"/>
      <c r="M178" s="20"/>
      <c r="N178" s="2"/>
      <c r="O178" s="2"/>
      <c r="P178" s="2"/>
      <c r="Q178" s="50"/>
      <c r="R178" s="50"/>
      <c r="S178" s="50"/>
      <c r="T178" s="50"/>
      <c r="U178" s="2"/>
    </row>
    <row r="179" spans="1:23" ht="26.25" customHeight="1">
      <c r="A179" s="97"/>
      <c r="B179" s="2463"/>
      <c r="C179" s="45" t="s">
        <v>159</v>
      </c>
      <c r="D179" s="99" t="s">
        <v>580</v>
      </c>
      <c r="E179" s="25"/>
      <c r="F179" s="166">
        <v>14000</v>
      </c>
      <c r="G179" s="27" t="s">
        <v>581</v>
      </c>
      <c r="H179" s="75"/>
      <c r="I179" s="2"/>
      <c r="J179" s="30"/>
      <c r="K179" s="2"/>
      <c r="M179" s="20"/>
      <c r="N179" s="2"/>
      <c r="O179" s="2"/>
      <c r="P179" s="2"/>
      <c r="Q179" s="50"/>
      <c r="R179" s="50"/>
      <c r="S179" s="50"/>
      <c r="T179" s="50"/>
      <c r="U179" s="2"/>
    </row>
    <row r="180" spans="1:23" ht="48" customHeight="1">
      <c r="A180" s="1" t="s">
        <v>544</v>
      </c>
      <c r="B180" s="31" t="s">
        <v>582</v>
      </c>
      <c r="C180" s="265" t="s">
        <v>583</v>
      </c>
      <c r="D180" s="64" t="s">
        <v>584</v>
      </c>
      <c r="E180" s="25" t="s">
        <v>585</v>
      </c>
      <c r="F180" s="26">
        <v>8500</v>
      </c>
      <c r="G180" s="140" t="s">
        <v>586</v>
      </c>
      <c r="H180" s="174" t="s">
        <v>587</v>
      </c>
      <c r="I180" s="178" t="s">
        <v>588</v>
      </c>
      <c r="J180" s="290"/>
      <c r="K180" s="2"/>
      <c r="M180" s="20"/>
      <c r="N180" s="2"/>
      <c r="O180" s="2"/>
      <c r="P180" s="2"/>
      <c r="Q180" s="50"/>
      <c r="R180" s="50"/>
      <c r="S180" s="50"/>
      <c r="T180" s="50"/>
      <c r="U180" s="2"/>
    </row>
    <row r="181" spans="1:23" ht="64.5" customHeight="1">
      <c r="A181" s="304"/>
      <c r="B181" s="130" t="s">
        <v>589</v>
      </c>
      <c r="C181" s="305" t="s">
        <v>73</v>
      </c>
      <c r="D181" s="306" t="s">
        <v>74</v>
      </c>
      <c r="E181" s="25" t="s">
        <v>17</v>
      </c>
      <c r="F181" s="25">
        <v>6700</v>
      </c>
      <c r="G181" s="27" t="s">
        <v>75</v>
      </c>
      <c r="H181" s="307" t="s">
        <v>590</v>
      </c>
      <c r="I181" s="73"/>
      <c r="J181" s="308" t="s">
        <v>567</v>
      </c>
      <c r="K181" s="50"/>
      <c r="L181" s="309"/>
      <c r="M181" s="20"/>
      <c r="N181" s="2"/>
      <c r="O181" s="2"/>
      <c r="P181" s="2"/>
      <c r="Q181" s="50"/>
      <c r="R181" s="50"/>
      <c r="S181" s="50"/>
      <c r="T181" s="50"/>
      <c r="U181" s="2"/>
    </row>
    <row r="182" spans="1:23" s="221" customFormat="1" ht="19.5" customHeight="1">
      <c r="B182" s="222" t="s">
        <v>591</v>
      </c>
      <c r="C182" s="223"/>
      <c r="D182" s="224"/>
      <c r="E182" s="225"/>
      <c r="F182" s="226"/>
      <c r="G182" s="226"/>
      <c r="H182" s="227"/>
      <c r="I182" s="228"/>
      <c r="J182" s="229"/>
      <c r="K182" s="229"/>
      <c r="L182" s="229"/>
      <c r="M182" s="20"/>
      <c r="N182" s="229"/>
      <c r="O182" s="229"/>
      <c r="P182" s="229"/>
      <c r="Q182" s="230"/>
      <c r="R182" s="230"/>
      <c r="S182" s="230"/>
      <c r="T182" s="230"/>
      <c r="U182" s="229"/>
      <c r="V182" s="702"/>
      <c r="W182" s="702"/>
    </row>
    <row r="183" spans="1:23" ht="68.25" customHeight="1">
      <c r="B183" s="310" t="s">
        <v>592</v>
      </c>
      <c r="C183" s="311" t="s">
        <v>415</v>
      </c>
      <c r="D183" s="99" t="s">
        <v>593</v>
      </c>
      <c r="E183" s="236" t="s">
        <v>17</v>
      </c>
      <c r="F183" s="237">
        <v>35000</v>
      </c>
      <c r="G183" s="52" t="s">
        <v>418</v>
      </c>
      <c r="H183" s="238" t="s">
        <v>594</v>
      </c>
      <c r="I183" s="284" t="s">
        <v>595</v>
      </c>
      <c r="J183" s="30"/>
      <c r="K183" s="2"/>
      <c r="M183" s="20"/>
      <c r="N183" s="2"/>
      <c r="O183" s="2"/>
      <c r="P183" s="2"/>
      <c r="Q183" s="50"/>
      <c r="R183" s="50"/>
      <c r="S183" s="50"/>
      <c r="T183" s="50"/>
      <c r="U183" s="2"/>
    </row>
    <row r="184" spans="1:23" ht="52.5" customHeight="1">
      <c r="B184" s="2389" t="s">
        <v>426</v>
      </c>
      <c r="C184" s="69" t="s">
        <v>427</v>
      </c>
      <c r="D184" s="247" t="s">
        <v>428</v>
      </c>
      <c r="E184" s="60" t="s">
        <v>429</v>
      </c>
      <c r="F184" s="48">
        <v>7500</v>
      </c>
      <c r="G184" s="48"/>
      <c r="H184" s="248" t="s">
        <v>596</v>
      </c>
      <c r="I184" s="284"/>
      <c r="J184" s="2"/>
      <c r="K184" s="2"/>
      <c r="L184" s="2"/>
      <c r="M184" s="20"/>
      <c r="N184" s="2"/>
      <c r="O184" s="2"/>
      <c r="P184" s="2"/>
      <c r="Q184" s="50"/>
      <c r="R184" s="50"/>
      <c r="S184" s="50"/>
      <c r="T184" s="50"/>
      <c r="U184" s="2"/>
    </row>
    <row r="185" spans="1:23" ht="23.25" customHeight="1">
      <c r="B185" s="2389"/>
      <c r="C185" s="69" t="s">
        <v>597</v>
      </c>
      <c r="D185" s="15"/>
      <c r="E185" s="60"/>
      <c r="F185" s="312">
        <v>85000</v>
      </c>
      <c r="G185" s="312"/>
      <c r="H185" s="313">
        <v>85000</v>
      </c>
      <c r="I185" s="284"/>
      <c r="J185" s="2" t="s">
        <v>598</v>
      </c>
      <c r="K185" s="2"/>
      <c r="L185" s="2"/>
      <c r="M185" s="20"/>
      <c r="N185" s="2"/>
      <c r="O185" s="2"/>
      <c r="P185" s="2"/>
      <c r="Q185" s="50"/>
      <c r="R185" s="50"/>
      <c r="S185" s="50"/>
      <c r="T185" s="50"/>
      <c r="U185" s="2"/>
    </row>
    <row r="186" spans="1:23" ht="63" customHeight="1">
      <c r="B186" s="314" t="s">
        <v>431</v>
      </c>
      <c r="C186" s="69" t="s">
        <v>432</v>
      </c>
      <c r="D186" s="15" t="s">
        <v>433</v>
      </c>
      <c r="E186" s="315" t="s">
        <v>434</v>
      </c>
      <c r="F186" s="316" t="s">
        <v>599</v>
      </c>
      <c r="G186" s="317" t="s">
        <v>600</v>
      </c>
      <c r="H186" s="318" t="s">
        <v>601</v>
      </c>
      <c r="I186" s="319" t="s">
        <v>602</v>
      </c>
      <c r="J186" s="2"/>
      <c r="K186" s="2"/>
      <c r="L186" s="2"/>
      <c r="M186" s="20"/>
      <c r="N186" s="2"/>
      <c r="O186" s="2"/>
      <c r="P186" s="2"/>
      <c r="Q186" s="50"/>
      <c r="R186" s="50"/>
      <c r="S186" s="50"/>
      <c r="T186" s="50"/>
      <c r="U186" s="2"/>
    </row>
    <row r="187" spans="1:23" ht="62.25" customHeight="1">
      <c r="B187" s="2464" t="s">
        <v>436</v>
      </c>
      <c r="C187" s="320" t="s">
        <v>437</v>
      </c>
      <c r="D187" s="247" t="s">
        <v>603</v>
      </c>
      <c r="E187" s="321">
        <v>10182233</v>
      </c>
      <c r="F187" s="322">
        <v>43100</v>
      </c>
      <c r="G187" s="317"/>
      <c r="H187" s="318"/>
      <c r="I187" s="319"/>
      <c r="J187" s="2"/>
      <c r="K187" s="2"/>
      <c r="L187" s="2"/>
      <c r="M187" s="20"/>
      <c r="N187" s="2"/>
      <c r="O187" s="2"/>
      <c r="P187" s="2"/>
      <c r="Q187" s="50"/>
      <c r="R187" s="50"/>
      <c r="S187" s="50"/>
      <c r="T187" s="50"/>
      <c r="U187" s="2"/>
    </row>
    <row r="188" spans="1:23" s="182" customFormat="1" ht="74.25" customHeight="1">
      <c r="B188" s="2464"/>
      <c r="C188" s="323" t="s">
        <v>604</v>
      </c>
      <c r="D188" s="324" t="s">
        <v>605</v>
      </c>
      <c r="E188" s="325"/>
      <c r="F188" s="326">
        <v>148850.23000000001</v>
      </c>
      <c r="G188" s="327"/>
      <c r="H188" s="328"/>
      <c r="I188" s="329"/>
      <c r="J188" s="192"/>
      <c r="K188" s="192"/>
      <c r="L188" s="192"/>
      <c r="M188" s="192"/>
      <c r="N188" s="192"/>
      <c r="O188" s="192"/>
      <c r="P188" s="192"/>
      <c r="Q188" s="191"/>
      <c r="R188" s="191"/>
      <c r="S188" s="191"/>
      <c r="T188" s="191"/>
      <c r="U188" s="192"/>
      <c r="V188" s="701"/>
      <c r="W188" s="701"/>
    </row>
    <row r="189" spans="1:23" ht="42" customHeight="1">
      <c r="B189" s="2464"/>
      <c r="C189" s="320" t="s">
        <v>606</v>
      </c>
      <c r="D189" s="330" t="s">
        <v>607</v>
      </c>
      <c r="E189" s="23"/>
      <c r="F189" s="331">
        <v>47843.9</v>
      </c>
      <c r="G189" s="48"/>
      <c r="H189" s="298" t="s">
        <v>608</v>
      </c>
      <c r="I189" s="284"/>
      <c r="J189" s="2"/>
      <c r="K189" s="2"/>
      <c r="L189" s="2"/>
      <c r="M189" s="20"/>
      <c r="N189" s="2"/>
      <c r="O189" s="2"/>
      <c r="P189" s="2"/>
      <c r="Q189" s="50"/>
      <c r="R189" s="50"/>
      <c r="S189" s="50"/>
      <c r="T189" s="50"/>
      <c r="U189" s="2"/>
    </row>
    <row r="190" spans="1:23" ht="42" customHeight="1">
      <c r="B190" s="332"/>
      <c r="C190" s="320" t="s">
        <v>609</v>
      </c>
      <c r="D190" s="247" t="s">
        <v>610</v>
      </c>
      <c r="E190" s="23"/>
      <c r="F190" s="331">
        <v>149356.97</v>
      </c>
      <c r="G190" s="48"/>
      <c r="H190" s="298" t="s">
        <v>611</v>
      </c>
      <c r="I190" s="284"/>
      <c r="J190" s="2"/>
      <c r="K190" s="2"/>
      <c r="L190" s="2"/>
      <c r="M190" s="20"/>
      <c r="N190" s="2"/>
      <c r="O190" s="2"/>
      <c r="P190" s="2"/>
      <c r="Q190" s="50"/>
      <c r="R190" s="50"/>
      <c r="S190" s="50"/>
      <c r="T190" s="50"/>
      <c r="U190" s="2"/>
    </row>
    <row r="191" spans="1:23" ht="61.5" customHeight="1">
      <c r="B191" s="333" t="s">
        <v>612</v>
      </c>
      <c r="C191" s="334" t="s">
        <v>613</v>
      </c>
      <c r="D191" s="335" t="s">
        <v>614</v>
      </c>
      <c r="E191" s="336"/>
      <c r="F191" s="337" t="s">
        <v>615</v>
      </c>
      <c r="G191" s="338"/>
      <c r="H191" s="339" t="s">
        <v>616</v>
      </c>
      <c r="I191" s="284" t="s">
        <v>617</v>
      </c>
      <c r="J191" s="340"/>
      <c r="K191" s="340"/>
      <c r="L191" s="340"/>
      <c r="M191" s="20"/>
      <c r="N191" s="2"/>
      <c r="O191" s="2"/>
      <c r="P191" s="2"/>
      <c r="Q191" s="50"/>
      <c r="R191" s="50"/>
      <c r="S191" s="50"/>
      <c r="T191" s="50"/>
      <c r="U191" s="2"/>
    </row>
    <row r="192" spans="1:23" ht="46.5" customHeight="1">
      <c r="A192" s="22"/>
      <c r="B192" s="2346" t="s">
        <v>474</v>
      </c>
      <c r="C192" s="341" t="s">
        <v>45</v>
      </c>
      <c r="D192" s="342" t="s">
        <v>46</v>
      </c>
      <c r="E192" s="343" t="s">
        <v>17</v>
      </c>
      <c r="F192" s="344">
        <v>11064</v>
      </c>
      <c r="G192" s="345" t="s">
        <v>47</v>
      </c>
      <c r="H192" s="346" t="s">
        <v>618</v>
      </c>
      <c r="I192" s="347" t="s">
        <v>619</v>
      </c>
      <c r="J192" s="348"/>
      <c r="K192" s="349"/>
      <c r="M192" s="20"/>
      <c r="N192" s="2"/>
      <c r="O192" s="2"/>
      <c r="P192" s="2"/>
      <c r="Q192" s="50"/>
      <c r="R192" s="50"/>
      <c r="S192" s="50"/>
      <c r="T192" s="50"/>
      <c r="U192" s="2"/>
    </row>
    <row r="193" spans="1:21" ht="21.75" customHeight="1">
      <c r="A193" s="22"/>
      <c r="B193" s="2346"/>
      <c r="C193" s="45" t="s">
        <v>477</v>
      </c>
      <c r="D193" s="32"/>
      <c r="E193" s="25"/>
      <c r="F193" s="26">
        <v>16000</v>
      </c>
      <c r="G193" s="27"/>
      <c r="H193" s="260" t="s">
        <v>478</v>
      </c>
      <c r="I193" s="260"/>
      <c r="J193" s="261" t="s">
        <v>479</v>
      </c>
      <c r="K193" s="2"/>
      <c r="M193" s="20"/>
      <c r="N193" s="2"/>
      <c r="O193" s="2"/>
      <c r="P193" s="2"/>
      <c r="Q193" s="50"/>
      <c r="R193" s="50"/>
      <c r="S193" s="50"/>
      <c r="T193" s="50"/>
      <c r="U193" s="2"/>
    </row>
    <row r="194" spans="1:21" ht="42" customHeight="1">
      <c r="B194" s="250" t="s">
        <v>620</v>
      </c>
      <c r="C194" s="54" t="s">
        <v>621</v>
      </c>
      <c r="D194" s="247" t="s">
        <v>622</v>
      </c>
      <c r="E194" s="350" t="s">
        <v>623</v>
      </c>
      <c r="F194" s="331"/>
      <c r="G194" s="48"/>
      <c r="H194" s="298" t="s">
        <v>624</v>
      </c>
      <c r="I194" s="351" t="s">
        <v>625</v>
      </c>
      <c r="J194" s="352"/>
      <c r="K194" s="2"/>
      <c r="L194" s="2"/>
      <c r="M194" s="20"/>
      <c r="N194" s="2"/>
      <c r="O194" s="2"/>
      <c r="P194" s="2"/>
      <c r="Q194" s="50"/>
      <c r="R194" s="50"/>
      <c r="S194" s="50"/>
      <c r="T194" s="50"/>
      <c r="U194" s="2"/>
    </row>
    <row r="195" spans="1:21" ht="50.25" customHeight="1">
      <c r="B195" s="2389" t="s">
        <v>480</v>
      </c>
      <c r="C195" s="54" t="s">
        <v>481</v>
      </c>
      <c r="D195" s="330" t="s">
        <v>482</v>
      </c>
      <c r="E195" s="25" t="s">
        <v>17</v>
      </c>
      <c r="F195" s="16">
        <v>2500</v>
      </c>
      <c r="G195" s="140" t="s">
        <v>483</v>
      </c>
      <c r="H195" s="139" t="s">
        <v>626</v>
      </c>
      <c r="I195" s="263"/>
      <c r="J195" s="264" t="s">
        <v>627</v>
      </c>
      <c r="K195" s="2" t="s">
        <v>567</v>
      </c>
      <c r="M195" s="20"/>
      <c r="N195" s="2"/>
      <c r="O195" s="2"/>
      <c r="P195" s="2"/>
      <c r="Q195" s="50"/>
      <c r="R195" s="50"/>
      <c r="S195" s="50"/>
      <c r="T195" s="50"/>
      <c r="U195" s="2"/>
    </row>
    <row r="196" spans="1:21" ht="18" customHeight="1">
      <c r="B196" s="2389"/>
      <c r="C196" s="54" t="s">
        <v>628</v>
      </c>
      <c r="D196" s="15" t="s">
        <v>629</v>
      </c>
      <c r="E196" s="25"/>
      <c r="F196" s="16">
        <v>7000</v>
      </c>
      <c r="G196" s="140"/>
      <c r="H196" s="16" t="s">
        <v>65</v>
      </c>
      <c r="I196" s="263"/>
      <c r="J196" s="264"/>
      <c r="K196" s="2"/>
      <c r="M196" s="20"/>
      <c r="N196" s="2"/>
      <c r="O196" s="2"/>
      <c r="P196" s="2"/>
      <c r="Q196" s="50"/>
      <c r="R196" s="50"/>
      <c r="S196" s="50"/>
      <c r="T196" s="50"/>
      <c r="U196" s="2"/>
    </row>
    <row r="197" spans="1:21" ht="41.25" customHeight="1">
      <c r="A197" s="97"/>
      <c r="B197" s="2462" t="s">
        <v>630</v>
      </c>
      <c r="C197" s="2392" t="s">
        <v>488</v>
      </c>
      <c r="D197" s="25" t="s">
        <v>631</v>
      </c>
      <c r="E197" s="25" t="s">
        <v>490</v>
      </c>
      <c r="F197" s="2375">
        <v>9000</v>
      </c>
      <c r="G197" s="34" t="s">
        <v>491</v>
      </c>
      <c r="H197" s="35"/>
      <c r="I197" s="55"/>
      <c r="J197" s="30"/>
      <c r="K197" s="2"/>
      <c r="M197" s="20"/>
      <c r="N197" s="2"/>
      <c r="O197" s="2"/>
      <c r="P197" s="2"/>
      <c r="Q197" s="50"/>
      <c r="R197" s="50"/>
      <c r="S197" s="50"/>
      <c r="T197" s="50"/>
      <c r="U197" s="2"/>
    </row>
    <row r="198" spans="1:21" ht="40.5" customHeight="1">
      <c r="A198" s="97"/>
      <c r="B198" s="2462"/>
      <c r="C198" s="2392"/>
      <c r="D198" s="38" t="s">
        <v>492</v>
      </c>
      <c r="E198" s="25" t="s">
        <v>493</v>
      </c>
      <c r="F198" s="2375"/>
      <c r="G198" s="34" t="s">
        <v>494</v>
      </c>
      <c r="H198" s="266" t="s">
        <v>632</v>
      </c>
      <c r="I198" s="267" t="s">
        <v>633</v>
      </c>
      <c r="J198" s="30"/>
      <c r="K198" s="2"/>
      <c r="M198" s="20"/>
      <c r="N198" s="2"/>
      <c r="O198" s="2"/>
      <c r="P198" s="2"/>
      <c r="Q198" s="50"/>
      <c r="R198" s="50"/>
      <c r="S198" s="50"/>
      <c r="T198" s="50"/>
      <c r="U198" s="2"/>
    </row>
    <row r="199" spans="1:21" ht="48">
      <c r="B199" s="193" t="s">
        <v>634</v>
      </c>
      <c r="C199" s="54" t="s">
        <v>515</v>
      </c>
      <c r="D199" s="180" t="s">
        <v>521</v>
      </c>
      <c r="E199" s="33"/>
      <c r="F199" s="285">
        <v>30704</v>
      </c>
      <c r="G199" s="54" t="s">
        <v>635</v>
      </c>
      <c r="H199" s="353" t="s">
        <v>636</v>
      </c>
      <c r="I199" s="354" t="s">
        <v>637</v>
      </c>
      <c r="J199" s="2"/>
      <c r="K199" s="2"/>
      <c r="L199" s="2"/>
      <c r="M199" s="20"/>
      <c r="N199" s="2"/>
      <c r="O199" s="2"/>
      <c r="P199" s="2"/>
      <c r="Q199" s="50"/>
      <c r="R199" s="50"/>
      <c r="S199" s="50"/>
      <c r="T199" s="50"/>
      <c r="U199" s="2"/>
    </row>
    <row r="200" spans="1:21" ht="48">
      <c r="B200" s="314" t="s">
        <v>638</v>
      </c>
      <c r="C200" s="54" t="s">
        <v>639</v>
      </c>
      <c r="D200" s="355" t="s">
        <v>640</v>
      </c>
      <c r="E200" s="33" t="s">
        <v>641</v>
      </c>
      <c r="F200" s="356">
        <v>7000</v>
      </c>
      <c r="G200" s="54"/>
      <c r="H200" s="357" t="s">
        <v>642</v>
      </c>
      <c r="I200" s="297"/>
      <c r="J200" s="2"/>
      <c r="K200" s="2"/>
      <c r="L200" s="2"/>
      <c r="M200" s="20"/>
      <c r="N200" s="2"/>
      <c r="O200" s="2"/>
      <c r="P200" s="2"/>
      <c r="Q200" s="50"/>
      <c r="R200" s="50"/>
      <c r="S200" s="50"/>
      <c r="T200" s="50"/>
      <c r="U200" s="2"/>
    </row>
    <row r="201" spans="1:21" ht="75.75" customHeight="1">
      <c r="A201" s="2398" t="s">
        <v>643</v>
      </c>
      <c r="B201" s="2398"/>
      <c r="C201" s="54" t="s">
        <v>644</v>
      </c>
      <c r="D201" s="15" t="s">
        <v>534</v>
      </c>
      <c r="E201" s="236" t="s">
        <v>535</v>
      </c>
      <c r="F201" s="286" t="s">
        <v>536</v>
      </c>
      <c r="G201" s="339" t="s">
        <v>645</v>
      </c>
      <c r="H201" s="283" t="s">
        <v>646</v>
      </c>
      <c r="I201" s="297"/>
      <c r="J201" s="42" t="s">
        <v>647</v>
      </c>
      <c r="K201" s="2"/>
      <c r="L201" s="2"/>
      <c r="M201" s="20"/>
      <c r="N201" s="2"/>
      <c r="O201" s="2"/>
      <c r="P201" s="2"/>
      <c r="Q201" s="50"/>
      <c r="R201" s="50"/>
      <c r="S201" s="50"/>
      <c r="T201" s="50"/>
      <c r="U201" s="2"/>
    </row>
    <row r="202" spans="1:21" ht="24" customHeight="1">
      <c r="A202" s="2398"/>
      <c r="B202" s="2398"/>
      <c r="C202" s="358" t="s">
        <v>648</v>
      </c>
      <c r="D202" s="359"/>
      <c r="E202" s="33"/>
      <c r="F202" s="286">
        <v>34000</v>
      </c>
      <c r="G202" s="339" t="s">
        <v>649</v>
      </c>
      <c r="H202" s="283" t="s">
        <v>650</v>
      </c>
      <c r="I202" s="297"/>
      <c r="J202" s="2"/>
      <c r="K202" s="2"/>
      <c r="L202" s="2"/>
      <c r="M202" s="20"/>
      <c r="N202" s="2"/>
      <c r="O202" s="2"/>
      <c r="P202" s="2"/>
      <c r="Q202" s="50"/>
      <c r="R202" s="50"/>
      <c r="S202" s="50"/>
      <c r="T202" s="50"/>
      <c r="U202" s="2"/>
    </row>
    <row r="203" spans="1:21" ht="36.75" customHeight="1">
      <c r="A203" s="360"/>
      <c r="B203" s="2350" t="s">
        <v>651</v>
      </c>
      <c r="C203" s="54" t="s">
        <v>652</v>
      </c>
      <c r="D203" s="361" t="s">
        <v>653</v>
      </c>
      <c r="E203" s="33"/>
      <c r="F203" s="362">
        <v>399000</v>
      </c>
      <c r="G203" s="339"/>
      <c r="H203" s="283"/>
      <c r="I203" s="363">
        <v>399000</v>
      </c>
      <c r="J203" s="141" t="s">
        <v>654</v>
      </c>
      <c r="K203" s="2"/>
      <c r="L203" s="2"/>
      <c r="M203" s="20"/>
      <c r="N203" s="2"/>
      <c r="O203" s="2"/>
      <c r="P203" s="2"/>
      <c r="Q203" s="50"/>
      <c r="R203" s="50"/>
      <c r="S203" s="50"/>
      <c r="T203" s="50"/>
      <c r="U203" s="2"/>
    </row>
    <row r="204" spans="1:21" ht="36.75" customHeight="1">
      <c r="A204" s="360"/>
      <c r="B204" s="2350"/>
      <c r="C204" s="54" t="s">
        <v>655</v>
      </c>
      <c r="D204" s="361" t="s">
        <v>656</v>
      </c>
      <c r="E204" s="33"/>
      <c r="F204" s="362">
        <v>490000</v>
      </c>
      <c r="G204" s="339"/>
      <c r="H204" s="283"/>
      <c r="I204" s="363">
        <v>490000</v>
      </c>
      <c r="J204" s="141" t="s">
        <v>657</v>
      </c>
      <c r="K204" s="2"/>
      <c r="L204" s="2"/>
      <c r="M204" s="20"/>
      <c r="N204" s="2"/>
      <c r="O204" s="2"/>
      <c r="P204" s="2"/>
      <c r="Q204" s="50"/>
      <c r="R204" s="50"/>
      <c r="S204" s="50"/>
      <c r="T204" s="50"/>
      <c r="U204" s="2"/>
    </row>
    <row r="205" spans="1:21" ht="65.25" customHeight="1">
      <c r="A205" s="360"/>
      <c r="B205" s="2350"/>
      <c r="C205" s="54" t="s">
        <v>658</v>
      </c>
      <c r="D205" s="361" t="s">
        <v>659</v>
      </c>
      <c r="E205" s="33"/>
      <c r="F205" s="286"/>
      <c r="G205" s="339"/>
      <c r="H205" s="283" t="s">
        <v>660</v>
      </c>
      <c r="I205" s="364">
        <v>42948</v>
      </c>
      <c r="J205" s="2"/>
      <c r="K205" s="2"/>
      <c r="L205" s="2"/>
      <c r="M205" s="365" t="s">
        <v>661</v>
      </c>
      <c r="N205" s="2" t="s">
        <v>662</v>
      </c>
      <c r="O205" s="2"/>
      <c r="P205" s="2"/>
      <c r="Q205" s="50"/>
      <c r="R205" s="50"/>
      <c r="S205" s="50"/>
      <c r="T205" s="50"/>
      <c r="U205" s="2"/>
    </row>
    <row r="206" spans="1:21" ht="42.75" customHeight="1">
      <c r="B206" s="366" t="s">
        <v>539</v>
      </c>
      <c r="C206" s="367" t="s">
        <v>540</v>
      </c>
      <c r="D206" s="368" t="s">
        <v>541</v>
      </c>
      <c r="E206" s="25" t="s">
        <v>17</v>
      </c>
      <c r="F206" s="286">
        <v>11900</v>
      </c>
      <c r="G206" s="48" t="s">
        <v>507</v>
      </c>
      <c r="H206" s="248" t="s">
        <v>663</v>
      </c>
      <c r="I206" s="297"/>
      <c r="J206" s="2"/>
      <c r="K206" s="2"/>
      <c r="L206" s="2"/>
      <c r="M206" s="20"/>
      <c r="N206" s="2"/>
      <c r="O206" s="2"/>
      <c r="P206" s="2"/>
      <c r="Q206" s="50"/>
      <c r="R206" s="50"/>
      <c r="S206" s="50"/>
      <c r="T206" s="50"/>
      <c r="U206" s="2"/>
    </row>
    <row r="207" spans="1:21" ht="26.25" customHeight="1">
      <c r="A207" s="15"/>
      <c r="B207" s="2395" t="s">
        <v>34</v>
      </c>
      <c r="C207" s="2396" t="s">
        <v>35</v>
      </c>
      <c r="D207" s="2377" t="s">
        <v>664</v>
      </c>
      <c r="E207" s="2397" t="s">
        <v>17</v>
      </c>
      <c r="F207" s="2375">
        <v>7200</v>
      </c>
      <c r="G207" s="2382" t="s">
        <v>37</v>
      </c>
      <c r="H207" s="2394" t="s">
        <v>665</v>
      </c>
      <c r="I207" s="2373"/>
      <c r="J207" s="2354" t="s">
        <v>40</v>
      </c>
      <c r="K207" s="2"/>
      <c r="M207" s="20"/>
      <c r="N207" s="139"/>
      <c r="O207" s="2"/>
      <c r="P207" s="2"/>
      <c r="Q207" s="50"/>
      <c r="R207" s="50"/>
      <c r="S207" s="50"/>
      <c r="T207" s="50"/>
      <c r="U207" s="2"/>
    </row>
    <row r="208" spans="1:21" ht="26.25" customHeight="1">
      <c r="A208" s="15"/>
      <c r="B208" s="2395"/>
      <c r="C208" s="2396"/>
      <c r="D208" s="2377"/>
      <c r="E208" s="2397"/>
      <c r="F208" s="2375"/>
      <c r="G208" s="2382"/>
      <c r="H208" s="2394"/>
      <c r="I208" s="2373"/>
      <c r="J208" s="2354"/>
      <c r="K208" s="2"/>
      <c r="M208" s="20"/>
      <c r="N208" s="139"/>
      <c r="O208" s="2"/>
      <c r="P208" s="2"/>
      <c r="Q208" s="50"/>
      <c r="R208" s="50"/>
      <c r="S208" s="50"/>
      <c r="T208" s="50"/>
      <c r="U208" s="2"/>
    </row>
    <row r="209" spans="1:23" ht="26.25" customHeight="1">
      <c r="A209" s="15"/>
      <c r="B209" s="2395"/>
      <c r="C209" s="2396"/>
      <c r="D209" s="2377" t="s">
        <v>666</v>
      </c>
      <c r="E209" s="2397"/>
      <c r="F209" s="2375"/>
      <c r="G209" s="369"/>
      <c r="H209" s="370" t="s">
        <v>667</v>
      </c>
      <c r="I209" s="2373"/>
      <c r="J209" s="2354"/>
      <c r="K209" s="2"/>
      <c r="M209" s="20"/>
      <c r="N209" s="139"/>
      <c r="O209" s="2"/>
      <c r="P209" s="2"/>
      <c r="Q209" s="50"/>
      <c r="R209" s="50"/>
      <c r="S209" s="50"/>
      <c r="T209" s="50"/>
      <c r="U209" s="2"/>
    </row>
    <row r="210" spans="1:23" ht="1.5" customHeight="1">
      <c r="A210" s="22"/>
      <c r="B210" s="2395"/>
      <c r="C210" s="2396"/>
      <c r="D210" s="2377"/>
      <c r="E210" s="2397"/>
      <c r="F210" s="2375"/>
      <c r="G210" s="280"/>
      <c r="H210" s="371"/>
      <c r="I210" s="2373"/>
      <c r="J210" s="2354"/>
      <c r="K210" s="42"/>
      <c r="L210" s="43"/>
      <c r="M210" s="20"/>
      <c r="N210" s="2"/>
      <c r="O210" s="2"/>
      <c r="P210" s="2"/>
      <c r="Q210" s="50"/>
      <c r="R210" s="50"/>
      <c r="S210" s="50"/>
      <c r="T210" s="50"/>
      <c r="U210" s="2"/>
    </row>
    <row r="211" spans="1:23" ht="51.75" customHeight="1">
      <c r="B211" s="2358" t="s">
        <v>668</v>
      </c>
      <c r="C211" s="372" t="s">
        <v>574</v>
      </c>
      <c r="D211" s="180" t="s">
        <v>575</v>
      </c>
      <c r="E211" s="33" t="s">
        <v>576</v>
      </c>
      <c r="F211" s="26">
        <v>15600</v>
      </c>
      <c r="G211" s="303" t="s">
        <v>577</v>
      </c>
      <c r="H211" s="298" t="s">
        <v>669</v>
      </c>
      <c r="I211" s="284"/>
      <c r="J211" s="30"/>
      <c r="K211" s="2"/>
      <c r="M211" s="20"/>
      <c r="N211" s="2"/>
      <c r="O211" s="2"/>
      <c r="P211" s="2"/>
      <c r="Q211" s="50"/>
      <c r="R211" s="50"/>
      <c r="S211" s="50"/>
      <c r="T211" s="50"/>
      <c r="U211" s="2"/>
    </row>
    <row r="212" spans="1:23" ht="26.25" customHeight="1">
      <c r="A212" s="300"/>
      <c r="B212" s="2358"/>
      <c r="C212" s="373" t="s">
        <v>159</v>
      </c>
      <c r="D212" s="99" t="s">
        <v>580</v>
      </c>
      <c r="E212" s="25"/>
      <c r="F212" s="166">
        <v>14000</v>
      </c>
      <c r="G212" s="27" t="s">
        <v>581</v>
      </c>
      <c r="H212" s="75"/>
      <c r="I212" s="2"/>
      <c r="J212" s="30"/>
      <c r="K212" s="2"/>
      <c r="M212" s="20"/>
      <c r="N212" s="2"/>
      <c r="O212" s="2"/>
      <c r="P212" s="2"/>
      <c r="Q212" s="50"/>
      <c r="R212" s="50"/>
      <c r="S212" s="50"/>
      <c r="T212" s="50"/>
      <c r="U212" s="2"/>
    </row>
    <row r="213" spans="1:23" ht="48" customHeight="1">
      <c r="A213" s="1" t="s">
        <v>544</v>
      </c>
      <c r="B213" s="374" t="s">
        <v>670</v>
      </c>
      <c r="C213" s="265" t="s">
        <v>583</v>
      </c>
      <c r="D213" s="64" t="s">
        <v>584</v>
      </c>
      <c r="E213" s="25" t="s">
        <v>585</v>
      </c>
      <c r="F213" s="26">
        <v>8500</v>
      </c>
      <c r="G213" s="140" t="s">
        <v>671</v>
      </c>
      <c r="H213" s="174"/>
      <c r="I213" s="178" t="s">
        <v>672</v>
      </c>
      <c r="J213" s="290"/>
      <c r="K213" s="2"/>
      <c r="M213" s="20"/>
      <c r="N213" s="2"/>
      <c r="O213" s="2"/>
      <c r="P213" s="2"/>
      <c r="Q213" s="50"/>
      <c r="R213" s="50"/>
      <c r="S213" s="50"/>
      <c r="T213" s="50"/>
      <c r="U213" s="2"/>
    </row>
    <row r="214" spans="1:23" ht="51.75" customHeight="1">
      <c r="A214" s="1" t="s">
        <v>544</v>
      </c>
      <c r="B214" s="375" t="s">
        <v>673</v>
      </c>
      <c r="C214" s="207" t="s">
        <v>674</v>
      </c>
      <c r="D214" s="207" t="s">
        <v>675</v>
      </c>
      <c r="E214" s="60"/>
      <c r="F214" s="302">
        <v>16000</v>
      </c>
      <c r="G214" s="61"/>
      <c r="H214" s="376" t="s">
        <v>676</v>
      </c>
      <c r="I214" s="178"/>
      <c r="J214" s="290"/>
      <c r="K214" s="2"/>
      <c r="M214" s="20"/>
      <c r="N214" s="2"/>
      <c r="O214" s="2"/>
      <c r="P214" s="2"/>
      <c r="Q214" s="50"/>
      <c r="R214" s="50"/>
      <c r="S214" s="50"/>
      <c r="T214" s="50"/>
      <c r="U214" s="2"/>
    </row>
    <row r="215" spans="1:23" ht="36">
      <c r="B215" s="285" t="s">
        <v>677</v>
      </c>
      <c r="C215" s="54" t="s">
        <v>678</v>
      </c>
      <c r="D215" s="54" t="s">
        <v>679</v>
      </c>
      <c r="E215" s="33"/>
      <c r="F215" s="48">
        <v>8000</v>
      </c>
      <c r="G215" s="48"/>
      <c r="H215" s="48"/>
      <c r="I215" s="48"/>
      <c r="J215" s="2"/>
      <c r="K215" s="2"/>
      <c r="L215" s="2"/>
      <c r="M215" s="20"/>
      <c r="N215" s="2"/>
      <c r="O215" s="2"/>
      <c r="P215" s="2"/>
      <c r="Q215" s="50"/>
      <c r="R215" s="50"/>
      <c r="S215" s="50"/>
      <c r="T215" s="50"/>
      <c r="U215" s="2"/>
    </row>
    <row r="216" spans="1:23" ht="126" customHeight="1">
      <c r="B216" s="180" t="s">
        <v>680</v>
      </c>
      <c r="C216" s="54" t="s">
        <v>681</v>
      </c>
      <c r="D216" s="54" t="s">
        <v>682</v>
      </c>
      <c r="E216" s="33"/>
      <c r="F216" s="48">
        <v>54000</v>
      </c>
      <c r="G216" s="48"/>
      <c r="H216" s="48"/>
      <c r="I216" s="297" t="s">
        <v>683</v>
      </c>
      <c r="J216" s="2"/>
      <c r="K216" s="2"/>
      <c r="L216" s="2"/>
      <c r="M216" s="20"/>
      <c r="N216" s="2"/>
      <c r="O216" s="2"/>
      <c r="P216" s="2"/>
      <c r="Q216" s="50"/>
      <c r="R216" s="50"/>
      <c r="S216" s="50"/>
      <c r="T216" s="50"/>
      <c r="U216" s="2"/>
    </row>
    <row r="217" spans="1:23" ht="91.5" customHeight="1">
      <c r="B217" s="377" t="s">
        <v>684</v>
      </c>
      <c r="C217" s="378" t="s">
        <v>685</v>
      </c>
      <c r="D217" s="54" t="s">
        <v>686</v>
      </c>
      <c r="E217" s="33"/>
      <c r="F217" s="48">
        <v>96926.22</v>
      </c>
      <c r="G217" s="48">
        <v>96926.22</v>
      </c>
      <c r="H217" s="249" t="s">
        <v>687</v>
      </c>
      <c r="I217" s="48"/>
      <c r="J217" s="2"/>
      <c r="K217" s="2"/>
      <c r="L217" s="2"/>
      <c r="M217" s="20"/>
      <c r="N217" s="2"/>
      <c r="O217" s="2"/>
      <c r="P217" s="2"/>
      <c r="Q217" s="50"/>
      <c r="R217" s="50"/>
      <c r="S217" s="50"/>
      <c r="T217" s="50"/>
      <c r="U217" s="2"/>
    </row>
    <row r="218" spans="1:23" s="221" customFormat="1" ht="19.5" customHeight="1">
      <c r="B218" s="222" t="s">
        <v>688</v>
      </c>
      <c r="C218" s="223"/>
      <c r="D218" s="224"/>
      <c r="E218" s="225"/>
      <c r="F218" s="226"/>
      <c r="G218" s="226"/>
      <c r="H218" s="227"/>
      <c r="I218" s="228"/>
      <c r="J218" s="229"/>
      <c r="K218" s="229"/>
      <c r="L218" s="229"/>
      <c r="M218" s="20"/>
      <c r="N218" s="229"/>
      <c r="O218" s="229"/>
      <c r="P218" s="229"/>
      <c r="Q218" s="230"/>
      <c r="R218" s="230"/>
      <c r="S218" s="230"/>
      <c r="T218" s="230"/>
      <c r="U218" s="229"/>
      <c r="V218" s="702"/>
      <c r="W218" s="702"/>
    </row>
    <row r="219" spans="1:23" s="379" customFormat="1" ht="68.25" customHeight="1">
      <c r="B219" s="310" t="s">
        <v>689</v>
      </c>
      <c r="C219" s="311" t="s">
        <v>415</v>
      </c>
      <c r="D219" s="99" t="s">
        <v>690</v>
      </c>
      <c r="E219" s="236"/>
      <c r="F219" s="237">
        <v>35000</v>
      </c>
      <c r="G219" s="52" t="s">
        <v>418</v>
      </c>
      <c r="H219" s="54" t="s">
        <v>691</v>
      </c>
      <c r="I219" s="284" t="s">
        <v>595</v>
      </c>
      <c r="J219" s="66" t="s">
        <v>692</v>
      </c>
      <c r="K219" s="141"/>
      <c r="M219" s="380"/>
      <c r="N219" s="141"/>
      <c r="O219" s="141"/>
      <c r="P219" s="141"/>
      <c r="Q219" s="464"/>
      <c r="R219" s="464"/>
      <c r="S219" s="464"/>
      <c r="T219" s="464"/>
      <c r="U219" s="141"/>
      <c r="V219" s="697"/>
      <c r="W219" s="697"/>
    </row>
    <row r="220" spans="1:23" ht="52.5" customHeight="1">
      <c r="B220" s="193" t="s">
        <v>693</v>
      </c>
      <c r="C220" s="69" t="s">
        <v>694</v>
      </c>
      <c r="D220" s="15" t="s">
        <v>695</v>
      </c>
      <c r="E220" s="60" t="s">
        <v>696</v>
      </c>
      <c r="F220" s="381">
        <v>2333503</v>
      </c>
      <c r="G220" s="54" t="s">
        <v>697</v>
      </c>
      <c r="H220" s="54" t="s">
        <v>698</v>
      </c>
      <c r="I220" s="284"/>
      <c r="J220" s="2"/>
      <c r="K220" s="2"/>
      <c r="L220" s="2"/>
      <c r="M220" s="20"/>
      <c r="N220" s="2"/>
      <c r="O220" s="2"/>
      <c r="P220" s="2"/>
      <c r="Q220" s="50"/>
      <c r="R220" s="50"/>
      <c r="S220" s="50"/>
      <c r="T220" s="50"/>
      <c r="U220" s="2"/>
    </row>
    <row r="221" spans="1:23" s="182" customFormat="1" ht="39.75" customHeight="1">
      <c r="B221" s="382" t="s">
        <v>699</v>
      </c>
      <c r="C221" s="383" t="s">
        <v>700</v>
      </c>
      <c r="D221" s="205" t="s">
        <v>701</v>
      </c>
      <c r="E221" s="325" t="s">
        <v>696</v>
      </c>
      <c r="F221" s="384">
        <v>2881406.78</v>
      </c>
      <c r="G221" s="385" t="s">
        <v>702</v>
      </c>
      <c r="H221" s="386"/>
      <c r="I221" s="329"/>
      <c r="J221" s="192"/>
      <c r="K221" s="192"/>
      <c r="L221" s="192"/>
      <c r="M221" s="192"/>
      <c r="N221" s="192"/>
      <c r="O221" s="192"/>
      <c r="P221" s="192"/>
      <c r="Q221" s="191"/>
      <c r="R221" s="191"/>
      <c r="S221" s="191"/>
      <c r="T221" s="191"/>
      <c r="U221" s="192"/>
      <c r="V221" s="701"/>
      <c r="W221" s="701"/>
    </row>
    <row r="222" spans="1:23" ht="52.5" customHeight="1">
      <c r="B222" s="193" t="s">
        <v>426</v>
      </c>
      <c r="C222" s="69" t="s">
        <v>427</v>
      </c>
      <c r="D222" s="15" t="s">
        <v>703</v>
      </c>
      <c r="E222" s="60" t="s">
        <v>704</v>
      </c>
      <c r="F222" s="48">
        <v>7500</v>
      </c>
      <c r="G222" s="54" t="s">
        <v>705</v>
      </c>
      <c r="H222" s="339" t="s">
        <v>706</v>
      </c>
      <c r="I222" s="284"/>
      <c r="J222" s="284" t="s">
        <v>707</v>
      </c>
      <c r="K222" s="2"/>
      <c r="L222" s="2"/>
      <c r="M222" s="20"/>
      <c r="N222" s="2"/>
      <c r="O222" s="2"/>
      <c r="P222" s="2"/>
      <c r="Q222" s="50"/>
      <c r="R222" s="50"/>
      <c r="S222" s="50"/>
      <c r="T222" s="50"/>
      <c r="U222" s="2"/>
    </row>
    <row r="223" spans="1:23" ht="80.25" customHeight="1">
      <c r="B223" s="2359" t="s">
        <v>436</v>
      </c>
      <c r="C223" s="320" t="s">
        <v>437</v>
      </c>
      <c r="D223" s="15" t="s">
        <v>708</v>
      </c>
      <c r="E223" s="387">
        <v>43465</v>
      </c>
      <c r="F223" s="331">
        <v>9721956</v>
      </c>
      <c r="G223" s="48"/>
      <c r="H223" s="298" t="s">
        <v>709</v>
      </c>
      <c r="I223" s="284"/>
      <c r="J223" s="2"/>
      <c r="K223" s="2"/>
      <c r="L223" s="2"/>
      <c r="M223" s="20"/>
      <c r="N223" s="2"/>
      <c r="O223" s="2"/>
      <c r="P223" s="2"/>
      <c r="Q223" s="50"/>
      <c r="R223" s="50"/>
      <c r="S223" s="50"/>
      <c r="T223" s="50"/>
      <c r="U223" s="2"/>
    </row>
    <row r="224" spans="1:23" ht="68.25" customHeight="1">
      <c r="B224" s="2359"/>
      <c r="C224" s="320" t="s">
        <v>710</v>
      </c>
      <c r="D224" s="15" t="s">
        <v>711</v>
      </c>
      <c r="E224" s="387" t="s">
        <v>712</v>
      </c>
      <c r="F224" s="339" t="s">
        <v>713</v>
      </c>
      <c r="G224" s="48"/>
      <c r="H224" s="298" t="s">
        <v>713</v>
      </c>
      <c r="I224" s="284"/>
      <c r="J224" s="2"/>
      <c r="K224" s="2"/>
      <c r="L224" s="2"/>
      <c r="M224" s="20"/>
      <c r="N224" s="2"/>
      <c r="O224" s="2"/>
      <c r="P224" s="2"/>
      <c r="Q224" s="50"/>
      <c r="R224" s="50"/>
      <c r="S224" s="50"/>
      <c r="T224" s="50"/>
      <c r="U224" s="2"/>
    </row>
    <row r="225" spans="1:21" ht="67.5" customHeight="1">
      <c r="B225" s="2359"/>
      <c r="C225" s="320" t="s">
        <v>714</v>
      </c>
      <c r="D225" s="15" t="s">
        <v>715</v>
      </c>
      <c r="E225" s="387" t="s">
        <v>712</v>
      </c>
      <c r="F225" s="339" t="s">
        <v>716</v>
      </c>
      <c r="G225" s="48"/>
      <c r="H225" s="298" t="s">
        <v>716</v>
      </c>
      <c r="I225" s="284"/>
      <c r="J225" s="2"/>
      <c r="K225" s="2"/>
      <c r="L225" s="2"/>
      <c r="M225" s="20"/>
      <c r="N225" s="2"/>
      <c r="O225" s="2"/>
      <c r="P225" s="2"/>
      <c r="Q225" s="50"/>
      <c r="R225" s="50"/>
      <c r="S225" s="50"/>
      <c r="T225" s="50"/>
      <c r="U225" s="2"/>
    </row>
    <row r="226" spans="1:21" ht="42.75" customHeight="1">
      <c r="B226" s="332"/>
      <c r="C226" s="388" t="s">
        <v>717</v>
      </c>
      <c r="D226" s="236" t="s">
        <v>718</v>
      </c>
      <c r="E226" s="387" t="s">
        <v>712</v>
      </c>
      <c r="F226" s="339" t="s">
        <v>719</v>
      </c>
      <c r="G226" s="48"/>
      <c r="H226" s="339" t="s">
        <v>719</v>
      </c>
      <c r="I226" s="284" t="s">
        <v>720</v>
      </c>
      <c r="J226" s="2" t="s">
        <v>721</v>
      </c>
      <c r="K226" s="2"/>
      <c r="L226" s="2"/>
      <c r="M226" s="20"/>
      <c r="N226" s="2"/>
      <c r="O226" s="2"/>
      <c r="P226" s="2"/>
      <c r="Q226" s="50"/>
      <c r="R226" s="50"/>
      <c r="S226" s="50"/>
      <c r="T226" s="50"/>
      <c r="U226" s="2"/>
    </row>
    <row r="227" spans="1:21" ht="42.75" customHeight="1">
      <c r="B227" s="332"/>
      <c r="C227" s="388" t="s">
        <v>722</v>
      </c>
      <c r="D227" s="236" t="s">
        <v>723</v>
      </c>
      <c r="E227" s="387" t="s">
        <v>712</v>
      </c>
      <c r="F227" s="339" t="s">
        <v>724</v>
      </c>
      <c r="G227" s="48"/>
      <c r="H227" s="298" t="s">
        <v>725</v>
      </c>
      <c r="I227" s="284"/>
      <c r="J227" s="2"/>
      <c r="K227" s="2"/>
      <c r="L227" s="2"/>
      <c r="M227" s="20"/>
      <c r="N227" s="2"/>
      <c r="O227" s="2"/>
      <c r="P227" s="2"/>
      <c r="Q227" s="50"/>
      <c r="R227" s="50"/>
      <c r="S227" s="50"/>
      <c r="T227" s="50"/>
      <c r="U227" s="2"/>
    </row>
    <row r="228" spans="1:21" ht="92.25" customHeight="1">
      <c r="B228" s="389" t="s">
        <v>612</v>
      </c>
      <c r="C228" s="388" t="s">
        <v>613</v>
      </c>
      <c r="D228" s="335" t="s">
        <v>726</v>
      </c>
      <c r="E228" s="336"/>
      <c r="F228" s="337" t="s">
        <v>727</v>
      </c>
      <c r="G228" s="390" t="s">
        <v>728</v>
      </c>
      <c r="H228" s="339"/>
      <c r="I228" s="284" t="s">
        <v>729</v>
      </c>
      <c r="J228" s="340"/>
      <c r="K228" s="391">
        <v>43191</v>
      </c>
      <c r="L228" s="391"/>
      <c r="M228" s="20"/>
      <c r="N228" s="2"/>
      <c r="O228" s="2"/>
      <c r="P228" s="2"/>
      <c r="Q228" s="50"/>
      <c r="R228" s="50"/>
      <c r="S228" s="50"/>
      <c r="T228" s="50"/>
      <c r="U228" s="2"/>
    </row>
    <row r="229" spans="1:21" ht="42" customHeight="1">
      <c r="B229" s="392" t="s">
        <v>620</v>
      </c>
      <c r="C229" s="54" t="s">
        <v>621</v>
      </c>
      <c r="D229" s="15" t="s">
        <v>622</v>
      </c>
      <c r="E229" s="350" t="s">
        <v>623</v>
      </c>
      <c r="F229" s="331"/>
      <c r="G229" s="48"/>
      <c r="H229" s="298" t="s">
        <v>624</v>
      </c>
      <c r="I229" s="393" t="s">
        <v>730</v>
      </c>
      <c r="J229" s="2"/>
      <c r="K229" s="2"/>
      <c r="L229" s="2"/>
      <c r="M229" s="20"/>
      <c r="N229" s="2"/>
      <c r="O229" s="2"/>
      <c r="P229" s="2"/>
      <c r="Q229" s="50"/>
      <c r="R229" s="50"/>
      <c r="S229" s="50"/>
      <c r="T229" s="50"/>
      <c r="U229" s="2"/>
    </row>
    <row r="230" spans="1:21" ht="98.25" customHeight="1">
      <c r="B230" s="394" t="s">
        <v>731</v>
      </c>
      <c r="C230" s="69" t="s">
        <v>732</v>
      </c>
      <c r="D230" s="15" t="s">
        <v>733</v>
      </c>
      <c r="E230" s="350" t="s">
        <v>734</v>
      </c>
      <c r="F230" s="331">
        <v>1477138</v>
      </c>
      <c r="G230" s="48"/>
      <c r="H230" s="298" t="s">
        <v>735</v>
      </c>
      <c r="I230" s="284"/>
      <c r="J230" s="2"/>
      <c r="K230" s="2"/>
      <c r="L230" s="2"/>
      <c r="M230" s="20"/>
      <c r="N230" s="2"/>
      <c r="O230" s="2"/>
      <c r="P230" s="2"/>
      <c r="Q230" s="50"/>
      <c r="R230" s="50"/>
      <c r="S230" s="50"/>
      <c r="T230" s="50"/>
      <c r="U230" s="2"/>
    </row>
    <row r="231" spans="1:21" ht="50.25" customHeight="1">
      <c r="B231" s="2400" t="s">
        <v>480</v>
      </c>
      <c r="C231" s="54" t="s">
        <v>481</v>
      </c>
      <c r="D231" s="15" t="s">
        <v>736</v>
      </c>
      <c r="E231" s="25" t="s">
        <v>17</v>
      </c>
      <c r="F231" s="16">
        <v>2500</v>
      </c>
      <c r="G231" s="140" t="s">
        <v>483</v>
      </c>
      <c r="H231" s="139" t="s">
        <v>626</v>
      </c>
      <c r="I231" s="263"/>
      <c r="J231" s="264" t="s">
        <v>627</v>
      </c>
      <c r="K231" s="2" t="s">
        <v>567</v>
      </c>
      <c r="M231" s="20"/>
      <c r="N231" s="2"/>
      <c r="O231" s="2"/>
      <c r="P231" s="2"/>
      <c r="Q231" s="50"/>
      <c r="R231" s="50"/>
      <c r="S231" s="50"/>
      <c r="T231" s="50"/>
      <c r="U231" s="2"/>
    </row>
    <row r="232" spans="1:21" ht="18" customHeight="1">
      <c r="B232" s="2400"/>
      <c r="C232" s="54" t="s">
        <v>628</v>
      </c>
      <c r="D232" s="15" t="s">
        <v>629</v>
      </c>
      <c r="E232" s="25"/>
      <c r="F232" s="16">
        <v>7000</v>
      </c>
      <c r="G232" s="140"/>
      <c r="H232" s="16" t="s">
        <v>65</v>
      </c>
      <c r="I232" s="263"/>
      <c r="J232" s="264"/>
      <c r="K232" s="2"/>
      <c r="M232" s="20"/>
      <c r="N232" s="2"/>
      <c r="O232" s="2"/>
      <c r="P232" s="2"/>
      <c r="Q232" s="50"/>
      <c r="R232" s="50"/>
      <c r="S232" s="50"/>
      <c r="T232" s="50"/>
      <c r="U232" s="2"/>
    </row>
    <row r="233" spans="1:21" ht="41.25" customHeight="1">
      <c r="A233" s="97"/>
      <c r="B233" s="2440" t="s">
        <v>737</v>
      </c>
      <c r="C233" s="2392" t="s">
        <v>488</v>
      </c>
      <c r="D233" s="25" t="s">
        <v>738</v>
      </c>
      <c r="E233" s="25" t="s">
        <v>490</v>
      </c>
      <c r="F233" s="2375">
        <v>9000</v>
      </c>
      <c r="G233" s="34" t="s">
        <v>491</v>
      </c>
      <c r="H233" s="35"/>
      <c r="I233" s="55"/>
      <c r="J233" s="30"/>
      <c r="K233" s="2"/>
      <c r="M233" s="20"/>
      <c r="N233" s="2"/>
      <c r="O233" s="2"/>
      <c r="P233" s="2"/>
      <c r="Q233" s="50"/>
      <c r="R233" s="50"/>
      <c r="S233" s="50"/>
      <c r="T233" s="50"/>
      <c r="U233" s="2"/>
    </row>
    <row r="234" spans="1:21" ht="53.25" customHeight="1">
      <c r="A234" s="97"/>
      <c r="B234" s="2440"/>
      <c r="C234" s="2392"/>
      <c r="D234" s="38" t="s">
        <v>739</v>
      </c>
      <c r="E234" s="25" t="s">
        <v>493</v>
      </c>
      <c r="F234" s="2375"/>
      <c r="G234" s="34" t="s">
        <v>740</v>
      </c>
      <c r="H234" s="395" t="s">
        <v>741</v>
      </c>
      <c r="I234" s="267" t="s">
        <v>742</v>
      </c>
      <c r="J234" s="396" t="s">
        <v>743</v>
      </c>
      <c r="K234" s="138">
        <v>43191</v>
      </c>
      <c r="L234" s="138"/>
      <c r="M234" s="20"/>
      <c r="N234" s="2"/>
      <c r="O234" s="2"/>
      <c r="P234" s="2"/>
      <c r="Q234" s="50"/>
      <c r="R234" s="50"/>
      <c r="S234" s="50"/>
      <c r="T234" s="50"/>
      <c r="U234" s="2"/>
    </row>
    <row r="235" spans="1:21" ht="60">
      <c r="B235" s="314" t="s">
        <v>744</v>
      </c>
      <c r="C235" s="54" t="s">
        <v>745</v>
      </c>
      <c r="D235" s="180" t="s">
        <v>746</v>
      </c>
      <c r="E235" s="33"/>
      <c r="F235" s="285">
        <v>1035827</v>
      </c>
      <c r="G235" s="54"/>
      <c r="H235" s="397" t="s">
        <v>747</v>
      </c>
      <c r="I235" s="267"/>
      <c r="J235" s="398"/>
      <c r="K235" s="2"/>
      <c r="L235" s="2"/>
      <c r="M235" s="20"/>
      <c r="N235" s="2"/>
      <c r="O235" s="2"/>
      <c r="P235" s="2"/>
      <c r="Q235" s="50"/>
      <c r="R235" s="50"/>
      <c r="S235" s="50"/>
      <c r="T235" s="50"/>
      <c r="U235" s="2"/>
    </row>
    <row r="236" spans="1:21" ht="48">
      <c r="B236" s="314" t="s">
        <v>748</v>
      </c>
      <c r="C236" s="54" t="s">
        <v>639</v>
      </c>
      <c r="D236" s="355" t="s">
        <v>640</v>
      </c>
      <c r="E236" s="33" t="s">
        <v>641</v>
      </c>
      <c r="F236" s="356">
        <v>7000</v>
      </c>
      <c r="G236" s="54" t="s">
        <v>749</v>
      </c>
      <c r="H236" s="399" t="s">
        <v>750</v>
      </c>
      <c r="I236" s="400"/>
      <c r="J236" s="401">
        <v>43070</v>
      </c>
      <c r="K236" s="2"/>
      <c r="L236" s="2"/>
      <c r="M236" s="20"/>
      <c r="N236" s="2"/>
      <c r="O236" s="2"/>
      <c r="P236" s="2"/>
      <c r="Q236" s="50"/>
      <c r="R236" s="50"/>
      <c r="S236" s="50"/>
      <c r="T236" s="50"/>
      <c r="U236" s="2"/>
    </row>
    <row r="237" spans="1:21" ht="54.75" customHeight="1">
      <c r="B237" s="382" t="s">
        <v>751</v>
      </c>
      <c r="C237" s="54" t="s">
        <v>515</v>
      </c>
      <c r="D237" s="180" t="s">
        <v>752</v>
      </c>
      <c r="E237" s="33"/>
      <c r="F237" s="285">
        <v>30704</v>
      </c>
      <c r="G237" s="54" t="s">
        <v>753</v>
      </c>
      <c r="H237" s="402" t="s">
        <v>754</v>
      </c>
      <c r="I237" s="267"/>
      <c r="J237" s="398" t="s">
        <v>755</v>
      </c>
      <c r="K237" s="290" t="s">
        <v>756</v>
      </c>
      <c r="L237" s="403"/>
      <c r="M237" s="20"/>
      <c r="N237" s="2"/>
      <c r="O237" s="2"/>
      <c r="P237" s="2"/>
      <c r="Q237" s="50"/>
      <c r="R237" s="50"/>
      <c r="S237" s="50"/>
      <c r="T237" s="50"/>
      <c r="U237" s="2"/>
    </row>
    <row r="238" spans="1:21" ht="75.75" customHeight="1">
      <c r="A238" s="2398" t="s">
        <v>757</v>
      </c>
      <c r="B238" s="2398"/>
      <c r="C238" s="54" t="s">
        <v>644</v>
      </c>
      <c r="D238" s="15" t="s">
        <v>758</v>
      </c>
      <c r="E238" s="236" t="s">
        <v>535</v>
      </c>
      <c r="F238" s="286" t="s">
        <v>536</v>
      </c>
      <c r="G238" s="339" t="s">
        <v>759</v>
      </c>
      <c r="H238" s="283" t="s">
        <v>760</v>
      </c>
      <c r="I238" s="297"/>
      <c r="J238" s="42" t="s">
        <v>761</v>
      </c>
      <c r="K238" s="138">
        <v>43160</v>
      </c>
      <c r="L238" s="138"/>
      <c r="M238" s="20"/>
      <c r="N238" s="2"/>
      <c r="O238" s="2"/>
      <c r="P238" s="2"/>
      <c r="Q238" s="50"/>
      <c r="R238" s="50"/>
      <c r="S238" s="50"/>
      <c r="T238" s="50"/>
      <c r="U238" s="2"/>
    </row>
    <row r="239" spans="1:21" ht="36.75" customHeight="1">
      <c r="A239" s="360"/>
      <c r="B239" s="404" t="s">
        <v>651</v>
      </c>
      <c r="C239" s="54" t="s">
        <v>652</v>
      </c>
      <c r="D239" s="405" t="s">
        <v>762</v>
      </c>
      <c r="E239" s="33"/>
      <c r="F239" s="362">
        <v>399000</v>
      </c>
      <c r="G239" s="339"/>
      <c r="H239" s="283"/>
      <c r="I239" s="363">
        <v>399000</v>
      </c>
      <c r="J239" s="141" t="s">
        <v>654</v>
      </c>
      <c r="K239" s="2"/>
      <c r="L239" s="2"/>
      <c r="M239" s="20"/>
      <c r="N239" s="2"/>
      <c r="O239" s="2"/>
      <c r="P239" s="2"/>
      <c r="Q239" s="50"/>
      <c r="R239" s="50"/>
      <c r="S239" s="50"/>
      <c r="T239" s="50"/>
      <c r="U239" s="2"/>
    </row>
    <row r="240" spans="1:21" ht="36.75" customHeight="1">
      <c r="A240" s="360"/>
      <c r="B240" s="406"/>
      <c r="C240" s="54" t="s">
        <v>655</v>
      </c>
      <c r="D240" s="405" t="s">
        <v>656</v>
      </c>
      <c r="E240" s="33"/>
      <c r="F240" s="362">
        <v>490000</v>
      </c>
      <c r="G240" s="339"/>
      <c r="H240" s="283"/>
      <c r="I240" s="363">
        <v>490000</v>
      </c>
      <c r="J240" s="141" t="s">
        <v>657</v>
      </c>
      <c r="K240" s="2"/>
      <c r="L240" s="2"/>
      <c r="M240" s="20"/>
      <c r="N240" s="2"/>
      <c r="O240" s="2"/>
      <c r="P240" s="2"/>
      <c r="Q240" s="50"/>
      <c r="R240" s="50"/>
      <c r="S240" s="50"/>
      <c r="T240" s="50"/>
      <c r="U240" s="2"/>
    </row>
    <row r="241" spans="1:23" ht="65.25" customHeight="1">
      <c r="A241" s="360"/>
      <c r="B241" s="404" t="s">
        <v>651</v>
      </c>
      <c r="C241" s="54" t="s">
        <v>658</v>
      </c>
      <c r="D241" s="405" t="s">
        <v>763</v>
      </c>
      <c r="E241" s="33"/>
      <c r="F241" s="286"/>
      <c r="G241" s="339"/>
      <c r="H241" s="283" t="s">
        <v>764</v>
      </c>
      <c r="I241" s="364"/>
      <c r="J241" s="407" t="s">
        <v>765</v>
      </c>
      <c r="K241" s="2"/>
      <c r="L241" s="2"/>
      <c r="M241" s="365" t="s">
        <v>661</v>
      </c>
      <c r="N241" s="2" t="s">
        <v>662</v>
      </c>
      <c r="O241" s="2"/>
      <c r="P241" s="2"/>
      <c r="Q241" s="50"/>
      <c r="R241" s="50"/>
      <c r="S241" s="50"/>
      <c r="T241" s="50"/>
      <c r="U241" s="2"/>
    </row>
    <row r="242" spans="1:23" ht="65.25" customHeight="1">
      <c r="A242" s="360"/>
      <c r="B242" s="408" t="s">
        <v>766</v>
      </c>
      <c r="C242" s="367" t="s">
        <v>767</v>
      </c>
      <c r="D242" s="405" t="s">
        <v>768</v>
      </c>
      <c r="E242" s="33" t="s">
        <v>769</v>
      </c>
      <c r="F242" s="33" t="s">
        <v>770</v>
      </c>
      <c r="G242" s="339"/>
      <c r="H242" s="283" t="s">
        <v>771</v>
      </c>
      <c r="I242" s="364"/>
      <c r="J242" s="2"/>
      <c r="K242" s="2"/>
      <c r="L242" s="2"/>
      <c r="M242" s="365"/>
      <c r="N242" s="2"/>
      <c r="O242" s="2"/>
      <c r="P242" s="2"/>
      <c r="Q242" s="50"/>
      <c r="R242" s="50"/>
      <c r="S242" s="50"/>
      <c r="T242" s="50"/>
      <c r="U242" s="2"/>
    </row>
    <row r="243" spans="1:23" ht="42.75" customHeight="1">
      <c r="B243" s="409" t="s">
        <v>539</v>
      </c>
      <c r="C243" s="367" t="s">
        <v>772</v>
      </c>
      <c r="D243" s="410" t="s">
        <v>773</v>
      </c>
      <c r="E243" s="25" t="s">
        <v>17</v>
      </c>
      <c r="F243" s="286">
        <v>11900</v>
      </c>
      <c r="G243" s="48" t="s">
        <v>774</v>
      </c>
      <c r="H243" s="238" t="s">
        <v>775</v>
      </c>
      <c r="I243" s="297"/>
      <c r="J243" s="2"/>
      <c r="K243" s="2"/>
      <c r="L243" s="2"/>
      <c r="M243" s="20"/>
      <c r="N243" s="2"/>
      <c r="O243" s="2"/>
      <c r="P243" s="2"/>
      <c r="Q243" s="50"/>
      <c r="R243" s="50"/>
      <c r="S243" s="50"/>
      <c r="T243" s="50"/>
      <c r="U243" s="2"/>
    </row>
    <row r="244" spans="1:23" ht="75" customHeight="1">
      <c r="A244" s="360"/>
      <c r="B244" s="2399" t="s">
        <v>776</v>
      </c>
      <c r="C244" s="367" t="s">
        <v>777</v>
      </c>
      <c r="D244" s="410" t="s">
        <v>778</v>
      </c>
      <c r="E244" s="25" t="s">
        <v>17</v>
      </c>
      <c r="F244" s="362">
        <v>87202.5</v>
      </c>
      <c r="G244" s="48"/>
      <c r="H244" s="386" t="s">
        <v>779</v>
      </c>
      <c r="I244" s="364"/>
      <c r="J244" s="407"/>
      <c r="K244" s="2"/>
      <c r="L244" s="2"/>
      <c r="M244" s="365"/>
      <c r="N244" s="2"/>
      <c r="O244" s="2"/>
      <c r="P244" s="2"/>
      <c r="Q244" s="50"/>
      <c r="R244" s="50"/>
      <c r="S244" s="50"/>
      <c r="T244" s="50"/>
      <c r="U244" s="2"/>
    </row>
    <row r="245" spans="1:23" ht="52.5" customHeight="1">
      <c r="B245" s="2399"/>
      <c r="C245" s="367" t="s">
        <v>780</v>
      </c>
      <c r="D245" s="410" t="s">
        <v>778</v>
      </c>
      <c r="E245" s="25"/>
      <c r="F245" s="362">
        <v>101238.78</v>
      </c>
      <c r="G245" s="48"/>
      <c r="H245" s="248" t="s">
        <v>781</v>
      </c>
      <c r="I245" s="297"/>
      <c r="J245" s="2"/>
      <c r="K245" s="2"/>
      <c r="L245" s="2"/>
      <c r="M245" s="20"/>
      <c r="N245" s="2"/>
      <c r="O245" s="2"/>
      <c r="P245" s="2"/>
      <c r="Q245" s="50"/>
      <c r="R245" s="50"/>
      <c r="S245" s="50"/>
      <c r="T245" s="50"/>
      <c r="U245" s="2"/>
    </row>
    <row r="246" spans="1:23" ht="26.25" customHeight="1">
      <c r="A246" s="15"/>
      <c r="B246" s="2395" t="s">
        <v>782</v>
      </c>
      <c r="C246" s="2396" t="s">
        <v>35</v>
      </c>
      <c r="D246" s="2377" t="s">
        <v>36</v>
      </c>
      <c r="E246" s="2397" t="s">
        <v>17</v>
      </c>
      <c r="F246" s="2375">
        <v>7200</v>
      </c>
      <c r="G246" s="2382" t="s">
        <v>37</v>
      </c>
      <c r="H246" s="2394" t="s">
        <v>665</v>
      </c>
      <c r="I246" s="2373" t="s">
        <v>783</v>
      </c>
      <c r="J246" s="2354" t="s">
        <v>40</v>
      </c>
      <c r="K246" s="2"/>
      <c r="M246" s="20"/>
      <c r="N246" s="139"/>
      <c r="O246" s="2"/>
      <c r="P246" s="2"/>
      <c r="Q246" s="50"/>
      <c r="R246" s="50"/>
      <c r="S246" s="50"/>
      <c r="T246" s="50"/>
      <c r="U246" s="2"/>
    </row>
    <row r="247" spans="1:23" ht="26.25" customHeight="1">
      <c r="A247" s="15"/>
      <c r="B247" s="2395"/>
      <c r="C247" s="2396"/>
      <c r="D247" s="2377"/>
      <c r="E247" s="2397"/>
      <c r="F247" s="2375"/>
      <c r="G247" s="2382"/>
      <c r="H247" s="2394"/>
      <c r="I247" s="2373"/>
      <c r="J247" s="2354"/>
      <c r="K247" s="2"/>
      <c r="M247" s="20"/>
      <c r="N247" s="139"/>
      <c r="O247" s="2"/>
      <c r="P247" s="2"/>
      <c r="Q247" s="50"/>
      <c r="R247" s="50"/>
      <c r="S247" s="50"/>
      <c r="T247" s="50"/>
      <c r="U247" s="2"/>
    </row>
    <row r="248" spans="1:23" ht="26.25" customHeight="1">
      <c r="A248" s="15"/>
      <c r="B248" s="2395"/>
      <c r="C248" s="2396"/>
      <c r="D248" s="2377" t="s">
        <v>666</v>
      </c>
      <c r="E248" s="2397"/>
      <c r="F248" s="2375"/>
      <c r="G248" s="369"/>
      <c r="H248" s="411" t="s">
        <v>667</v>
      </c>
      <c r="I248" s="2373"/>
      <c r="J248" s="2354"/>
      <c r="K248" s="2"/>
      <c r="M248" s="20"/>
      <c r="N248" s="139"/>
      <c r="O248" s="2"/>
      <c r="P248" s="2"/>
      <c r="Q248" s="50"/>
      <c r="R248" s="50"/>
      <c r="S248" s="50"/>
      <c r="T248" s="50"/>
      <c r="U248" s="2"/>
    </row>
    <row r="249" spans="1:23" ht="1.5" customHeight="1">
      <c r="A249" s="22"/>
      <c r="B249" s="2395"/>
      <c r="C249" s="2396"/>
      <c r="D249" s="2377"/>
      <c r="E249" s="2397"/>
      <c r="F249" s="2375"/>
      <c r="G249" s="280"/>
      <c r="H249" s="371"/>
      <c r="I249" s="2373"/>
      <c r="J249" s="2354"/>
      <c r="K249" s="42"/>
      <c r="L249" s="43"/>
      <c r="M249" s="20"/>
      <c r="N249" s="2"/>
      <c r="O249" s="2"/>
      <c r="P249" s="2"/>
      <c r="Q249" s="50"/>
      <c r="R249" s="50"/>
      <c r="S249" s="50"/>
      <c r="T249" s="50"/>
      <c r="U249" s="2"/>
    </row>
    <row r="250" spans="1:23" ht="63" customHeight="1">
      <c r="B250" s="2358" t="s">
        <v>784</v>
      </c>
      <c r="C250" s="372" t="s">
        <v>574</v>
      </c>
      <c r="D250" s="180" t="s">
        <v>785</v>
      </c>
      <c r="E250" s="33" t="s">
        <v>786</v>
      </c>
      <c r="F250" s="26">
        <v>15600</v>
      </c>
      <c r="G250" s="303" t="s">
        <v>787</v>
      </c>
      <c r="H250" s="412" t="s">
        <v>788</v>
      </c>
      <c r="I250" s="284"/>
      <c r="J250" s="66" t="s">
        <v>789</v>
      </c>
      <c r="K250" s="2"/>
      <c r="M250" s="20"/>
      <c r="N250" s="2"/>
      <c r="O250" s="2"/>
      <c r="P250" s="2"/>
      <c r="Q250" s="50"/>
      <c r="R250" s="50"/>
      <c r="S250" s="50"/>
      <c r="T250" s="50"/>
      <c r="U250" s="2"/>
    </row>
    <row r="251" spans="1:23" ht="26.25" customHeight="1">
      <c r="A251" s="300"/>
      <c r="B251" s="2358"/>
      <c r="C251" s="373" t="s">
        <v>159</v>
      </c>
      <c r="D251" s="99" t="s">
        <v>580</v>
      </c>
      <c r="E251" s="25"/>
      <c r="F251" s="166">
        <v>14000</v>
      </c>
      <c r="G251" s="27" t="s">
        <v>581</v>
      </c>
      <c r="H251" s="75"/>
      <c r="I251" s="2"/>
      <c r="J251" s="30"/>
      <c r="K251" s="2"/>
      <c r="M251" s="20"/>
      <c r="N251" s="2"/>
      <c r="O251" s="2"/>
      <c r="P251" s="2"/>
      <c r="Q251" s="50"/>
      <c r="R251" s="50"/>
      <c r="S251" s="50"/>
      <c r="T251" s="50"/>
      <c r="U251" s="2"/>
    </row>
    <row r="252" spans="1:23" ht="42.75" customHeight="1">
      <c r="B252" s="409" t="s">
        <v>790</v>
      </c>
      <c r="C252" s="367" t="s">
        <v>791</v>
      </c>
      <c r="D252" s="410" t="s">
        <v>792</v>
      </c>
      <c r="E252" s="25" t="s">
        <v>793</v>
      </c>
      <c r="F252" s="286">
        <v>18208.330000000002</v>
      </c>
      <c r="G252" s="48"/>
      <c r="H252" s="248" t="s">
        <v>794</v>
      </c>
      <c r="I252" s="297"/>
      <c r="J252" s="297" t="s">
        <v>795</v>
      </c>
      <c r="K252" s="138">
        <v>43191</v>
      </c>
      <c r="L252" s="138"/>
      <c r="M252" s="20"/>
      <c r="N252" s="2"/>
      <c r="O252" s="2"/>
      <c r="P252" s="2"/>
      <c r="Q252" s="50"/>
      <c r="R252" s="50"/>
      <c r="S252" s="50"/>
      <c r="T252" s="50"/>
      <c r="U252" s="2"/>
    </row>
    <row r="253" spans="1:23" s="1" customFormat="1" ht="48" customHeight="1">
      <c r="A253" s="1" t="s">
        <v>544</v>
      </c>
      <c r="B253" s="413" t="s">
        <v>796</v>
      </c>
      <c r="C253" s="265" t="s">
        <v>583</v>
      </c>
      <c r="D253" s="414" t="s">
        <v>797</v>
      </c>
      <c r="E253" s="25" t="s">
        <v>585</v>
      </c>
      <c r="F253" s="26">
        <v>8500</v>
      </c>
      <c r="G253" s="140" t="s">
        <v>586</v>
      </c>
      <c r="H253" s="415" t="s">
        <v>798</v>
      </c>
      <c r="I253" s="178" t="s">
        <v>799</v>
      </c>
      <c r="J253" s="290" t="s">
        <v>800</v>
      </c>
      <c r="K253" s="138">
        <v>43191</v>
      </c>
      <c r="L253" s="138"/>
      <c r="M253" s="2"/>
      <c r="N253" s="2"/>
      <c r="O253" s="2"/>
      <c r="P253" s="2"/>
      <c r="Q253" s="50"/>
      <c r="R253" s="50"/>
      <c r="S253" s="50"/>
      <c r="T253" s="50"/>
      <c r="U253" s="2"/>
      <c r="V253" s="680"/>
      <c r="W253" s="680"/>
    </row>
    <row r="254" spans="1:23" ht="51.75" customHeight="1">
      <c r="A254" s="1" t="s">
        <v>544</v>
      </c>
      <c r="B254" s="375" t="s">
        <v>673</v>
      </c>
      <c r="C254" s="207" t="s">
        <v>674</v>
      </c>
      <c r="D254" s="207" t="s">
        <v>801</v>
      </c>
      <c r="E254" s="60"/>
      <c r="F254" s="302">
        <v>16000</v>
      </c>
      <c r="G254" s="61"/>
      <c r="H254" s="416" t="s">
        <v>802</v>
      </c>
      <c r="I254" s="178"/>
      <c r="J254" s="290" t="s">
        <v>803</v>
      </c>
      <c r="K254" s="2"/>
      <c r="M254" s="20"/>
      <c r="N254" s="2"/>
      <c r="O254" s="2"/>
      <c r="P254" s="2"/>
      <c r="Q254" s="50"/>
      <c r="R254" s="50"/>
      <c r="S254" s="50"/>
      <c r="T254" s="50"/>
      <c r="U254" s="2"/>
    </row>
    <row r="255" spans="1:23" ht="126" customHeight="1">
      <c r="B255" s="180" t="s">
        <v>680</v>
      </c>
      <c r="C255" s="54" t="s">
        <v>681</v>
      </c>
      <c r="D255" s="54" t="s">
        <v>682</v>
      </c>
      <c r="E255" s="33"/>
      <c r="F255" s="48">
        <v>54000</v>
      </c>
      <c r="G255" s="48"/>
      <c r="H255" s="48"/>
      <c r="I255" s="297" t="s">
        <v>683</v>
      </c>
      <c r="J255" s="2"/>
      <c r="K255" s="2"/>
      <c r="L255" s="2"/>
      <c r="M255" s="20"/>
      <c r="N255" s="2"/>
      <c r="O255" s="2"/>
      <c r="P255" s="2"/>
      <c r="Q255" s="50"/>
      <c r="R255" s="50"/>
      <c r="S255" s="50"/>
      <c r="T255" s="50"/>
      <c r="U255" s="2"/>
    </row>
    <row r="256" spans="1:23" ht="126" customHeight="1">
      <c r="B256" s="2456" t="s">
        <v>804</v>
      </c>
      <c r="C256" s="2457" t="s">
        <v>685</v>
      </c>
      <c r="D256" s="54" t="s">
        <v>805</v>
      </c>
      <c r="E256" s="33"/>
      <c r="F256" s="48" t="s">
        <v>806</v>
      </c>
      <c r="G256" s="48"/>
      <c r="H256" s="238" t="s">
        <v>807</v>
      </c>
      <c r="I256" s="48"/>
      <c r="J256" s="2"/>
      <c r="K256" s="138">
        <v>43191</v>
      </c>
      <c r="L256" s="138"/>
      <c r="M256" s="20"/>
      <c r="N256" s="2"/>
      <c r="O256" s="2"/>
      <c r="P256" s="2"/>
      <c r="Q256" s="50"/>
      <c r="R256" s="50"/>
      <c r="S256" s="50"/>
      <c r="T256" s="50"/>
      <c r="U256" s="2"/>
    </row>
    <row r="257" spans="1:25" ht="91.5" customHeight="1">
      <c r="B257" s="2456"/>
      <c r="C257" s="2457"/>
      <c r="D257" s="54" t="s">
        <v>808</v>
      </c>
      <c r="E257" s="33"/>
      <c r="F257" s="48">
        <v>96926</v>
      </c>
      <c r="G257" s="48"/>
      <c r="H257" s="48">
        <v>96926</v>
      </c>
      <c r="I257" s="48"/>
      <c r="J257" s="2"/>
      <c r="K257" s="138">
        <v>43191</v>
      </c>
      <c r="L257" s="138"/>
      <c r="M257" s="20"/>
      <c r="N257" s="2"/>
      <c r="O257" s="2"/>
      <c r="P257" s="2"/>
      <c r="Q257" s="50"/>
      <c r="R257" s="50"/>
      <c r="S257" s="50"/>
      <c r="T257" s="50"/>
      <c r="U257" s="2"/>
    </row>
    <row r="258" spans="1:25" ht="91.5" customHeight="1">
      <c r="B258" s="2456"/>
      <c r="C258" s="2457"/>
      <c r="D258" s="297" t="s">
        <v>809</v>
      </c>
      <c r="E258" s="33"/>
      <c r="F258" s="249">
        <v>96926</v>
      </c>
      <c r="G258" s="249"/>
      <c r="H258" s="249">
        <v>96926</v>
      </c>
      <c r="I258" s="249"/>
      <c r="J258" s="141"/>
      <c r="K258" s="148">
        <v>43191</v>
      </c>
      <c r="L258" s="148"/>
      <c r="M258" s="20"/>
      <c r="N258" s="2"/>
      <c r="O258" s="2"/>
      <c r="P258" s="2"/>
      <c r="Q258" s="50"/>
      <c r="R258" s="50"/>
      <c r="S258" s="50"/>
      <c r="T258" s="50"/>
      <c r="U258" s="2"/>
    </row>
    <row r="259" spans="1:25" ht="23.25" customHeight="1">
      <c r="B259" s="417" t="s">
        <v>810</v>
      </c>
      <c r="C259" s="418"/>
      <c r="D259" s="419"/>
      <c r="E259" s="194"/>
      <c r="F259" s="420"/>
      <c r="G259" s="420"/>
      <c r="H259" s="420"/>
      <c r="I259" s="420"/>
      <c r="J259" s="421"/>
      <c r="K259" s="422"/>
      <c r="L259" s="422"/>
      <c r="M259" s="20"/>
      <c r="N259" s="2"/>
      <c r="O259" s="2"/>
      <c r="P259" s="2"/>
      <c r="Q259" s="50"/>
      <c r="R259" s="50"/>
      <c r="S259" s="50"/>
      <c r="T259" s="50"/>
      <c r="U259" s="2"/>
    </row>
    <row r="260" spans="1:25" s="221" customFormat="1" ht="19.5" customHeight="1">
      <c r="B260" s="423" t="s">
        <v>811</v>
      </c>
      <c r="C260" s="424"/>
      <c r="D260" s="425"/>
      <c r="E260" s="426"/>
      <c r="F260" s="427"/>
      <c r="G260" s="427"/>
      <c r="H260" s="428"/>
      <c r="I260" s="429"/>
      <c r="J260" s="430"/>
      <c r="K260" s="430"/>
      <c r="L260" s="430"/>
      <c r="M260" s="20"/>
      <c r="N260" s="229"/>
      <c r="O260" s="229"/>
      <c r="P260" s="229"/>
      <c r="Q260" s="230"/>
      <c r="R260" s="230"/>
      <c r="S260" s="230"/>
      <c r="T260" s="230"/>
      <c r="U260" s="229"/>
      <c r="V260" s="703"/>
      <c r="W260" s="703"/>
      <c r="X260" s="431"/>
      <c r="Y260" s="229"/>
    </row>
    <row r="261" spans="1:25" s="1" customFormat="1" ht="45.75" customHeight="1">
      <c r="A261" s="141">
        <v>1</v>
      </c>
      <c r="B261" s="193" t="s">
        <v>693</v>
      </c>
      <c r="C261" s="69" t="s">
        <v>694</v>
      </c>
      <c r="D261" s="15" t="s">
        <v>812</v>
      </c>
      <c r="E261" s="60" t="s">
        <v>696</v>
      </c>
      <c r="F261" s="54" t="s">
        <v>697</v>
      </c>
      <c r="G261" s="54" t="s">
        <v>813</v>
      </c>
      <c r="H261" s="432" t="s">
        <v>2991</v>
      </c>
      <c r="I261" s="284"/>
      <c r="J261" s="2"/>
      <c r="K261" s="2"/>
      <c r="L261" s="2"/>
      <c r="M261" s="2"/>
      <c r="N261" s="2"/>
      <c r="O261" s="2"/>
      <c r="P261" s="2"/>
      <c r="Q261" s="50"/>
      <c r="R261" s="50"/>
      <c r="S261" s="50"/>
      <c r="T261" s="50"/>
      <c r="U261" s="2"/>
      <c r="V261" s="704"/>
      <c r="W261" s="704"/>
      <c r="X261" s="30"/>
      <c r="Y261" s="2"/>
    </row>
    <row r="262" spans="1:25" s="1" customFormat="1" ht="60.75" customHeight="1">
      <c r="A262" s="141">
        <v>2</v>
      </c>
      <c r="B262" s="193" t="s">
        <v>426</v>
      </c>
      <c r="C262" s="69" t="s">
        <v>427</v>
      </c>
      <c r="D262" s="15" t="s">
        <v>703</v>
      </c>
      <c r="E262" s="60" t="s">
        <v>704</v>
      </c>
      <c r="F262" s="48">
        <v>7500</v>
      </c>
      <c r="G262" s="54" t="s">
        <v>814</v>
      </c>
      <c r="H262" s="433" t="s">
        <v>815</v>
      </c>
      <c r="I262" s="284"/>
      <c r="J262" s="284"/>
      <c r="K262" s="2"/>
      <c r="L262" s="2"/>
      <c r="M262" s="2"/>
      <c r="N262" s="2"/>
      <c r="O262" s="2"/>
      <c r="P262" s="2"/>
      <c r="Q262" s="50"/>
      <c r="R262" s="50"/>
      <c r="S262" s="50"/>
      <c r="T262" s="50"/>
      <c r="U262" s="2"/>
      <c r="V262" s="704"/>
      <c r="W262" s="704"/>
      <c r="X262" s="30"/>
      <c r="Y262" s="2"/>
    </row>
    <row r="263" spans="1:25" s="1" customFormat="1" ht="54.75" customHeight="1">
      <c r="A263" s="2"/>
      <c r="B263" s="2393" t="s">
        <v>436</v>
      </c>
      <c r="C263" s="2355" t="s">
        <v>437</v>
      </c>
      <c r="D263" s="15" t="s">
        <v>816</v>
      </c>
      <c r="E263" s="387">
        <v>43555</v>
      </c>
      <c r="F263" s="331"/>
      <c r="G263" s="48" t="s">
        <v>709</v>
      </c>
      <c r="H263" s="339" t="s">
        <v>817</v>
      </c>
      <c r="I263" s="284"/>
      <c r="J263" s="284"/>
      <c r="K263" s="2"/>
      <c r="L263" s="2"/>
      <c r="M263" s="2"/>
      <c r="N263" s="2"/>
      <c r="O263" s="2"/>
      <c r="P263" s="2"/>
      <c r="Q263" s="50"/>
      <c r="R263" s="50"/>
      <c r="S263" s="50"/>
      <c r="T263" s="50"/>
      <c r="U263" s="2"/>
      <c r="V263" s="705"/>
      <c r="W263" s="705"/>
      <c r="X263" s="435"/>
      <c r="Y263" s="436"/>
    </row>
    <row r="264" spans="1:25" s="1" customFormat="1" ht="75" customHeight="1">
      <c r="A264" s="2">
        <v>3</v>
      </c>
      <c r="B264" s="2393"/>
      <c r="C264" s="2355"/>
      <c r="D264" s="15" t="s">
        <v>818</v>
      </c>
      <c r="E264" s="387" t="s">
        <v>819</v>
      </c>
      <c r="F264" s="331"/>
      <c r="G264" s="48"/>
      <c r="H264" s="437" t="s">
        <v>820</v>
      </c>
      <c r="I264" s="284"/>
      <c r="J264" s="2"/>
      <c r="K264" s="2"/>
      <c r="L264" s="2"/>
      <c r="M264" s="438"/>
      <c r="N264" s="439"/>
      <c r="O264" s="440"/>
      <c r="P264" s="2"/>
      <c r="Q264" s="50"/>
      <c r="R264" s="50"/>
      <c r="S264" s="50"/>
      <c r="T264" s="50"/>
      <c r="U264" s="2"/>
      <c r="V264" s="680"/>
      <c r="W264" s="680"/>
    </row>
    <row r="265" spans="1:25" ht="40.5" customHeight="1">
      <c r="B265" s="2393"/>
      <c r="C265" s="45" t="s">
        <v>821</v>
      </c>
      <c r="D265" s="236" t="s">
        <v>822</v>
      </c>
      <c r="E265" s="387" t="s">
        <v>712</v>
      </c>
      <c r="F265" s="339" t="s">
        <v>823</v>
      </c>
      <c r="G265" s="48"/>
      <c r="H265" s="441" t="s">
        <v>824</v>
      </c>
      <c r="I265" s="284"/>
      <c r="J265" s="2"/>
      <c r="K265" s="2"/>
      <c r="L265" s="2"/>
      <c r="M265" s="2"/>
      <c r="N265" s="2"/>
      <c r="O265" s="2"/>
      <c r="P265" s="2"/>
      <c r="Q265" s="50"/>
      <c r="R265" s="50"/>
      <c r="S265" s="50"/>
      <c r="T265" s="50"/>
      <c r="U265" s="2"/>
    </row>
    <row r="266" spans="1:25" s="1" customFormat="1" ht="48.75" customHeight="1">
      <c r="A266" s="2">
        <v>3</v>
      </c>
      <c r="B266" s="2393"/>
      <c r="C266" s="45" t="s">
        <v>825</v>
      </c>
      <c r="D266" s="236" t="s">
        <v>826</v>
      </c>
      <c r="E266" s="387" t="s">
        <v>712</v>
      </c>
      <c r="F266" s="339" t="s">
        <v>827</v>
      </c>
      <c r="G266" s="48"/>
      <c r="H266" s="441" t="s">
        <v>828</v>
      </c>
      <c r="I266" s="284"/>
      <c r="J266" s="2"/>
      <c r="K266" s="2"/>
      <c r="L266" s="2"/>
      <c r="M266" s="438"/>
      <c r="N266" s="439"/>
      <c r="O266" s="440"/>
      <c r="P266" s="2"/>
      <c r="Q266" s="50"/>
      <c r="R266" s="50"/>
      <c r="S266" s="50"/>
      <c r="T266" s="50"/>
      <c r="U266" s="2"/>
      <c r="V266" s="680"/>
      <c r="W266" s="680"/>
    </row>
    <row r="267" spans="1:25" s="1" customFormat="1" ht="48.75" customHeight="1">
      <c r="A267" s="2">
        <v>3</v>
      </c>
      <c r="B267" s="2393"/>
      <c r="C267" s="45" t="s">
        <v>829</v>
      </c>
      <c r="D267" s="236" t="s">
        <v>830</v>
      </c>
      <c r="E267" s="387" t="s">
        <v>712</v>
      </c>
      <c r="F267" s="339" t="s">
        <v>831</v>
      </c>
      <c r="G267" s="48"/>
      <c r="H267" s="441" t="s">
        <v>831</v>
      </c>
      <c r="I267" s="284"/>
      <c r="J267" s="2"/>
      <c r="K267" s="2"/>
      <c r="L267" s="2"/>
      <c r="M267" s="438"/>
      <c r="N267" s="439"/>
      <c r="O267" s="440"/>
      <c r="P267" s="2"/>
      <c r="Q267" s="50"/>
      <c r="R267" s="50"/>
      <c r="S267" s="50"/>
      <c r="T267" s="50"/>
      <c r="U267" s="2"/>
      <c r="V267" s="680"/>
      <c r="W267" s="680"/>
    </row>
    <row r="268" spans="1:25" s="1" customFormat="1" ht="48.75" customHeight="1">
      <c r="A268" s="2">
        <v>3</v>
      </c>
      <c r="B268" s="2393"/>
      <c r="C268" s="45" t="s">
        <v>832</v>
      </c>
      <c r="D268" s="236" t="s">
        <v>833</v>
      </c>
      <c r="E268" s="387" t="s">
        <v>712</v>
      </c>
      <c r="F268" s="339" t="s">
        <v>834</v>
      </c>
      <c r="G268" s="48"/>
      <c r="H268" s="441" t="s">
        <v>834</v>
      </c>
      <c r="I268" s="284"/>
      <c r="J268" s="2" t="s">
        <v>835</v>
      </c>
      <c r="K268" s="2"/>
      <c r="L268" s="2"/>
      <c r="M268" s="438"/>
      <c r="N268" s="439"/>
      <c r="O268" s="440"/>
      <c r="P268" s="2"/>
      <c r="Q268" s="50"/>
      <c r="R268" s="50"/>
      <c r="S268" s="50"/>
      <c r="T268" s="50"/>
      <c r="U268" s="2"/>
      <c r="V268" s="680"/>
      <c r="W268" s="680"/>
    </row>
    <row r="269" spans="1:25" s="1" customFormat="1" ht="36.75" customHeight="1">
      <c r="A269" s="2"/>
      <c r="B269" s="2351" t="s">
        <v>612</v>
      </c>
      <c r="C269" s="2455" t="s">
        <v>613</v>
      </c>
      <c r="D269" s="236" t="s">
        <v>836</v>
      </c>
      <c r="E269" s="387"/>
      <c r="F269" s="339" t="s">
        <v>837</v>
      </c>
      <c r="G269" s="48"/>
      <c r="H269" s="339" t="s">
        <v>838</v>
      </c>
      <c r="I269" s="284"/>
      <c r="J269" s="141"/>
      <c r="K269" s="443"/>
      <c r="L269" s="443"/>
      <c r="M269" s="438"/>
      <c r="N269" s="439"/>
      <c r="O269" s="440"/>
      <c r="P269" s="2"/>
      <c r="Q269" s="50"/>
      <c r="R269" s="50"/>
      <c r="S269" s="50"/>
      <c r="T269" s="50"/>
      <c r="U269" s="2"/>
      <c r="V269" s="680"/>
      <c r="W269" s="680"/>
    </row>
    <row r="270" spans="1:25" s="1" customFormat="1" ht="59.25" customHeight="1">
      <c r="A270" s="2">
        <v>4</v>
      </c>
      <c r="B270" s="2351"/>
      <c r="C270" s="2455"/>
      <c r="D270" s="335" t="s">
        <v>839</v>
      </c>
      <c r="E270" s="139" t="s">
        <v>840</v>
      </c>
      <c r="F270" s="337" t="s">
        <v>841</v>
      </c>
      <c r="G270" s="388" t="s">
        <v>842</v>
      </c>
      <c r="H270" s="432" t="s">
        <v>843</v>
      </c>
      <c r="I270" s="2"/>
      <c r="J270" s="444">
        <v>43741</v>
      </c>
      <c r="K270" s="2"/>
      <c r="L270" s="2"/>
      <c r="M270" s="2"/>
      <c r="N270" s="2"/>
      <c r="O270" s="2"/>
      <c r="P270" s="2"/>
      <c r="Q270" s="50"/>
      <c r="R270" s="50"/>
      <c r="S270" s="50"/>
      <c r="T270" s="50"/>
      <c r="U270" s="2"/>
      <c r="V270" s="680"/>
      <c r="W270" s="680"/>
    </row>
    <row r="271" spans="1:25" s="124" customFormat="1" ht="42.75" customHeight="1">
      <c r="A271" s="445">
        <v>5</v>
      </c>
      <c r="B271" s="446" t="s">
        <v>844</v>
      </c>
      <c r="C271" s="45" t="s">
        <v>845</v>
      </c>
      <c r="D271" s="45" t="s">
        <v>846</v>
      </c>
      <c r="E271" s="45" t="s">
        <v>847</v>
      </c>
      <c r="F271" s="22"/>
      <c r="G271" s="22"/>
      <c r="H271" s="447" t="s">
        <v>848</v>
      </c>
      <c r="I271" s="22"/>
      <c r="J271" s="22"/>
      <c r="K271" s="22"/>
      <c r="L271" s="22"/>
      <c r="M271" s="22"/>
      <c r="N271" s="22"/>
      <c r="O271" s="22"/>
      <c r="P271" s="22"/>
      <c r="Q271" s="126"/>
      <c r="R271" s="126"/>
      <c r="S271" s="126"/>
      <c r="T271" s="126"/>
      <c r="U271" s="22"/>
      <c r="V271" s="706"/>
      <c r="W271" s="706"/>
    </row>
    <row r="272" spans="1:25" s="1" customFormat="1" ht="26.25" customHeight="1">
      <c r="A272" s="2472">
        <v>6</v>
      </c>
      <c r="B272" s="2358" t="s">
        <v>737</v>
      </c>
      <c r="C272" s="2392" t="s">
        <v>488</v>
      </c>
      <c r="D272" s="25" t="s">
        <v>738</v>
      </c>
      <c r="E272" s="25" t="s">
        <v>490</v>
      </c>
      <c r="F272" s="2375">
        <v>9000</v>
      </c>
      <c r="G272" s="34" t="s">
        <v>491</v>
      </c>
      <c r="H272" s="35"/>
      <c r="I272" s="55"/>
      <c r="J272" s="30"/>
      <c r="K272" s="2"/>
      <c r="M272" s="2"/>
      <c r="N272" s="2"/>
      <c r="O272" s="2"/>
      <c r="P272" s="2"/>
      <c r="Q272" s="50"/>
      <c r="R272" s="50"/>
      <c r="S272" s="50"/>
      <c r="T272" s="50"/>
      <c r="U272" s="2"/>
      <c r="V272" s="680"/>
      <c r="W272" s="680"/>
    </row>
    <row r="273" spans="1:23" s="1" customFormat="1" ht="66" customHeight="1">
      <c r="A273" s="2472"/>
      <c r="B273" s="2358"/>
      <c r="C273" s="2392"/>
      <c r="D273" s="38" t="s">
        <v>739</v>
      </c>
      <c r="E273" s="25" t="s">
        <v>493</v>
      </c>
      <c r="F273" s="2375"/>
      <c r="G273" s="34" t="s">
        <v>849</v>
      </c>
      <c r="H273" s="448" t="s">
        <v>850</v>
      </c>
      <c r="I273" s="267" t="s">
        <v>742</v>
      </c>
      <c r="J273" s="396" t="s">
        <v>743</v>
      </c>
      <c r="K273" s="138">
        <v>43191</v>
      </c>
      <c r="L273" s="138"/>
      <c r="M273" s="2"/>
      <c r="N273" s="2"/>
      <c r="O273" s="2"/>
      <c r="P273" s="2"/>
      <c r="Q273" s="50"/>
      <c r="R273" s="50"/>
      <c r="S273" s="50"/>
      <c r="T273" s="50"/>
      <c r="U273" s="2"/>
      <c r="V273" s="680"/>
      <c r="W273" s="680"/>
    </row>
    <row r="274" spans="1:23" s="1" customFormat="1" ht="54.75" customHeight="1">
      <c r="A274" s="141">
        <v>7</v>
      </c>
      <c r="B274" s="193" t="s">
        <v>748</v>
      </c>
      <c r="C274" s="54" t="s">
        <v>639</v>
      </c>
      <c r="D274" s="355" t="s">
        <v>640</v>
      </c>
      <c r="E274" s="33" t="s">
        <v>641</v>
      </c>
      <c r="F274" s="356">
        <v>7000</v>
      </c>
      <c r="G274" s="54" t="s">
        <v>749</v>
      </c>
      <c r="H274" s="449" t="s">
        <v>851</v>
      </c>
      <c r="I274" s="400"/>
      <c r="J274" s="401"/>
      <c r="K274" s="2"/>
      <c r="L274" s="2"/>
      <c r="M274" s="2"/>
      <c r="N274" s="2"/>
      <c r="O274" s="2"/>
      <c r="P274" s="2"/>
      <c r="Q274" s="50"/>
      <c r="R274" s="50"/>
      <c r="S274" s="50"/>
      <c r="T274" s="50"/>
      <c r="U274" s="2"/>
      <c r="V274" s="680"/>
      <c r="W274" s="680"/>
    </row>
    <row r="275" spans="1:23" s="1" customFormat="1" ht="54.75" customHeight="1">
      <c r="A275" s="141"/>
      <c r="B275" s="193" t="s">
        <v>852</v>
      </c>
      <c r="C275" s="54" t="s">
        <v>853</v>
      </c>
      <c r="D275" s="180" t="s">
        <v>854</v>
      </c>
      <c r="E275" s="33" t="s">
        <v>855</v>
      </c>
      <c r="F275" s="355" t="s">
        <v>856</v>
      </c>
      <c r="G275" s="54"/>
      <c r="H275" s="450" t="s">
        <v>857</v>
      </c>
      <c r="I275" s="400"/>
      <c r="J275" s="401"/>
      <c r="K275" s="2"/>
      <c r="L275" s="2"/>
      <c r="M275" s="2"/>
      <c r="N275" s="2"/>
      <c r="O275" s="2"/>
      <c r="P275" s="2"/>
      <c r="Q275" s="50"/>
      <c r="R275" s="50"/>
      <c r="S275" s="50"/>
      <c r="T275" s="50"/>
      <c r="U275" s="2"/>
      <c r="V275" s="680"/>
      <c r="W275" s="680"/>
    </row>
    <row r="276" spans="1:23" s="1" customFormat="1" ht="54.75" customHeight="1">
      <c r="A276" s="141"/>
      <c r="B276" s="193" t="s">
        <v>852</v>
      </c>
      <c r="C276" s="54" t="s">
        <v>853</v>
      </c>
      <c r="D276" s="180" t="s">
        <v>858</v>
      </c>
      <c r="E276" s="119" t="s">
        <v>859</v>
      </c>
      <c r="F276" s="355" t="s">
        <v>856</v>
      </c>
      <c r="G276" s="54"/>
      <c r="H276" s="451"/>
      <c r="I276" s="400"/>
      <c r="J276" s="401"/>
      <c r="K276" s="2"/>
      <c r="L276" s="2"/>
      <c r="M276" s="2"/>
      <c r="N276" s="2"/>
      <c r="O276" s="2"/>
      <c r="P276" s="2"/>
      <c r="Q276" s="50"/>
      <c r="R276" s="50"/>
      <c r="S276" s="50"/>
      <c r="T276" s="50"/>
      <c r="U276" s="2"/>
      <c r="V276" s="680"/>
      <c r="W276" s="680"/>
    </row>
    <row r="277" spans="1:23" s="1" customFormat="1" ht="54.75" customHeight="1">
      <c r="A277" s="141"/>
      <c r="B277" s="193" t="s">
        <v>852</v>
      </c>
      <c r="C277" s="54" t="s">
        <v>860</v>
      </c>
      <c r="D277" s="180" t="s">
        <v>861</v>
      </c>
      <c r="E277" s="33"/>
      <c r="F277" s="355"/>
      <c r="G277" s="54"/>
      <c r="H277" s="449"/>
      <c r="I277" s="400"/>
      <c r="J277" s="401"/>
      <c r="K277" s="2"/>
      <c r="L277" s="2"/>
      <c r="M277" s="2"/>
      <c r="N277" s="2"/>
      <c r="O277" s="2"/>
      <c r="P277" s="2"/>
      <c r="Q277" s="50"/>
      <c r="R277" s="50"/>
      <c r="S277" s="50"/>
      <c r="T277" s="50"/>
      <c r="U277" s="2"/>
      <c r="V277" s="680"/>
      <c r="W277" s="680"/>
    </row>
    <row r="278" spans="1:23" s="1" customFormat="1" ht="48" customHeight="1">
      <c r="A278" s="141">
        <v>8</v>
      </c>
      <c r="B278" s="193" t="s">
        <v>862</v>
      </c>
      <c r="C278" s="54" t="s">
        <v>515</v>
      </c>
      <c r="D278" s="180" t="s">
        <v>752</v>
      </c>
      <c r="E278" s="33"/>
      <c r="F278" s="285">
        <v>30704</v>
      </c>
      <c r="G278" s="54" t="s">
        <v>863</v>
      </c>
      <c r="H278" s="402" t="s">
        <v>864</v>
      </c>
      <c r="I278" s="267"/>
      <c r="J278" s="398" t="s">
        <v>755</v>
      </c>
      <c r="K278" s="354" t="s">
        <v>756</v>
      </c>
      <c r="L278" s="354"/>
      <c r="M278" s="2"/>
      <c r="N278" s="2"/>
      <c r="O278" s="2"/>
      <c r="P278" s="2"/>
      <c r="Q278" s="50"/>
      <c r="R278" s="50"/>
      <c r="S278" s="50"/>
      <c r="T278" s="50"/>
      <c r="U278" s="2"/>
      <c r="V278" s="680"/>
      <c r="W278" s="680"/>
    </row>
    <row r="279" spans="1:23" s="1" customFormat="1" ht="78" customHeight="1">
      <c r="A279" s="452">
        <v>9</v>
      </c>
      <c r="B279" s="453" t="s">
        <v>865</v>
      </c>
      <c r="C279" s="54" t="s">
        <v>644</v>
      </c>
      <c r="D279" s="15" t="s">
        <v>758</v>
      </c>
      <c r="E279" s="236" t="s">
        <v>535</v>
      </c>
      <c r="F279" s="286" t="s">
        <v>536</v>
      </c>
      <c r="G279" s="339" t="s">
        <v>866</v>
      </c>
      <c r="H279" s="283" t="s">
        <v>867</v>
      </c>
      <c r="I279" s="297"/>
      <c r="J279" s="454"/>
      <c r="K279" s="138">
        <v>43160</v>
      </c>
      <c r="L279" s="138"/>
      <c r="M279" s="2"/>
      <c r="N279" s="2"/>
      <c r="O279" s="2"/>
      <c r="P279" s="2"/>
      <c r="Q279" s="50"/>
      <c r="R279" s="50"/>
      <c r="S279" s="50"/>
      <c r="T279" s="50"/>
      <c r="U279" s="2"/>
      <c r="V279" s="680"/>
      <c r="W279" s="680"/>
    </row>
    <row r="280" spans="1:23" s="1" customFormat="1" ht="33.75" customHeight="1">
      <c r="A280" s="2471">
        <v>10</v>
      </c>
      <c r="B280" s="2350" t="s">
        <v>766</v>
      </c>
      <c r="C280" s="358"/>
      <c r="D280" s="15" t="s">
        <v>868</v>
      </c>
      <c r="E280" s="236"/>
      <c r="F280" s="286"/>
      <c r="G280" s="455"/>
      <c r="H280" s="283" t="s">
        <v>869</v>
      </c>
      <c r="I280" s="297"/>
      <c r="J280" s="454"/>
      <c r="K280" s="138"/>
      <c r="L280" s="138"/>
      <c r="M280" s="2"/>
      <c r="N280" s="2"/>
      <c r="O280" s="2"/>
      <c r="P280" s="2"/>
      <c r="Q280" s="50"/>
      <c r="R280" s="50"/>
      <c r="S280" s="50"/>
      <c r="T280" s="50"/>
      <c r="U280" s="2"/>
      <c r="V280" s="680"/>
      <c r="W280" s="680"/>
    </row>
    <row r="281" spans="1:23" s="1" customFormat="1" ht="36" customHeight="1">
      <c r="A281" s="2471"/>
      <c r="B281" s="2350"/>
      <c r="C281" s="456" t="s">
        <v>767</v>
      </c>
      <c r="D281" s="405" t="s">
        <v>768</v>
      </c>
      <c r="E281" s="33" t="s">
        <v>769</v>
      </c>
      <c r="F281" s="33" t="s">
        <v>770</v>
      </c>
      <c r="G281" s="283" t="s">
        <v>870</v>
      </c>
      <c r="H281" s="448" t="s">
        <v>871</v>
      </c>
      <c r="I281" s="364"/>
      <c r="J281" s="2"/>
      <c r="K281" s="2"/>
      <c r="L281" s="2"/>
      <c r="M281" s="139"/>
      <c r="N281" s="2"/>
      <c r="O281" s="2"/>
      <c r="P281" s="2"/>
      <c r="Q281" s="50"/>
      <c r="R281" s="50"/>
      <c r="S281" s="50"/>
      <c r="T281" s="50"/>
      <c r="U281" s="2"/>
      <c r="V281" s="680"/>
      <c r="W281" s="680"/>
    </row>
    <row r="282" spans="1:23" s="1" customFormat="1" ht="36" customHeight="1">
      <c r="A282" s="457"/>
      <c r="B282" s="2350" t="s">
        <v>651</v>
      </c>
      <c r="C282" s="45" t="s">
        <v>872</v>
      </c>
      <c r="D282" s="458" t="s">
        <v>873</v>
      </c>
      <c r="E282" s="33"/>
      <c r="F282" s="459"/>
      <c r="G282" s="283"/>
      <c r="H282" s="339" t="s">
        <v>874</v>
      </c>
      <c r="I282" s="339"/>
      <c r="J282" s="138">
        <v>43717</v>
      </c>
      <c r="K282" s="2"/>
      <c r="L282" s="2"/>
      <c r="M282" s="139"/>
      <c r="N282" s="2"/>
      <c r="O282" s="2"/>
      <c r="P282" s="2"/>
      <c r="Q282" s="50"/>
      <c r="R282" s="50"/>
      <c r="S282" s="50"/>
      <c r="T282" s="50"/>
      <c r="U282" s="2"/>
      <c r="V282" s="680"/>
      <c r="W282" s="680"/>
    </row>
    <row r="283" spans="1:23" s="1" customFormat="1" ht="36" customHeight="1">
      <c r="A283" s="457"/>
      <c r="B283" s="2350"/>
      <c r="C283" s="45" t="s">
        <v>875</v>
      </c>
      <c r="D283" s="405" t="s">
        <v>876</v>
      </c>
      <c r="E283" s="33"/>
      <c r="F283" s="459"/>
      <c r="G283" s="283"/>
      <c r="H283" s="339">
        <v>86800</v>
      </c>
      <c r="I283" s="339"/>
      <c r="J283" s="2" t="s">
        <v>877</v>
      </c>
      <c r="K283" s="2"/>
      <c r="L283" s="2"/>
      <c r="M283" s="139"/>
      <c r="N283" s="2"/>
      <c r="O283" s="2"/>
      <c r="P283" s="2"/>
      <c r="Q283" s="50"/>
      <c r="R283" s="50"/>
      <c r="S283" s="50"/>
      <c r="T283" s="50"/>
      <c r="U283" s="2"/>
      <c r="V283" s="680"/>
      <c r="W283" s="680"/>
    </row>
    <row r="284" spans="1:23" s="1" customFormat="1" ht="61.5" customHeight="1">
      <c r="A284" s="457"/>
      <c r="B284" s="2350"/>
      <c r="C284" s="45" t="s">
        <v>878</v>
      </c>
      <c r="D284" s="405" t="s">
        <v>879</v>
      </c>
      <c r="E284" s="33"/>
      <c r="F284" s="459">
        <v>98700</v>
      </c>
      <c r="G284" s="283"/>
      <c r="H284" s="339" t="s">
        <v>880</v>
      </c>
      <c r="I284" s="339"/>
      <c r="J284" s="2" t="s">
        <v>881</v>
      </c>
      <c r="K284" s="2"/>
      <c r="L284" s="2"/>
      <c r="M284" s="139"/>
      <c r="N284" s="2"/>
      <c r="O284" s="2"/>
      <c r="P284" s="2"/>
      <c r="Q284" s="50"/>
      <c r="R284" s="50"/>
      <c r="S284" s="50"/>
      <c r="T284" s="50"/>
      <c r="U284" s="2"/>
      <c r="V284" s="680"/>
      <c r="W284" s="680"/>
    </row>
    <row r="285" spans="1:23" ht="65.25" customHeight="1">
      <c r="A285" s="360"/>
      <c r="B285" s="2350"/>
      <c r="C285" s="54" t="s">
        <v>658</v>
      </c>
      <c r="D285" s="460" t="s">
        <v>882</v>
      </c>
      <c r="E285" s="119" t="s">
        <v>883</v>
      </c>
      <c r="F285" s="286"/>
      <c r="G285" s="283" t="s">
        <v>764</v>
      </c>
      <c r="H285" s="461" t="s">
        <v>884</v>
      </c>
      <c r="I285" s="364"/>
      <c r="J285" s="407" t="s">
        <v>885</v>
      </c>
      <c r="K285" s="2"/>
      <c r="L285" s="2"/>
      <c r="M285" s="365"/>
      <c r="N285" s="2"/>
      <c r="O285" s="2"/>
      <c r="P285" s="2"/>
      <c r="Q285" s="50"/>
      <c r="R285" s="50"/>
      <c r="S285" s="50"/>
      <c r="T285" s="50"/>
      <c r="U285" s="2"/>
    </row>
    <row r="286" spans="1:23" s="1" customFormat="1" ht="39" customHeight="1">
      <c r="A286" s="141">
        <v>11</v>
      </c>
      <c r="B286" s="2353" t="s">
        <v>539</v>
      </c>
      <c r="C286" s="367" t="s">
        <v>772</v>
      </c>
      <c r="D286" s="268" t="s">
        <v>773</v>
      </c>
      <c r="E286" s="25" t="s">
        <v>17</v>
      </c>
      <c r="F286" s="286">
        <v>11900</v>
      </c>
      <c r="G286" s="54" t="s">
        <v>886</v>
      </c>
      <c r="H286" s="462" t="s">
        <v>887</v>
      </c>
      <c r="I286" s="297"/>
      <c r="J286" s="2"/>
      <c r="K286" s="2"/>
      <c r="L286" s="2"/>
      <c r="M286" s="2"/>
      <c r="N286" s="2"/>
      <c r="O286" s="2"/>
      <c r="P286" s="2"/>
      <c r="Q286" s="50"/>
      <c r="R286" s="50"/>
      <c r="S286" s="50"/>
      <c r="T286" s="50"/>
      <c r="U286" s="2"/>
      <c r="V286" s="680"/>
      <c r="W286" s="680"/>
    </row>
    <row r="287" spans="1:23" s="1" customFormat="1" ht="39" customHeight="1">
      <c r="A287" s="141">
        <v>11</v>
      </c>
      <c r="B287" s="2353"/>
      <c r="C287" s="367" t="s">
        <v>888</v>
      </c>
      <c r="D287" s="268" t="s">
        <v>215</v>
      </c>
      <c r="E287" s="25"/>
      <c r="F287" s="286">
        <v>38000</v>
      </c>
      <c r="G287" s="54"/>
      <c r="H287" s="463">
        <v>38000</v>
      </c>
      <c r="I287" s="297"/>
      <c r="J287" s="2"/>
      <c r="K287" s="2"/>
      <c r="L287" s="2"/>
      <c r="M287" s="2"/>
      <c r="N287" s="2"/>
      <c r="O287" s="2"/>
      <c r="P287" s="2"/>
      <c r="Q287" s="50"/>
      <c r="R287" s="50"/>
      <c r="S287" s="50"/>
      <c r="T287" s="50"/>
      <c r="U287" s="2"/>
      <c r="V287" s="680"/>
      <c r="W287" s="680"/>
    </row>
    <row r="288" spans="1:23" s="1" customFormat="1" ht="109.5" customHeight="1">
      <c r="A288" s="464">
        <v>12</v>
      </c>
      <c r="B288" s="465" t="s">
        <v>889</v>
      </c>
      <c r="C288" s="466" t="s">
        <v>890</v>
      </c>
      <c r="D288" s="467" t="s">
        <v>891</v>
      </c>
      <c r="E288" s="468"/>
      <c r="F288" s="469" t="s">
        <v>892</v>
      </c>
      <c r="G288" s="470"/>
      <c r="H288" s="471" t="s">
        <v>893</v>
      </c>
      <c r="I288" s="472"/>
      <c r="J288" s="473"/>
      <c r="K288" s="391"/>
      <c r="L288" s="391"/>
      <c r="M288" s="2"/>
      <c r="N288" s="2"/>
      <c r="O288" s="2"/>
      <c r="P288" s="2"/>
      <c r="Q288" s="50"/>
      <c r="R288" s="50"/>
      <c r="S288" s="50"/>
      <c r="T288" s="50"/>
      <c r="U288" s="2"/>
      <c r="V288" s="680"/>
      <c r="W288" s="680"/>
    </row>
    <row r="289" spans="1:25" s="1" customFormat="1" ht="39" customHeight="1">
      <c r="A289" s="379"/>
      <c r="B289" s="474"/>
      <c r="C289" s="475" t="s">
        <v>894</v>
      </c>
      <c r="D289" s="467" t="s">
        <v>895</v>
      </c>
      <c r="E289" s="476" t="s">
        <v>896</v>
      </c>
      <c r="F289" s="477" t="s">
        <v>897</v>
      </c>
      <c r="G289" s="470"/>
      <c r="H289" s="471"/>
      <c r="I289" s="472"/>
      <c r="J289" s="473"/>
      <c r="K289" s="391"/>
      <c r="L289" s="391"/>
      <c r="M289" s="2"/>
      <c r="N289" s="2"/>
      <c r="O289" s="2"/>
      <c r="P289" s="2"/>
      <c r="Q289" s="50"/>
      <c r="R289" s="50"/>
      <c r="S289" s="50"/>
      <c r="T289" s="50"/>
      <c r="U289" s="2"/>
      <c r="V289" s="680"/>
      <c r="W289" s="680"/>
    </row>
    <row r="290" spans="1:25" s="1" customFormat="1" ht="28.5" customHeight="1">
      <c r="A290" s="379"/>
      <c r="B290" s="478"/>
      <c r="C290" s="479" t="s">
        <v>898</v>
      </c>
      <c r="D290" s="467" t="s">
        <v>899</v>
      </c>
      <c r="E290" s="468"/>
      <c r="F290" s="477">
        <v>162674.95000000001</v>
      </c>
      <c r="G290" s="470"/>
      <c r="H290" s="480"/>
      <c r="I290" s="472"/>
      <c r="J290" s="481" t="s">
        <v>900</v>
      </c>
      <c r="K290" s="391"/>
      <c r="L290" s="391"/>
      <c r="M290" s="2"/>
      <c r="N290" s="2"/>
      <c r="O290" s="2"/>
      <c r="P290" s="2"/>
      <c r="Q290" s="50"/>
      <c r="R290" s="50"/>
      <c r="S290" s="50"/>
      <c r="T290" s="50"/>
      <c r="U290" s="2"/>
      <c r="V290" s="680"/>
      <c r="W290" s="680"/>
    </row>
    <row r="291" spans="1:25" s="1" customFormat="1" ht="35.25" customHeight="1">
      <c r="A291" s="379">
        <v>13</v>
      </c>
      <c r="B291" s="478" t="s">
        <v>901</v>
      </c>
      <c r="C291" s="334" t="s">
        <v>902</v>
      </c>
      <c r="D291" s="335" t="s">
        <v>903</v>
      </c>
      <c r="E291" s="482" t="s">
        <v>904</v>
      </c>
      <c r="F291" s="477" t="s">
        <v>905</v>
      </c>
      <c r="G291" s="338"/>
      <c r="H291" s="432" t="s">
        <v>906</v>
      </c>
      <c r="I291" s="284"/>
      <c r="J291" s="335" t="s">
        <v>907</v>
      </c>
      <c r="K291" s="391"/>
      <c r="L291" s="391"/>
      <c r="M291" s="2"/>
      <c r="N291" s="2"/>
      <c r="O291" s="2"/>
      <c r="P291" s="2"/>
      <c r="Q291" s="50"/>
      <c r="R291" s="50"/>
      <c r="S291" s="50"/>
      <c r="T291" s="50"/>
      <c r="U291" s="2"/>
      <c r="V291" s="680"/>
      <c r="W291" s="680"/>
    </row>
    <row r="292" spans="1:25" s="1" customFormat="1" ht="62.25" customHeight="1">
      <c r="A292" s="379">
        <v>14</v>
      </c>
      <c r="B292" s="442" t="s">
        <v>908</v>
      </c>
      <c r="C292" s="483" t="s">
        <v>909</v>
      </c>
      <c r="D292" s="484" t="s">
        <v>785</v>
      </c>
      <c r="E292" s="236" t="s">
        <v>786</v>
      </c>
      <c r="F292" s="344">
        <v>15600</v>
      </c>
      <c r="G292" s="485" t="s">
        <v>910</v>
      </c>
      <c r="H292" s="486" t="s">
        <v>911</v>
      </c>
      <c r="I292" s="487"/>
      <c r="J292" s="488" t="s">
        <v>789</v>
      </c>
      <c r="K292" s="349"/>
      <c r="M292" s="2"/>
      <c r="N292" s="2"/>
      <c r="O292" s="2"/>
      <c r="P292" s="2"/>
      <c r="Q292" s="50"/>
      <c r="R292" s="50"/>
      <c r="S292" s="50"/>
      <c r="T292" s="50"/>
      <c r="U292" s="2"/>
      <c r="V292" s="680"/>
      <c r="W292" s="680"/>
    </row>
    <row r="293" spans="1:25" ht="27.75" customHeight="1">
      <c r="A293" s="379">
        <v>15</v>
      </c>
      <c r="B293" s="366" t="s">
        <v>912</v>
      </c>
      <c r="C293" s="367" t="s">
        <v>913</v>
      </c>
      <c r="D293" s="410" t="s">
        <v>914</v>
      </c>
      <c r="E293" s="70" t="s">
        <v>915</v>
      </c>
      <c r="F293" s="286" t="s">
        <v>916</v>
      </c>
      <c r="G293" s="48"/>
      <c r="H293" s="248" t="s">
        <v>917</v>
      </c>
      <c r="I293" s="297"/>
      <c r="J293" s="297"/>
      <c r="K293" s="138"/>
      <c r="L293" s="138"/>
      <c r="M293" s="2"/>
      <c r="N293" s="2"/>
      <c r="O293" s="2"/>
      <c r="P293" s="2"/>
      <c r="Q293" s="50"/>
      <c r="R293" s="50"/>
      <c r="S293" s="50"/>
      <c r="T293" s="50"/>
      <c r="U293" s="2"/>
    </row>
    <row r="294" spans="1:25" s="1" customFormat="1" ht="54.75" customHeight="1">
      <c r="A294" s="2"/>
      <c r="B294" s="180" t="s">
        <v>918</v>
      </c>
      <c r="C294" s="139" t="s">
        <v>919</v>
      </c>
      <c r="D294" s="15" t="s">
        <v>920</v>
      </c>
      <c r="E294" s="489" t="s">
        <v>921</v>
      </c>
      <c r="F294" s="15" t="s">
        <v>922</v>
      </c>
      <c r="G294" s="2"/>
      <c r="H294" s="490" t="s">
        <v>923</v>
      </c>
      <c r="I294" s="2"/>
      <c r="J294" s="16" t="s">
        <v>567</v>
      </c>
      <c r="K294" s="2"/>
      <c r="L294" s="2"/>
      <c r="M294" s="50"/>
      <c r="N294" s="2"/>
      <c r="O294" s="2"/>
      <c r="P294" s="2"/>
      <c r="Q294" s="50"/>
      <c r="R294" s="50"/>
      <c r="S294" s="50"/>
      <c r="T294" s="50"/>
      <c r="U294" s="2"/>
      <c r="V294" s="680"/>
      <c r="W294" s="680"/>
    </row>
    <row r="295" spans="1:25" s="1" customFormat="1" ht="58.5" customHeight="1">
      <c r="A295" s="379">
        <v>16</v>
      </c>
      <c r="B295" s="374" t="s">
        <v>796</v>
      </c>
      <c r="C295" s="265" t="s">
        <v>583</v>
      </c>
      <c r="D295" s="414" t="s">
        <v>797</v>
      </c>
      <c r="E295" s="25" t="s">
        <v>585</v>
      </c>
      <c r="F295" s="26">
        <v>8500</v>
      </c>
      <c r="G295" s="491" t="s">
        <v>924</v>
      </c>
      <c r="H295" s="492" t="s">
        <v>925</v>
      </c>
      <c r="I295" s="178" t="s">
        <v>799</v>
      </c>
      <c r="J295" s="290" t="s">
        <v>800</v>
      </c>
      <c r="K295" s="493">
        <v>43191</v>
      </c>
      <c r="L295" s="493"/>
      <c r="M295" s="494" t="s">
        <v>926</v>
      </c>
      <c r="N295" s="494"/>
      <c r="O295" s="2"/>
      <c r="P295" s="2"/>
      <c r="Q295" s="50"/>
      <c r="R295" s="50"/>
      <c r="S295" s="50"/>
      <c r="T295" s="50"/>
      <c r="U295" s="2"/>
      <c r="V295" s="680"/>
      <c r="W295" s="680"/>
    </row>
    <row r="296" spans="1:25" s="1" customFormat="1" ht="75" customHeight="1">
      <c r="A296" s="379">
        <v>15</v>
      </c>
      <c r="B296" s="2358" t="s">
        <v>673</v>
      </c>
      <c r="C296" s="207" t="s">
        <v>674</v>
      </c>
      <c r="D296" s="207" t="s">
        <v>927</v>
      </c>
      <c r="E296" s="60"/>
      <c r="F296" s="302">
        <v>16000</v>
      </c>
      <c r="G296" s="315" t="s">
        <v>928</v>
      </c>
      <c r="H296" s="35" t="s">
        <v>929</v>
      </c>
      <c r="I296" s="495"/>
      <c r="J296" s="290"/>
      <c r="K296" s="50"/>
      <c r="L296" s="2"/>
      <c r="M296" s="2"/>
      <c r="N296" s="2"/>
      <c r="O296" s="2"/>
      <c r="P296" s="2"/>
      <c r="Q296" s="50"/>
      <c r="R296" s="50"/>
      <c r="S296" s="50"/>
      <c r="T296" s="50"/>
      <c r="U296" s="2"/>
      <c r="V296" s="680"/>
      <c r="W296" s="680"/>
    </row>
    <row r="297" spans="1:25" s="1" customFormat="1" ht="38.25" customHeight="1">
      <c r="A297" s="379">
        <v>15</v>
      </c>
      <c r="B297" s="2358"/>
      <c r="C297" s="207" t="s">
        <v>930</v>
      </c>
      <c r="D297" s="207" t="s">
        <v>931</v>
      </c>
      <c r="E297" s="60"/>
      <c r="F297" s="302">
        <v>26500</v>
      </c>
      <c r="G297" s="315"/>
      <c r="H297" s="302">
        <v>26500</v>
      </c>
      <c r="I297" s="495"/>
      <c r="J297" s="290"/>
      <c r="K297" s="50"/>
      <c r="L297" s="2"/>
      <c r="M297" s="2"/>
      <c r="N297" s="2"/>
      <c r="O297" s="2"/>
      <c r="P297" s="2"/>
      <c r="Q297" s="50"/>
      <c r="R297" s="50"/>
      <c r="S297" s="50"/>
      <c r="T297" s="50"/>
      <c r="U297" s="2"/>
      <c r="V297" s="680"/>
      <c r="W297" s="680"/>
    </row>
    <row r="298" spans="1:25" s="1" customFormat="1" ht="76.5" customHeight="1">
      <c r="A298" s="141">
        <v>16</v>
      </c>
      <c r="B298" s="2351" t="s">
        <v>932</v>
      </c>
      <c r="C298" s="45" t="s">
        <v>933</v>
      </c>
      <c r="D298" s="139" t="s">
        <v>934</v>
      </c>
      <c r="E298" s="2"/>
      <c r="F298" s="152">
        <v>745496.09</v>
      </c>
      <c r="G298" s="2"/>
      <c r="H298" s="495" t="s">
        <v>935</v>
      </c>
      <c r="I298" s="2"/>
      <c r="J298" s="2"/>
      <c r="K298" s="2"/>
      <c r="L298" s="2"/>
      <c r="M298" s="2"/>
      <c r="N298" s="2"/>
      <c r="O298" s="2"/>
      <c r="P298" s="2"/>
      <c r="Q298" s="50"/>
      <c r="R298" s="50"/>
      <c r="S298" s="50"/>
      <c r="T298" s="50"/>
      <c r="U298" s="2"/>
      <c r="V298" s="680"/>
      <c r="W298" s="680"/>
    </row>
    <row r="299" spans="1:25" s="1" customFormat="1" ht="27.75" customHeight="1">
      <c r="A299" s="141"/>
      <c r="B299" s="2351"/>
      <c r="C299" s="45" t="s">
        <v>936</v>
      </c>
      <c r="D299" s="139" t="s">
        <v>937</v>
      </c>
      <c r="E299" s="2"/>
      <c r="F299" s="152">
        <v>23400</v>
      </c>
      <c r="G299" s="2"/>
      <c r="H299" s="495"/>
      <c r="I299" s="141" t="s">
        <v>938</v>
      </c>
      <c r="J299" s="2"/>
      <c r="K299" s="2"/>
      <c r="L299" s="2"/>
      <c r="M299" s="2"/>
      <c r="N299" s="2"/>
      <c r="O299" s="2"/>
      <c r="P299" s="2"/>
      <c r="Q299" s="50"/>
      <c r="R299" s="50"/>
      <c r="S299" s="50"/>
      <c r="T299" s="50"/>
      <c r="U299" s="2"/>
      <c r="V299" s="680"/>
      <c r="W299" s="680"/>
    </row>
    <row r="300" spans="1:25" s="221" customFormat="1" ht="18">
      <c r="B300" s="423" t="s">
        <v>939</v>
      </c>
      <c r="C300" s="424"/>
      <c r="D300" s="425"/>
      <c r="E300" s="426"/>
      <c r="F300" s="427"/>
      <c r="G300" s="427"/>
      <c r="H300" s="428"/>
      <c r="I300" s="429"/>
      <c r="J300" s="430"/>
      <c r="K300" s="430"/>
      <c r="L300" s="430"/>
      <c r="M300" s="20"/>
      <c r="N300" s="229"/>
      <c r="O300" s="229"/>
      <c r="P300" s="229"/>
      <c r="Q300" s="230"/>
      <c r="R300" s="230"/>
      <c r="S300" s="230"/>
      <c r="T300" s="230"/>
      <c r="U300" s="229"/>
      <c r="V300" s="703"/>
      <c r="W300" s="703"/>
      <c r="X300" s="431"/>
      <c r="Y300" s="229"/>
    </row>
    <row r="301" spans="1:25" s="1" customFormat="1" ht="54" customHeight="1">
      <c r="A301" s="141">
        <v>1</v>
      </c>
      <c r="B301" s="193" t="s">
        <v>940</v>
      </c>
      <c r="C301" s="69" t="s">
        <v>694</v>
      </c>
      <c r="D301" s="15" t="s">
        <v>941</v>
      </c>
      <c r="E301" s="60" t="s">
        <v>696</v>
      </c>
      <c r="F301" s="496" t="s">
        <v>942</v>
      </c>
      <c r="G301" s="54" t="s">
        <v>2992</v>
      </c>
      <c r="H301" s="433"/>
      <c r="I301" s="284"/>
      <c r="J301" s="2"/>
      <c r="K301" s="2"/>
      <c r="L301" s="139"/>
      <c r="M301" s="2"/>
      <c r="N301" s="2"/>
      <c r="O301" s="2"/>
      <c r="P301" s="2"/>
      <c r="Q301" s="50"/>
      <c r="R301" s="50"/>
      <c r="S301" s="50"/>
      <c r="T301" s="50"/>
      <c r="U301" s="2"/>
      <c r="V301" s="705"/>
      <c r="W301" s="705"/>
      <c r="X301" s="435"/>
      <c r="Y301" s="436"/>
    </row>
    <row r="302" spans="1:25" s="1" customFormat="1" ht="84" customHeight="1">
      <c r="A302" s="141">
        <v>1</v>
      </c>
      <c r="B302" s="193" t="s">
        <v>2963</v>
      </c>
      <c r="C302" s="69" t="s">
        <v>694</v>
      </c>
      <c r="D302" s="15" t="s">
        <v>943</v>
      </c>
      <c r="E302" s="60" t="s">
        <v>944</v>
      </c>
      <c r="F302" s="54" t="s">
        <v>697</v>
      </c>
      <c r="G302" s="54"/>
      <c r="H302" s="433" t="s">
        <v>2996</v>
      </c>
      <c r="I302" s="284"/>
      <c r="J302" s="2"/>
      <c r="K302" s="2"/>
      <c r="L302" s="139" t="s">
        <v>945</v>
      </c>
      <c r="M302" s="497" t="s">
        <v>946</v>
      </c>
      <c r="N302" s="2">
        <v>200000</v>
      </c>
      <c r="O302" s="139"/>
      <c r="P302" s="139" t="s">
        <v>947</v>
      </c>
      <c r="Q302" s="140" t="s">
        <v>948</v>
      </c>
      <c r="R302" s="140"/>
      <c r="S302" s="140"/>
      <c r="T302" s="140"/>
      <c r="U302" s="2"/>
      <c r="V302" s="680"/>
      <c r="W302" s="680"/>
    </row>
    <row r="303" spans="1:25" s="1" customFormat="1" ht="39" customHeight="1">
      <c r="A303" s="141"/>
      <c r="B303" s="193" t="s">
        <v>2990</v>
      </c>
      <c r="C303" s="69" t="s">
        <v>2994</v>
      </c>
      <c r="D303" s="15" t="s">
        <v>2993</v>
      </c>
      <c r="E303" s="60"/>
      <c r="F303" s="54"/>
      <c r="G303" s="54"/>
      <c r="H303" s="433" t="s">
        <v>2995</v>
      </c>
      <c r="I303" s="284"/>
      <c r="J303" s="2"/>
      <c r="K303" s="2"/>
      <c r="L303" s="139"/>
      <c r="M303" s="497"/>
      <c r="N303" s="2"/>
      <c r="O303" s="139"/>
      <c r="P303" s="139"/>
      <c r="Q303" s="140"/>
      <c r="R303" s="140"/>
      <c r="S303" s="140"/>
      <c r="T303" s="140"/>
      <c r="U303" s="2"/>
      <c r="V303" s="680"/>
      <c r="W303" s="680"/>
    </row>
    <row r="304" spans="1:25" s="1" customFormat="1" ht="66.75" customHeight="1">
      <c r="A304" s="141">
        <v>2</v>
      </c>
      <c r="B304" s="193" t="s">
        <v>426</v>
      </c>
      <c r="C304" s="69" t="s">
        <v>427</v>
      </c>
      <c r="D304" s="15" t="s">
        <v>703</v>
      </c>
      <c r="E304" s="60" t="s">
        <v>704</v>
      </c>
      <c r="F304" s="48">
        <v>7500</v>
      </c>
      <c r="G304" s="54" t="s">
        <v>949</v>
      </c>
      <c r="H304" s="433" t="s">
        <v>950</v>
      </c>
      <c r="I304" s="284"/>
      <c r="J304" s="284"/>
      <c r="K304" s="2"/>
      <c r="L304" s="2"/>
      <c r="M304" s="2"/>
      <c r="N304" s="2"/>
      <c r="O304" s="2"/>
      <c r="P304" s="2"/>
      <c r="Q304" s="50"/>
      <c r="R304" s="50"/>
      <c r="S304" s="50"/>
      <c r="T304" s="50"/>
      <c r="U304" s="2"/>
      <c r="V304" s="680"/>
      <c r="W304" s="680"/>
    </row>
    <row r="305" spans="1:23" s="1" customFormat="1" ht="72" customHeight="1">
      <c r="A305" s="141">
        <v>2</v>
      </c>
      <c r="B305" s="193" t="s">
        <v>426</v>
      </c>
      <c r="C305" s="69" t="s">
        <v>427</v>
      </c>
      <c r="D305" s="15" t="s">
        <v>951</v>
      </c>
      <c r="E305" s="60" t="s">
        <v>952</v>
      </c>
      <c r="F305" s="48">
        <v>7500</v>
      </c>
      <c r="G305" s="54" t="s">
        <v>949</v>
      </c>
      <c r="H305" s="433" t="s">
        <v>953</v>
      </c>
      <c r="I305" s="498" t="s">
        <v>954</v>
      </c>
      <c r="J305" s="284"/>
      <c r="K305" s="2"/>
      <c r="L305" s="2"/>
      <c r="M305" s="2"/>
      <c r="N305" s="2"/>
      <c r="O305" s="2"/>
      <c r="P305" s="2"/>
      <c r="Q305" s="50"/>
      <c r="R305" s="50"/>
      <c r="S305" s="50"/>
      <c r="T305" s="50"/>
      <c r="U305" s="2"/>
      <c r="V305" s="680"/>
      <c r="W305" s="680"/>
    </row>
    <row r="306" spans="1:23" s="1" customFormat="1" ht="165" customHeight="1">
      <c r="A306" s="141"/>
      <c r="B306" s="2367" t="s">
        <v>955</v>
      </c>
      <c r="C306" s="434"/>
      <c r="D306" s="2389" t="s">
        <v>956</v>
      </c>
      <c r="E306" s="2388">
        <v>44196</v>
      </c>
      <c r="F306" s="2385">
        <v>11809800</v>
      </c>
      <c r="G306" s="54"/>
      <c r="H306" s="2370" t="s">
        <v>957</v>
      </c>
      <c r="I306" s="284"/>
      <c r="J306" s="284" t="s">
        <v>958</v>
      </c>
      <c r="K306" s="139">
        <f>111000+177000+51700+10000</f>
        <v>349700</v>
      </c>
      <c r="L306" s="135" t="s">
        <v>959</v>
      </c>
      <c r="M306" s="497" t="s">
        <v>960</v>
      </c>
      <c r="N306" s="497">
        <f>111000+177000+51700+10000+50000+162300+162300+574000+200000+91000+333300</f>
        <v>1922600</v>
      </c>
      <c r="O306" s="497" t="s">
        <v>961</v>
      </c>
      <c r="P306" s="500" t="s">
        <v>2917</v>
      </c>
      <c r="Q306" s="574" t="s">
        <v>962</v>
      </c>
      <c r="R306" s="574"/>
      <c r="S306" s="574"/>
      <c r="T306" s="574"/>
      <c r="U306" s="512" t="s">
        <v>963</v>
      </c>
      <c r="V306" s="695"/>
      <c r="W306" s="695"/>
    </row>
    <row r="307" spans="1:23" s="1" customFormat="1" ht="75" customHeight="1">
      <c r="A307" s="141"/>
      <c r="B307" s="2386"/>
      <c r="C307" s="434"/>
      <c r="D307" s="2389"/>
      <c r="E307" s="2388"/>
      <c r="F307" s="2385"/>
      <c r="G307" s="54"/>
      <c r="H307" s="2370"/>
      <c r="I307" s="284"/>
      <c r="J307" s="284"/>
      <c r="K307" s="2"/>
      <c r="L307" s="139" t="s">
        <v>964</v>
      </c>
      <c r="M307" s="142" t="s">
        <v>965</v>
      </c>
      <c r="N307" s="501" t="s">
        <v>966</v>
      </c>
      <c r="O307" s="497" t="s">
        <v>967</v>
      </c>
      <c r="P307" s="502">
        <f>1230000+770000</f>
        <v>2000000</v>
      </c>
      <c r="Q307" s="573" t="s">
        <v>968</v>
      </c>
      <c r="R307" s="573"/>
      <c r="S307" s="573"/>
      <c r="T307" s="573"/>
      <c r="U307" s="512"/>
      <c r="V307" s="695"/>
      <c r="W307" s="695"/>
    </row>
    <row r="308" spans="1:23" s="1" customFormat="1" ht="78.75" customHeight="1">
      <c r="A308" s="2"/>
      <c r="B308" s="2386"/>
      <c r="C308" s="2349" t="s">
        <v>969</v>
      </c>
      <c r="D308" s="2389"/>
      <c r="E308" s="2388"/>
      <c r="F308" s="2385"/>
      <c r="G308" s="48"/>
      <c r="H308" s="2370"/>
      <c r="I308" s="284"/>
      <c r="J308" s="284"/>
      <c r="K308" s="139">
        <f>674150+280900+337080+786000+449500+786500+393250</f>
        <v>3707380</v>
      </c>
      <c r="L308" s="139" t="s">
        <v>970</v>
      </c>
      <c r="M308" s="142" t="s">
        <v>971</v>
      </c>
      <c r="N308" s="2">
        <f>674150+449500+786500+393250+280900+337080</f>
        <v>2921380</v>
      </c>
      <c r="O308" s="503" t="s">
        <v>972</v>
      </c>
      <c r="P308" s="504" t="s">
        <v>3202</v>
      </c>
      <c r="Q308" s="642" t="s">
        <v>973</v>
      </c>
      <c r="R308" s="837"/>
      <c r="S308" s="837"/>
      <c r="T308" s="642"/>
      <c r="U308" s="654"/>
      <c r="V308" s="707"/>
      <c r="W308" s="707"/>
    </row>
    <row r="309" spans="1:23" s="1" customFormat="1" ht="27.75" customHeight="1">
      <c r="A309" s="2"/>
      <c r="B309" s="2386"/>
      <c r="C309" s="2349"/>
      <c r="D309" s="15" t="s">
        <v>974</v>
      </c>
      <c r="E309" s="387">
        <v>44196</v>
      </c>
      <c r="F309" s="331" t="s">
        <v>975</v>
      </c>
      <c r="G309" s="48"/>
      <c r="H309" s="499" t="s">
        <v>976</v>
      </c>
      <c r="I309" s="284"/>
      <c r="J309" s="284"/>
      <c r="K309" s="2"/>
      <c r="L309" s="280"/>
      <c r="M309" s="280"/>
      <c r="N309" s="349"/>
      <c r="O309" s="505"/>
      <c r="P309" s="349"/>
      <c r="Q309" s="50"/>
      <c r="R309" s="50"/>
      <c r="S309" s="50"/>
      <c r="T309" s="50"/>
      <c r="U309" s="2"/>
      <c r="V309" s="680"/>
      <c r="W309" s="680"/>
    </row>
    <row r="310" spans="1:23" s="1" customFormat="1" ht="44.25" customHeight="1">
      <c r="A310" s="2"/>
      <c r="B310" s="506"/>
      <c r="C310" s="2349"/>
      <c r="D310" s="507" t="s">
        <v>977</v>
      </c>
      <c r="E310" s="387"/>
      <c r="F310" s="331" t="s">
        <v>978</v>
      </c>
      <c r="G310" s="48"/>
      <c r="H310" s="499"/>
      <c r="I310" s="284"/>
      <c r="J310" s="284"/>
      <c r="K310" s="2"/>
      <c r="L310" s="135"/>
      <c r="M310" s="497"/>
      <c r="N310" s="497"/>
      <c r="O310" s="497"/>
      <c r="P310" s="497"/>
      <c r="Q310" s="574"/>
      <c r="R310" s="574"/>
      <c r="S310" s="574"/>
      <c r="T310" s="574"/>
      <c r="U310" s="2"/>
      <c r="V310" s="680"/>
      <c r="W310" s="680"/>
    </row>
    <row r="311" spans="1:23" s="1" customFormat="1" ht="63.75" customHeight="1">
      <c r="A311" s="2">
        <v>3</v>
      </c>
      <c r="B311" s="507"/>
      <c r="C311" s="45" t="s">
        <v>979</v>
      </c>
      <c r="D311" s="236" t="s">
        <v>980</v>
      </c>
      <c r="E311" s="387" t="s">
        <v>712</v>
      </c>
      <c r="F311" s="339" t="s">
        <v>981</v>
      </c>
      <c r="G311" s="48"/>
      <c r="H311" s="432" t="s">
        <v>982</v>
      </c>
      <c r="I311" s="284"/>
      <c r="J311" s="141"/>
      <c r="K311" s="2"/>
      <c r="L311" s="2"/>
      <c r="M311" s="438"/>
      <c r="N311" s="439"/>
      <c r="O311" s="440"/>
      <c r="P311" s="2"/>
      <c r="Q311" s="50"/>
      <c r="R311" s="50"/>
      <c r="S311" s="50"/>
      <c r="T311" s="50"/>
      <c r="U311" s="2"/>
      <c r="V311" s="680"/>
      <c r="W311" s="680"/>
    </row>
    <row r="312" spans="1:23" s="1" customFormat="1" ht="48.75" customHeight="1">
      <c r="A312" s="2"/>
      <c r="B312" s="2351" t="s">
        <v>612</v>
      </c>
      <c r="C312" s="2352" t="s">
        <v>613</v>
      </c>
      <c r="D312" s="236" t="s">
        <v>836</v>
      </c>
      <c r="E312" s="387"/>
      <c r="F312" s="339" t="s">
        <v>837</v>
      </c>
      <c r="G312" s="48" t="s">
        <v>838</v>
      </c>
      <c r="H312" s="339"/>
      <c r="I312" s="284"/>
      <c r="J312" s="141"/>
      <c r="K312" s="443"/>
      <c r="L312" s="443"/>
      <c r="M312" s="438"/>
      <c r="N312" s="439"/>
      <c r="O312" s="440"/>
      <c r="P312" s="2"/>
      <c r="Q312" s="50"/>
      <c r="R312" s="50"/>
      <c r="S312" s="50"/>
      <c r="T312" s="50"/>
      <c r="U312" s="2"/>
      <c r="V312" s="680"/>
      <c r="W312" s="680"/>
    </row>
    <row r="313" spans="1:23" s="1" customFormat="1" ht="48.75" customHeight="1">
      <c r="A313" s="2"/>
      <c r="B313" s="2351"/>
      <c r="C313" s="2352"/>
      <c r="D313" s="508" t="s">
        <v>983</v>
      </c>
      <c r="E313" s="387"/>
      <c r="F313" s="339"/>
      <c r="G313" s="48"/>
      <c r="H313" s="339" t="s">
        <v>984</v>
      </c>
      <c r="I313" s="284"/>
      <c r="J313" s="141"/>
      <c r="K313" s="443"/>
      <c r="L313" s="443"/>
      <c r="M313" s="438"/>
      <c r="N313" s="439"/>
      <c r="O313" s="440"/>
      <c r="P313" s="2"/>
      <c r="Q313" s="50"/>
      <c r="R313" s="50"/>
      <c r="S313" s="50"/>
      <c r="T313" s="50"/>
      <c r="U313" s="2"/>
      <c r="V313" s="680"/>
      <c r="W313" s="680"/>
    </row>
    <row r="314" spans="1:23" s="1" customFormat="1" ht="59.25" customHeight="1">
      <c r="A314" s="2">
        <v>4</v>
      </c>
      <c r="B314" s="2351"/>
      <c r="C314" s="2352"/>
      <c r="D314" s="335" t="s">
        <v>839</v>
      </c>
      <c r="E314" s="139" t="s">
        <v>840</v>
      </c>
      <c r="F314" s="337" t="s">
        <v>841</v>
      </c>
      <c r="G314" s="388" t="s">
        <v>985</v>
      </c>
      <c r="H314" s="437" t="s">
        <v>986</v>
      </c>
      <c r="I314" s="2"/>
      <c r="J314" s="444">
        <v>43741</v>
      </c>
      <c r="K314" s="2"/>
      <c r="L314" s="2"/>
      <c r="M314" s="50"/>
      <c r="N314" s="2"/>
      <c r="O314" s="2"/>
      <c r="P314" s="2"/>
      <c r="Q314" s="50"/>
      <c r="R314" s="50"/>
      <c r="S314" s="50"/>
      <c r="T314" s="50"/>
      <c r="U314" s="2"/>
      <c r="V314" s="680"/>
      <c r="W314" s="680"/>
    </row>
    <row r="315" spans="1:23" s="1" customFormat="1" ht="26.25" customHeight="1">
      <c r="A315" s="2472">
        <v>6</v>
      </c>
      <c r="B315" s="2358" t="s">
        <v>737</v>
      </c>
      <c r="C315" s="2392" t="s">
        <v>488</v>
      </c>
      <c r="D315" s="25" t="s">
        <v>738</v>
      </c>
      <c r="E315" s="25" t="s">
        <v>490</v>
      </c>
      <c r="F315" s="2387">
        <v>9000</v>
      </c>
      <c r="G315" s="34" t="s">
        <v>491</v>
      </c>
      <c r="H315" s="35"/>
      <c r="I315" s="55"/>
      <c r="J315" s="30"/>
      <c r="K315" s="2"/>
      <c r="M315" s="50"/>
      <c r="N315" s="2"/>
      <c r="O315" s="2"/>
      <c r="P315" s="2"/>
      <c r="Q315" s="50"/>
      <c r="R315" s="50"/>
      <c r="S315" s="50"/>
      <c r="T315" s="50"/>
      <c r="U315" s="2"/>
      <c r="V315" s="680"/>
      <c r="W315" s="680"/>
    </row>
    <row r="316" spans="1:23" s="1" customFormat="1" ht="93.75" customHeight="1">
      <c r="A316" s="2472"/>
      <c r="B316" s="2358"/>
      <c r="C316" s="2392"/>
      <c r="D316" s="38" t="s">
        <v>739</v>
      </c>
      <c r="E316" s="25" t="s">
        <v>493</v>
      </c>
      <c r="F316" s="2387"/>
      <c r="G316" s="34" t="s">
        <v>987</v>
      </c>
      <c r="H316" s="449" t="s">
        <v>988</v>
      </c>
      <c r="I316" s="267"/>
      <c r="J316" s="396" t="s">
        <v>743</v>
      </c>
      <c r="K316" s="138">
        <v>43191</v>
      </c>
      <c r="L316" s="138"/>
      <c r="M316" s="50"/>
      <c r="N316" s="2"/>
      <c r="O316" s="2"/>
      <c r="P316" s="2"/>
      <c r="Q316" s="50"/>
      <c r="R316" s="50"/>
      <c r="S316" s="50"/>
      <c r="T316" s="50"/>
      <c r="U316" s="2"/>
      <c r="V316" s="680"/>
      <c r="W316" s="680"/>
    </row>
    <row r="317" spans="1:23" s="1" customFormat="1" ht="54.75" customHeight="1">
      <c r="A317" s="141">
        <v>7</v>
      </c>
      <c r="B317" s="193" t="s">
        <v>748</v>
      </c>
      <c r="C317" s="54" t="s">
        <v>639</v>
      </c>
      <c r="D317" s="355" t="s">
        <v>640</v>
      </c>
      <c r="E317" s="33" t="s">
        <v>641</v>
      </c>
      <c r="F317" s="285">
        <v>7000</v>
      </c>
      <c r="G317" s="54" t="s">
        <v>989</v>
      </c>
      <c r="H317" s="449" t="s">
        <v>990</v>
      </c>
      <c r="I317" s="400"/>
      <c r="J317" s="401"/>
      <c r="K317" s="2"/>
      <c r="L317" s="2"/>
      <c r="M317" s="50"/>
      <c r="N317" s="2"/>
      <c r="O317" s="2"/>
      <c r="P317" s="2"/>
      <c r="Q317" s="50"/>
      <c r="R317" s="50"/>
      <c r="S317" s="50"/>
      <c r="T317" s="50"/>
      <c r="U317" s="2"/>
      <c r="V317" s="680"/>
      <c r="W317" s="680"/>
    </row>
    <row r="318" spans="1:23" s="1" customFormat="1" ht="54.75" customHeight="1">
      <c r="A318" s="141"/>
      <c r="B318" s="2390" t="s">
        <v>852</v>
      </c>
      <c r="C318" s="54" t="s">
        <v>853</v>
      </c>
      <c r="D318" s="180" t="s">
        <v>991</v>
      </c>
      <c r="E318" s="33" t="s">
        <v>992</v>
      </c>
      <c r="F318" s="180" t="s">
        <v>856</v>
      </c>
      <c r="G318" s="54"/>
      <c r="H318" s="449" t="s">
        <v>993</v>
      </c>
      <c r="I318" s="400"/>
      <c r="J318" s="509" t="s">
        <v>567</v>
      </c>
      <c r="K318" s="141"/>
      <c r="L318" s="141"/>
      <c r="M318" s="510"/>
      <c r="N318" s="511"/>
      <c r="O318" s="512"/>
      <c r="P318" s="139"/>
      <c r="Q318" s="140"/>
      <c r="R318" s="140"/>
      <c r="S318" s="140"/>
      <c r="T318" s="140"/>
      <c r="U318" s="2"/>
      <c r="V318" s="680"/>
      <c r="W318" s="680"/>
    </row>
    <row r="319" spans="1:23" s="1" customFormat="1" ht="54.75" customHeight="1">
      <c r="A319" s="141"/>
      <c r="B319" s="2390"/>
      <c r="C319" s="54" t="s">
        <v>994</v>
      </c>
      <c r="D319" s="180" t="s">
        <v>995</v>
      </c>
      <c r="E319" s="33" t="s">
        <v>996</v>
      </c>
      <c r="F319" s="180"/>
      <c r="G319" s="54"/>
      <c r="H319" s="513">
        <v>495236.93</v>
      </c>
      <c r="I319" s="514" t="s">
        <v>997</v>
      </c>
      <c r="J319" s="515" t="s">
        <v>998</v>
      </c>
      <c r="K319" s="2"/>
      <c r="L319" s="139" t="s">
        <v>999</v>
      </c>
      <c r="M319" s="140" t="s">
        <v>1000</v>
      </c>
      <c r="N319" s="516">
        <f>277700+55500</f>
        <v>333200</v>
      </c>
      <c r="O319" s="512"/>
      <c r="P319" s="139">
        <f>277700+55500</f>
        <v>333200</v>
      </c>
      <c r="Q319" s="140" t="s">
        <v>1001</v>
      </c>
      <c r="R319" s="140"/>
      <c r="S319" s="140"/>
      <c r="T319" s="140"/>
      <c r="U319" s="2"/>
      <c r="V319" s="680"/>
      <c r="W319" s="680"/>
    </row>
    <row r="320" spans="1:23" s="1" customFormat="1" ht="64.5" customHeight="1">
      <c r="A320" s="141"/>
      <c r="B320" s="193" t="s">
        <v>1002</v>
      </c>
      <c r="C320" s="69" t="s">
        <v>1003</v>
      </c>
      <c r="D320" s="180" t="s">
        <v>1004</v>
      </c>
      <c r="E320" s="33" t="s">
        <v>1005</v>
      </c>
      <c r="F320" s="517" t="s">
        <v>1006</v>
      </c>
      <c r="G320" s="54"/>
      <c r="H320" s="449" t="s">
        <v>1007</v>
      </c>
      <c r="I320" s="400" t="s">
        <v>1008</v>
      </c>
      <c r="J320" s="401"/>
      <c r="K320" s="2"/>
      <c r="L320" s="2"/>
      <c r="M320" s="50"/>
      <c r="N320" s="2"/>
      <c r="O320" s="2"/>
      <c r="P320" s="2"/>
      <c r="Q320" s="50"/>
      <c r="R320" s="50"/>
      <c r="S320" s="50"/>
      <c r="T320" s="50"/>
      <c r="U320" s="2"/>
      <c r="V320" s="680"/>
      <c r="W320" s="680"/>
    </row>
    <row r="321" spans="1:23" s="1" customFormat="1" ht="50.25" customHeight="1">
      <c r="A321" s="2"/>
      <c r="B321" s="193" t="s">
        <v>1009</v>
      </c>
      <c r="C321" s="69" t="s">
        <v>1010</v>
      </c>
      <c r="D321" s="180" t="s">
        <v>1011</v>
      </c>
      <c r="E321" s="33" t="s">
        <v>1012</v>
      </c>
      <c r="F321" s="518" t="s">
        <v>1013</v>
      </c>
      <c r="G321" s="54"/>
      <c r="H321" s="519" t="s">
        <v>1014</v>
      </c>
      <c r="I321" s="520"/>
      <c r="J321" s="401"/>
      <c r="K321" s="2"/>
      <c r="L321" s="141" t="s">
        <v>1015</v>
      </c>
      <c r="M321" s="140" t="s">
        <v>1016</v>
      </c>
      <c r="N321" s="262" t="s">
        <v>1017</v>
      </c>
      <c r="O321" s="2"/>
      <c r="P321" s="262">
        <v>167000</v>
      </c>
      <c r="Q321" s="643" t="s">
        <v>1018</v>
      </c>
      <c r="R321" s="643"/>
      <c r="S321" s="643"/>
      <c r="T321" s="643"/>
      <c r="U321" s="2"/>
      <c r="V321" s="680"/>
      <c r="W321" s="680"/>
    </row>
    <row r="322" spans="1:23" s="1" customFormat="1" ht="56.25" customHeight="1">
      <c r="A322" s="141">
        <v>8</v>
      </c>
      <c r="B322" s="193" t="s">
        <v>3307</v>
      </c>
      <c r="C322" s="54" t="s">
        <v>515</v>
      </c>
      <c r="D322" s="180" t="s">
        <v>752</v>
      </c>
      <c r="E322" s="33"/>
      <c r="F322" s="285">
        <v>30704</v>
      </c>
      <c r="G322" s="334" t="s">
        <v>1019</v>
      </c>
      <c r="H322" s="353" t="s">
        <v>3306</v>
      </c>
      <c r="I322" s="267"/>
      <c r="J322" s="398" t="s">
        <v>1020</v>
      </c>
      <c r="K322" s="521" t="s">
        <v>756</v>
      </c>
      <c r="L322" s="403"/>
      <c r="M322" s="50"/>
      <c r="N322" s="2"/>
      <c r="O322" s="2"/>
      <c r="P322" s="2"/>
      <c r="Q322" s="50"/>
      <c r="R322" s="50"/>
      <c r="S322" s="50"/>
      <c r="T322" s="50"/>
      <c r="U322" s="2"/>
      <c r="V322" s="680"/>
      <c r="W322" s="680"/>
    </row>
    <row r="323" spans="1:23" ht="72">
      <c r="A323" s="2"/>
      <c r="B323" s="15" t="s">
        <v>1021</v>
      </c>
      <c r="C323" s="139" t="s">
        <v>1022</v>
      </c>
      <c r="D323" s="139" t="s">
        <v>1023</v>
      </c>
      <c r="E323" s="139" t="s">
        <v>1024</v>
      </c>
      <c r="F323" s="2" t="s">
        <v>1025</v>
      </c>
      <c r="G323" s="2"/>
      <c r="H323" s="192" t="s">
        <v>3093</v>
      </c>
      <c r="I323" s="2"/>
      <c r="J323" s="2"/>
      <c r="K323" s="2"/>
      <c r="L323" s="2"/>
      <c r="M323" s="50"/>
      <c r="N323" s="2"/>
      <c r="O323" s="2"/>
      <c r="P323" s="2"/>
      <c r="Q323" s="50"/>
      <c r="R323" s="50"/>
      <c r="S323" s="50"/>
      <c r="T323" s="50"/>
      <c r="U323" s="2"/>
    </row>
    <row r="324" spans="1:23" s="1" customFormat="1" ht="33.75" customHeight="1">
      <c r="A324" s="2471">
        <v>10</v>
      </c>
      <c r="B324" s="2350" t="s">
        <v>766</v>
      </c>
      <c r="C324" s="358"/>
      <c r="D324" s="15" t="s">
        <v>868</v>
      </c>
      <c r="E324" s="236"/>
      <c r="F324" s="286"/>
      <c r="G324" s="455"/>
      <c r="H324" s="283" t="s">
        <v>869</v>
      </c>
      <c r="I324" s="297"/>
      <c r="J324" s="454"/>
      <c r="K324" s="138"/>
      <c r="L324" s="138"/>
      <c r="M324" s="50"/>
      <c r="N324" s="16"/>
      <c r="O324" s="2"/>
      <c r="P324" s="2"/>
      <c r="Q324" s="50"/>
      <c r="R324" s="50"/>
      <c r="S324" s="50"/>
      <c r="T324" s="50"/>
      <c r="U324" s="2"/>
      <c r="V324" s="680"/>
      <c r="W324" s="680"/>
    </row>
    <row r="325" spans="1:23" s="1" customFormat="1" ht="36" customHeight="1">
      <c r="A325" s="2471"/>
      <c r="B325" s="2350"/>
      <c r="C325" s="456" t="s">
        <v>767</v>
      </c>
      <c r="D325" s="405" t="s">
        <v>768</v>
      </c>
      <c r="E325" s="33" t="s">
        <v>769</v>
      </c>
      <c r="F325" s="194" t="s">
        <v>770</v>
      </c>
      <c r="G325" s="283" t="s">
        <v>1026</v>
      </c>
      <c r="H325" s="437" t="s">
        <v>2875</v>
      </c>
      <c r="I325" s="364"/>
      <c r="J325" s="2"/>
      <c r="K325" s="2"/>
      <c r="L325" s="2"/>
      <c r="M325" s="140"/>
      <c r="N325" s="2"/>
      <c r="O325" s="2"/>
      <c r="P325" s="2"/>
      <c r="Q325" s="50"/>
      <c r="R325" s="50"/>
      <c r="S325" s="50"/>
      <c r="T325" s="50"/>
      <c r="U325" s="2"/>
      <c r="V325" s="680"/>
      <c r="W325" s="680"/>
    </row>
    <row r="326" spans="1:23" s="1" customFormat="1" ht="53.25" customHeight="1">
      <c r="A326" s="522"/>
      <c r="B326" s="2351" t="s">
        <v>889</v>
      </c>
      <c r="C326" s="2352" t="s">
        <v>890</v>
      </c>
      <c r="D326" s="15" t="s">
        <v>1027</v>
      </c>
      <c r="E326" s="523" t="s">
        <v>1028</v>
      </c>
      <c r="F326" s="33" t="s">
        <v>1029</v>
      </c>
      <c r="G326" s="283"/>
      <c r="H326" s="524"/>
      <c r="I326" s="525"/>
      <c r="J326" s="436"/>
      <c r="K326" s="2"/>
      <c r="L326" s="526" t="s">
        <v>1030</v>
      </c>
      <c r="M326" s="527" t="s">
        <v>1031</v>
      </c>
      <c r="N326" s="139">
        <v>200000</v>
      </c>
      <c r="O326" s="528"/>
      <c r="P326" s="529">
        <v>200000</v>
      </c>
      <c r="Q326" s="644" t="s">
        <v>1032</v>
      </c>
      <c r="R326" s="644"/>
      <c r="S326" s="644"/>
      <c r="T326" s="644"/>
      <c r="U326" s="2"/>
      <c r="V326" s="680"/>
      <c r="W326" s="680"/>
    </row>
    <row r="327" spans="1:23" s="1" customFormat="1" ht="36.75" customHeight="1">
      <c r="A327" s="464">
        <v>12</v>
      </c>
      <c r="B327" s="2351"/>
      <c r="C327" s="2352"/>
      <c r="D327" s="467" t="s">
        <v>1033</v>
      </c>
      <c r="E327" s="468" t="s">
        <v>1034</v>
      </c>
      <c r="F327" s="477" t="s">
        <v>1035</v>
      </c>
      <c r="G327" s="689" t="s">
        <v>1036</v>
      </c>
      <c r="H327" s="530" t="s">
        <v>1037</v>
      </c>
      <c r="I327" s="472"/>
      <c r="J327" s="473"/>
      <c r="K327" s="391"/>
      <c r="L327" s="526" t="s">
        <v>1038</v>
      </c>
      <c r="M327" s="527" t="s">
        <v>1031</v>
      </c>
      <c r="N327" s="139">
        <f>133300+233820</f>
        <v>367120</v>
      </c>
      <c r="O327" s="528"/>
      <c r="P327" s="528" t="s">
        <v>1039</v>
      </c>
      <c r="Q327" s="527" t="s">
        <v>1040</v>
      </c>
      <c r="R327" s="527"/>
      <c r="S327" s="527"/>
      <c r="T327" s="527"/>
      <c r="U327" s="2"/>
      <c r="V327" s="680"/>
      <c r="W327" s="680"/>
    </row>
    <row r="328" spans="1:23" s="1" customFormat="1" ht="54.75" customHeight="1">
      <c r="A328" s="379">
        <v>13</v>
      </c>
      <c r="B328" s="478" t="s">
        <v>901</v>
      </c>
      <c r="C328" s="334" t="s">
        <v>902</v>
      </c>
      <c r="D328" s="335" t="s">
        <v>1041</v>
      </c>
      <c r="E328" s="482" t="s">
        <v>1042</v>
      </c>
      <c r="F328" s="477" t="s">
        <v>1043</v>
      </c>
      <c r="G328" s="338" t="s">
        <v>3143</v>
      </c>
      <c r="H328" s="437" t="s">
        <v>1044</v>
      </c>
      <c r="I328" s="284"/>
      <c r="J328" s="531" t="s">
        <v>907</v>
      </c>
      <c r="K328" s="391"/>
      <c r="L328" s="532" t="s">
        <v>1045</v>
      </c>
      <c r="M328" s="140" t="s">
        <v>2973</v>
      </c>
      <c r="N328" s="139" t="s">
        <v>3037</v>
      </c>
      <c r="O328" s="139"/>
      <c r="P328" s="139" t="s">
        <v>1046</v>
      </c>
      <c r="Q328" s="140" t="s">
        <v>2966</v>
      </c>
      <c r="R328" s="140"/>
      <c r="S328" s="140"/>
      <c r="T328" s="140"/>
      <c r="U328" s="2"/>
      <c r="V328" s="680"/>
      <c r="W328" s="680"/>
    </row>
    <row r="329" spans="1:23" ht="27.75" customHeight="1">
      <c r="A329" s="379">
        <v>15</v>
      </c>
      <c r="B329" s="366" t="s">
        <v>912</v>
      </c>
      <c r="C329" s="367" t="s">
        <v>913</v>
      </c>
      <c r="D329" s="116" t="s">
        <v>1047</v>
      </c>
      <c r="E329" s="70" t="s">
        <v>1048</v>
      </c>
      <c r="F329" s="286" t="s">
        <v>1049</v>
      </c>
      <c r="G329" s="48"/>
      <c r="H329" s="386" t="s">
        <v>1050</v>
      </c>
      <c r="I329" s="533"/>
      <c r="J329" s="297"/>
      <c r="K329" s="138"/>
      <c r="L329" s="138"/>
      <c r="M329" s="50"/>
      <c r="N329" s="2"/>
      <c r="O329" s="2"/>
      <c r="P329" s="2"/>
      <c r="Q329" s="50"/>
      <c r="R329" s="50"/>
      <c r="S329" s="50"/>
      <c r="T329" s="50"/>
      <c r="U329" s="2"/>
    </row>
    <row r="330" spans="1:23" s="1" customFormat="1" ht="62.25" customHeight="1">
      <c r="A330" s="379">
        <v>14</v>
      </c>
      <c r="B330" s="442" t="s">
        <v>908</v>
      </c>
      <c r="C330" s="483" t="s">
        <v>909</v>
      </c>
      <c r="D330" s="484" t="s">
        <v>785</v>
      </c>
      <c r="E330" s="236" t="s">
        <v>786</v>
      </c>
      <c r="F330" s="344">
        <v>15600</v>
      </c>
      <c r="G330" s="485" t="s">
        <v>1051</v>
      </c>
      <c r="H330" s="534" t="s">
        <v>1052</v>
      </c>
      <c r="I330" s="487"/>
      <c r="J330" s="535" t="s">
        <v>789</v>
      </c>
      <c r="K330" s="349"/>
      <c r="M330" s="50"/>
      <c r="N330" s="2"/>
      <c r="O330" s="2"/>
      <c r="P330" s="2"/>
      <c r="Q330" s="50"/>
      <c r="R330" s="50"/>
      <c r="S330" s="50"/>
      <c r="T330" s="50"/>
      <c r="U330" s="2"/>
      <c r="V330" s="680"/>
      <c r="W330" s="680"/>
    </row>
    <row r="331" spans="1:23" s="1" customFormat="1" ht="39" customHeight="1">
      <c r="A331" s="141">
        <v>11</v>
      </c>
      <c r="B331" s="2353" t="s">
        <v>539</v>
      </c>
      <c r="C331" s="367" t="s">
        <v>3403</v>
      </c>
      <c r="D331" s="268" t="s">
        <v>1053</v>
      </c>
      <c r="E331" s="25" t="s">
        <v>17</v>
      </c>
      <c r="F331" s="286">
        <v>11900</v>
      </c>
      <c r="G331" s="54" t="s">
        <v>1054</v>
      </c>
      <c r="H331" s="463" t="s">
        <v>1055</v>
      </c>
      <c r="I331" s="297" t="s">
        <v>1056</v>
      </c>
      <c r="J331" s="2" t="s">
        <v>1057</v>
      </c>
      <c r="K331" s="2"/>
      <c r="L331" s="2"/>
      <c r="M331" s="50"/>
      <c r="N331" s="2"/>
      <c r="O331" s="2"/>
      <c r="P331" s="2"/>
      <c r="Q331" s="50"/>
      <c r="R331" s="50"/>
      <c r="S331" s="50"/>
      <c r="T331" s="50"/>
      <c r="U331" s="2"/>
      <c r="V331" s="680"/>
      <c r="W331" s="680"/>
    </row>
    <row r="332" spans="1:23" s="1" customFormat="1" ht="39" customHeight="1">
      <c r="A332" s="141">
        <v>11</v>
      </c>
      <c r="B332" s="2353"/>
      <c r="C332" s="367" t="s">
        <v>888</v>
      </c>
      <c r="D332" s="268" t="s">
        <v>215</v>
      </c>
      <c r="E332" s="25"/>
      <c r="F332" s="286">
        <v>38000</v>
      </c>
      <c r="G332" s="54"/>
      <c r="H332" s="536"/>
      <c r="I332" s="297"/>
      <c r="J332" s="2"/>
      <c r="K332" s="2"/>
      <c r="L332" s="2"/>
      <c r="M332" s="50"/>
      <c r="N332" s="2"/>
      <c r="O332" s="2"/>
      <c r="P332" s="2"/>
      <c r="Q332" s="50"/>
      <c r="R332" s="50"/>
      <c r="S332" s="50"/>
      <c r="T332" s="50"/>
      <c r="U332" s="2"/>
      <c r="V332" s="680"/>
      <c r="W332" s="680"/>
    </row>
    <row r="333" spans="1:23" s="1" customFormat="1" ht="49.5" customHeight="1">
      <c r="A333" s="2"/>
      <c r="B333" s="180" t="s">
        <v>1058</v>
      </c>
      <c r="C333" s="139" t="s">
        <v>1059</v>
      </c>
      <c r="D333" s="15" t="s">
        <v>1060</v>
      </c>
      <c r="E333" s="537" t="s">
        <v>1061</v>
      </c>
      <c r="F333" s="15" t="s">
        <v>1062</v>
      </c>
      <c r="G333" s="2" t="s">
        <v>1063</v>
      </c>
      <c r="H333" s="262" t="s">
        <v>1064</v>
      </c>
      <c r="I333" s="2" t="s">
        <v>1065</v>
      </c>
      <c r="J333" s="2"/>
      <c r="K333" s="2"/>
      <c r="L333" s="139" t="s">
        <v>2919</v>
      </c>
      <c r="M333" s="140">
        <f>167000+120000+113300</f>
        <v>400300</v>
      </c>
      <c r="N333" s="2" t="s">
        <v>2930</v>
      </c>
      <c r="O333" s="2"/>
      <c r="P333" s="262" t="s">
        <v>1066</v>
      </c>
      <c r="Q333" s="643" t="s">
        <v>2918</v>
      </c>
      <c r="R333" s="643"/>
      <c r="S333" s="643"/>
      <c r="T333" s="643"/>
      <c r="U333" s="2"/>
      <c r="V333" s="680"/>
      <c r="W333" s="680"/>
    </row>
    <row r="334" spans="1:23" s="1" customFormat="1" ht="48">
      <c r="A334" s="2"/>
      <c r="B334" s="538" t="s">
        <v>1067</v>
      </c>
      <c r="C334" s="139" t="s">
        <v>1068</v>
      </c>
      <c r="D334" s="2" t="s">
        <v>2916</v>
      </c>
      <c r="E334" s="139" t="s">
        <v>1069</v>
      </c>
      <c r="F334" s="2" t="s">
        <v>1070</v>
      </c>
      <c r="G334" s="2"/>
      <c r="H334" s="2"/>
      <c r="I334" s="2"/>
      <c r="J334" s="2"/>
      <c r="K334" s="2"/>
      <c r="L334" s="2"/>
      <c r="M334" s="50"/>
      <c r="N334" s="2"/>
      <c r="O334" s="2"/>
      <c r="P334" s="2"/>
      <c r="Q334" s="50"/>
      <c r="R334" s="50"/>
      <c r="S334" s="50"/>
      <c r="T334" s="50"/>
      <c r="U334" s="2"/>
      <c r="V334" s="680"/>
      <c r="W334" s="680"/>
    </row>
    <row r="335" spans="1:23" s="1" customFormat="1" ht="48" customHeight="1">
      <c r="A335" s="2"/>
      <c r="B335" s="2353" t="s">
        <v>1071</v>
      </c>
      <c r="C335" s="2354" t="s">
        <v>1072</v>
      </c>
      <c r="D335" s="2354" t="s">
        <v>1073</v>
      </c>
      <c r="E335" s="139"/>
      <c r="F335" s="2"/>
      <c r="G335" s="2"/>
      <c r="H335" s="2"/>
      <c r="I335" s="2"/>
      <c r="J335" s="2"/>
      <c r="K335" s="2"/>
      <c r="L335" s="139" t="s">
        <v>2920</v>
      </c>
      <c r="M335" s="50"/>
      <c r="N335" s="2">
        <v>393200</v>
      </c>
      <c r="O335" s="2" t="s">
        <v>1074</v>
      </c>
      <c r="P335" s="2">
        <v>393200</v>
      </c>
      <c r="Q335" s="50" t="s">
        <v>1032</v>
      </c>
      <c r="R335" s="50"/>
      <c r="S335" s="50"/>
      <c r="T335" s="50"/>
      <c r="U335" s="2"/>
      <c r="V335" s="680"/>
      <c r="W335" s="680"/>
    </row>
    <row r="336" spans="1:23" ht="133.5" customHeight="1">
      <c r="A336" s="2"/>
      <c r="B336" s="2353"/>
      <c r="C336" s="2354"/>
      <c r="D336" s="2354"/>
      <c r="E336" s="139" t="s">
        <v>1075</v>
      </c>
      <c r="F336" s="139" t="s">
        <v>1076</v>
      </c>
      <c r="G336" s="2"/>
      <c r="H336" s="262" t="s">
        <v>1077</v>
      </c>
      <c r="I336" s="2"/>
      <c r="J336" s="2">
        <f>K336-N336</f>
        <v>102400</v>
      </c>
      <c r="K336" s="2">
        <v>1470000</v>
      </c>
      <c r="L336" s="139" t="s">
        <v>1078</v>
      </c>
      <c r="M336" s="50" t="s">
        <v>1015</v>
      </c>
      <c r="N336" s="139">
        <f>555500+168000+253300+102200+288600</f>
        <v>1367600</v>
      </c>
      <c r="O336" s="489" t="s">
        <v>1079</v>
      </c>
      <c r="P336" s="139" t="s">
        <v>1080</v>
      </c>
      <c r="Q336" s="645" t="s">
        <v>1081</v>
      </c>
      <c r="R336" s="645"/>
      <c r="S336" s="645"/>
      <c r="T336" s="645"/>
      <c r="U336" s="2"/>
    </row>
    <row r="337" spans="1:34" ht="2.25" customHeight="1">
      <c r="A337" s="2"/>
      <c r="B337" s="2353" t="s">
        <v>1082</v>
      </c>
      <c r="C337" s="2349" t="s">
        <v>1083</v>
      </c>
      <c r="D337" s="539"/>
      <c r="E337" s="139"/>
      <c r="F337" s="139"/>
      <c r="G337" s="2"/>
      <c r="H337" s="262"/>
      <c r="I337" s="2"/>
      <c r="J337" s="2"/>
      <c r="K337" s="139"/>
      <c r="L337" s="172"/>
      <c r="M337" s="464"/>
      <c r="N337" s="172"/>
      <c r="O337" s="489"/>
      <c r="P337" s="172"/>
      <c r="Q337" s="646"/>
      <c r="R337" s="646"/>
      <c r="S337" s="646"/>
      <c r="T337" s="646"/>
      <c r="U337" s="2"/>
    </row>
    <row r="338" spans="1:34" ht="96.75" customHeight="1">
      <c r="A338" s="2"/>
      <c r="B338" s="2353"/>
      <c r="C338" s="2349"/>
      <c r="D338" s="45" t="s">
        <v>1084</v>
      </c>
      <c r="E338" s="139" t="s">
        <v>1085</v>
      </c>
      <c r="F338" s="540" t="s">
        <v>1086</v>
      </c>
      <c r="G338" s="2"/>
      <c r="H338" s="139" t="s">
        <v>1087</v>
      </c>
      <c r="I338" s="2"/>
      <c r="J338" s="2"/>
      <c r="K338" s="2"/>
      <c r="L338" s="541" t="s">
        <v>1088</v>
      </c>
      <c r="M338" s="542" t="s">
        <v>1089</v>
      </c>
      <c r="N338" s="543">
        <f>209830+78000+200000+120000+145980+133300+222500</f>
        <v>1109610</v>
      </c>
      <c r="O338" s="541" t="s">
        <v>1090</v>
      </c>
      <c r="P338" s="544" t="s">
        <v>2965</v>
      </c>
      <c r="Q338" s="542" t="s">
        <v>2970</v>
      </c>
      <c r="R338" s="542"/>
      <c r="S338" s="542"/>
      <c r="T338" s="542"/>
      <c r="U338" s="2"/>
      <c r="V338" s="1"/>
      <c r="W338" s="1"/>
      <c r="Y338" s="1">
        <f>209830                                  +78000                                       +200000                                        +120000                                  +145980                                             +133300                                                        +222500</f>
        <v>1109610</v>
      </c>
    </row>
    <row r="339" spans="1:34" s="1" customFormat="1" ht="58.5" customHeight="1">
      <c r="A339" s="379">
        <v>16</v>
      </c>
      <c r="B339" s="374" t="s">
        <v>796</v>
      </c>
      <c r="C339" s="265" t="s">
        <v>583</v>
      </c>
      <c r="D339" s="414" t="s">
        <v>797</v>
      </c>
      <c r="E339" s="25" t="s">
        <v>585</v>
      </c>
      <c r="F339" s="26">
        <v>8500</v>
      </c>
      <c r="G339" s="491" t="s">
        <v>924</v>
      </c>
      <c r="H339" s="545" t="s">
        <v>1091</v>
      </c>
      <c r="I339" s="178" t="s">
        <v>1092</v>
      </c>
      <c r="J339" s="290" t="s">
        <v>800</v>
      </c>
      <c r="K339" s="546">
        <v>43191</v>
      </c>
      <c r="L339" s="546"/>
      <c r="M339" s="17"/>
      <c r="N339" s="16"/>
      <c r="O339" s="2"/>
      <c r="P339" s="2"/>
      <c r="Q339" s="50"/>
      <c r="R339" s="50"/>
      <c r="S339" s="50"/>
      <c r="T339" s="50"/>
      <c r="U339" s="2"/>
    </row>
    <row r="340" spans="1:34" s="1" customFormat="1" ht="69.75" customHeight="1">
      <c r="A340" s="379">
        <v>15</v>
      </c>
      <c r="B340" s="2358" t="s">
        <v>673</v>
      </c>
      <c r="C340" s="207" t="s">
        <v>674</v>
      </c>
      <c r="D340" s="207" t="s">
        <v>927</v>
      </c>
      <c r="E340" s="60"/>
      <c r="F340" s="302">
        <v>16000</v>
      </c>
      <c r="G340" s="547" t="s">
        <v>1093</v>
      </c>
      <c r="H340" s="545" t="s">
        <v>1094</v>
      </c>
      <c r="I340" s="495"/>
      <c r="J340" s="290"/>
      <c r="K340" s="50"/>
      <c r="L340" s="2"/>
      <c r="M340" s="548"/>
      <c r="N340" s="2"/>
      <c r="O340" s="2"/>
      <c r="P340" s="2"/>
      <c r="Q340" s="50"/>
      <c r="R340" s="50"/>
      <c r="S340" s="50"/>
      <c r="T340" s="50"/>
      <c r="U340" s="2"/>
    </row>
    <row r="341" spans="1:34" s="1" customFormat="1" ht="28.5" customHeight="1">
      <c r="A341" s="379">
        <v>15</v>
      </c>
      <c r="B341" s="2358"/>
      <c r="C341" s="207" t="s">
        <v>930</v>
      </c>
      <c r="D341" s="207" t="s">
        <v>931</v>
      </c>
      <c r="E341" s="60"/>
      <c r="F341" s="302">
        <v>26500</v>
      </c>
      <c r="G341" s="315"/>
      <c r="H341" s="302">
        <v>26500</v>
      </c>
      <c r="I341" s="495"/>
      <c r="J341" s="290"/>
      <c r="K341" s="50"/>
      <c r="L341" s="2"/>
      <c r="M341" s="50"/>
      <c r="N341" s="2"/>
      <c r="O341" s="2"/>
      <c r="P341" s="2"/>
      <c r="Q341" s="50"/>
      <c r="R341" s="50"/>
      <c r="S341" s="50"/>
      <c r="T341" s="50"/>
      <c r="U341" s="2"/>
    </row>
    <row r="342" spans="1:34" ht="40.5" customHeight="1">
      <c r="A342" s="2"/>
      <c r="B342" s="25" t="s">
        <v>1095</v>
      </c>
      <c r="C342" s="45" t="s">
        <v>1096</v>
      </c>
      <c r="D342" s="25" t="s">
        <v>1097</v>
      </c>
      <c r="E342" s="549" t="s">
        <v>1098</v>
      </c>
      <c r="F342" s="22"/>
      <c r="G342" s="22"/>
      <c r="H342" s="634" t="s">
        <v>2927</v>
      </c>
      <c r="I342" s="22"/>
      <c r="J342" s="22"/>
      <c r="K342" s="22"/>
      <c r="L342" s="22"/>
      <c r="M342" s="50"/>
      <c r="N342" s="2"/>
      <c r="O342" s="2"/>
      <c r="P342" s="2"/>
      <c r="Q342" s="50"/>
      <c r="R342" s="50"/>
      <c r="S342" s="50"/>
      <c r="T342" s="50"/>
      <c r="U342" s="2"/>
      <c r="V342" s="1"/>
      <c r="W342" s="1"/>
    </row>
    <row r="343" spans="1:34" ht="33" customHeight="1">
      <c r="A343" s="2"/>
      <c r="B343" s="25" t="s">
        <v>1095</v>
      </c>
      <c r="C343" s="45" t="s">
        <v>1099</v>
      </c>
      <c r="D343" s="25" t="s">
        <v>1100</v>
      </c>
      <c r="E343" s="550" t="s">
        <v>1101</v>
      </c>
      <c r="F343" s="22">
        <v>176400</v>
      </c>
      <c r="G343" s="22"/>
      <c r="H343" s="634" t="s">
        <v>2926</v>
      </c>
      <c r="I343" s="22"/>
      <c r="J343" s="22"/>
      <c r="K343" s="22"/>
      <c r="L343" s="22"/>
      <c r="M343" s="50"/>
      <c r="N343" s="2"/>
      <c r="O343" s="2"/>
      <c r="P343" s="2"/>
      <c r="Q343" s="50"/>
      <c r="R343" s="50"/>
      <c r="S343" s="50"/>
      <c r="T343" s="50"/>
      <c r="U343" s="2"/>
      <c r="V343" s="1"/>
      <c r="W343" s="1"/>
    </row>
    <row r="344" spans="1:34" s="551" customFormat="1" ht="19.5" customHeight="1">
      <c r="B344" s="552" t="s">
        <v>1102</v>
      </c>
      <c r="C344" s="553"/>
      <c r="D344" s="554"/>
      <c r="E344" s="555"/>
      <c r="F344" s="556"/>
      <c r="G344" s="556"/>
      <c r="H344" s="557"/>
      <c r="I344" s="558"/>
      <c r="J344" s="559"/>
      <c r="K344" s="559"/>
      <c r="L344" s="559"/>
      <c r="M344" s="560"/>
      <c r="N344" s="560"/>
      <c r="O344" s="560"/>
      <c r="P344" s="560"/>
      <c r="Q344" s="647"/>
      <c r="R344" s="647"/>
      <c r="S344" s="647"/>
      <c r="T344" s="647"/>
      <c r="U344" s="560"/>
      <c r="V344" s="770"/>
      <c r="W344" s="771"/>
      <c r="X344" s="561"/>
      <c r="Y344" s="560"/>
    </row>
    <row r="345" spans="1:34" s="1" customFormat="1" ht="2.25" customHeight="1">
      <c r="A345" s="2470">
        <v>1</v>
      </c>
      <c r="B345" s="712" t="s">
        <v>2963</v>
      </c>
      <c r="C345" s="131" t="s">
        <v>694</v>
      </c>
      <c r="D345" s="359" t="s">
        <v>1103</v>
      </c>
      <c r="E345" s="214" t="s">
        <v>2998</v>
      </c>
      <c r="F345" s="626"/>
      <c r="G345" s="626"/>
      <c r="H345" s="627"/>
      <c r="I345" s="628"/>
      <c r="J345" s="436"/>
      <c r="K345" s="436"/>
      <c r="L345" s="630"/>
      <c r="M345" s="629"/>
      <c r="N345" s="2"/>
      <c r="O345" s="139"/>
      <c r="P345" s="656"/>
      <c r="Q345" s="657"/>
      <c r="R345" s="657"/>
      <c r="S345" s="657"/>
      <c r="T345" s="657"/>
      <c r="U345" s="2"/>
      <c r="V345" s="680"/>
    </row>
    <row r="346" spans="1:34" s="1" customFormat="1" ht="50.25" customHeight="1">
      <c r="A346" s="2470"/>
      <c r="B346" s="713"/>
      <c r="C346" s="132"/>
      <c r="D346" s="359"/>
      <c r="E346" s="802"/>
      <c r="F346" s="54" t="s">
        <v>2903</v>
      </c>
      <c r="G346" s="54" t="s">
        <v>3079</v>
      </c>
      <c r="H346" s="433" t="s">
        <v>3174</v>
      </c>
      <c r="I346" s="284"/>
      <c r="J346" s="638" t="s">
        <v>3122</v>
      </c>
      <c r="K346" s="2"/>
      <c r="L346" s="139" t="s">
        <v>3163</v>
      </c>
      <c r="M346" s="497" t="s">
        <v>2701</v>
      </c>
      <c r="N346" s="139">
        <f>76000                        +304000                   +68000</f>
        <v>448000</v>
      </c>
      <c r="O346" s="139">
        <f>(76000                        +304000)/5</f>
        <v>76000</v>
      </c>
      <c r="P346" s="272" t="s">
        <v>3084</v>
      </c>
      <c r="Q346" s="829" t="s">
        <v>3085</v>
      </c>
      <c r="R346" s="777">
        <f>76000*5-(76000                        +304000                   +68000)</f>
        <v>-68000</v>
      </c>
      <c r="S346" s="777"/>
      <c r="T346" s="737"/>
      <c r="U346" s="349"/>
      <c r="V346" s="711"/>
      <c r="W346" s="769"/>
    </row>
    <row r="347" spans="1:34" s="1" customFormat="1" ht="51.75" customHeight="1">
      <c r="A347" s="2470"/>
      <c r="B347" s="713" t="s">
        <v>810</v>
      </c>
      <c r="C347" s="803" t="s">
        <v>694</v>
      </c>
      <c r="D347" s="506" t="s">
        <v>2997</v>
      </c>
      <c r="E347" s="804" t="s">
        <v>3123</v>
      </c>
      <c r="F347" s="626"/>
      <c r="G347" s="626"/>
      <c r="H347" s="627"/>
      <c r="I347" s="628"/>
      <c r="J347" s="436"/>
      <c r="K347" s="436"/>
      <c r="L347" s="844" t="s">
        <v>3218</v>
      </c>
      <c r="M347" s="845" t="s">
        <v>1015</v>
      </c>
      <c r="N347" s="633">
        <f>34000*12</f>
        <v>408000</v>
      </c>
      <c r="O347" s="172">
        <f>170000/5</f>
        <v>34000</v>
      </c>
      <c r="P347" s="172" t="s">
        <v>3223</v>
      </c>
      <c r="Q347" s="772" t="s">
        <v>3224</v>
      </c>
      <c r="R347" s="660">
        <f>34000*12-(170000+96780                 +55600                  +85620)</f>
        <v>0</v>
      </c>
      <c r="S347" s="912"/>
      <c r="T347" s="841"/>
      <c r="U347" s="436"/>
      <c r="V347" s="711"/>
      <c r="W347" s="769"/>
    </row>
    <row r="348" spans="1:34" s="1" customFormat="1" ht="42.75" customHeight="1">
      <c r="A348" s="2470"/>
      <c r="B348" s="713"/>
      <c r="C348" s="132"/>
      <c r="D348" s="15" t="s">
        <v>3124</v>
      </c>
      <c r="E348" s="802"/>
      <c r="F348" s="626"/>
      <c r="G348" s="626"/>
      <c r="H348" s="805">
        <v>65300</v>
      </c>
      <c r="I348" s="628"/>
      <c r="J348" s="436"/>
      <c r="K348" s="436"/>
      <c r="L348" s="630"/>
      <c r="M348" s="629"/>
      <c r="N348" s="139"/>
      <c r="O348" s="172"/>
      <c r="P348" s="172"/>
      <c r="Q348" s="772"/>
      <c r="R348" s="846"/>
      <c r="S348" s="913"/>
      <c r="T348" s="801"/>
      <c r="U348" s="789"/>
      <c r="V348" s="711"/>
      <c r="W348" s="769"/>
    </row>
    <row r="349" spans="1:34" s="1" customFormat="1" ht="47.25" customHeight="1">
      <c r="A349" s="141"/>
      <c r="B349" s="2367" t="s">
        <v>426</v>
      </c>
      <c r="C349" s="45" t="s">
        <v>2902</v>
      </c>
      <c r="D349" s="15" t="s">
        <v>2899</v>
      </c>
      <c r="E349" s="60"/>
      <c r="F349" s="54">
        <v>71000</v>
      </c>
      <c r="G349" s="54"/>
      <c r="H349" s="432" t="s">
        <v>2900</v>
      </c>
      <c r="I349" s="339" t="s">
        <v>2901</v>
      </c>
      <c r="J349" s="2" t="s">
        <v>998</v>
      </c>
      <c r="K349" s="2"/>
      <c r="L349" s="682"/>
      <c r="M349" s="746"/>
      <c r="N349" s="2"/>
      <c r="O349" s="2"/>
      <c r="P349" s="677"/>
      <c r="Q349" s="678"/>
      <c r="R349" s="678"/>
      <c r="S349" s="678"/>
      <c r="T349" s="678"/>
      <c r="U349" s="2"/>
      <c r="V349" s="659"/>
    </row>
    <row r="350" spans="1:34" s="1" customFormat="1" ht="36" customHeight="1">
      <c r="A350" s="141"/>
      <c r="B350" s="2386"/>
      <c r="C350" s="135" t="s">
        <v>2999</v>
      </c>
      <c r="D350" s="15" t="s">
        <v>3000</v>
      </c>
      <c r="E350" s="60"/>
      <c r="F350" s="54">
        <v>45000</v>
      </c>
      <c r="G350" s="54"/>
      <c r="H350" s="432"/>
      <c r="I350" s="284" t="s">
        <v>3001</v>
      </c>
      <c r="J350" s="141" t="s">
        <v>3002</v>
      </c>
      <c r="K350" s="2"/>
      <c r="L350" s="682"/>
      <c r="M350" s="683"/>
      <c r="N350" s="2"/>
      <c r="O350" s="2"/>
      <c r="P350" s="677"/>
      <c r="Q350" s="678"/>
      <c r="R350" s="678"/>
      <c r="S350" s="678"/>
      <c r="T350" s="678"/>
      <c r="U350" s="2"/>
      <c r="V350" s="659"/>
    </row>
    <row r="351" spans="1:34" s="1" customFormat="1" ht="84.75" customHeight="1">
      <c r="A351" s="141">
        <v>2</v>
      </c>
      <c r="B351" s="2368"/>
      <c r="C351" s="135" t="s">
        <v>427</v>
      </c>
      <c r="D351" s="15" t="s">
        <v>2898</v>
      </c>
      <c r="E351" s="60" t="s">
        <v>1104</v>
      </c>
      <c r="F351" s="48">
        <v>7500</v>
      </c>
      <c r="G351" s="54" t="s">
        <v>3332</v>
      </c>
      <c r="H351" s="433" t="s">
        <v>3156</v>
      </c>
      <c r="I351" s="498"/>
      <c r="J351" s="671" t="s">
        <v>3157</v>
      </c>
      <c r="K351" s="2"/>
      <c r="L351" s="2"/>
      <c r="M351" s="2"/>
      <c r="N351" s="2"/>
      <c r="O351" s="436"/>
      <c r="P351" s="2"/>
      <c r="Q351" s="50"/>
      <c r="R351" s="50"/>
      <c r="S351" s="50"/>
      <c r="T351" s="50"/>
      <c r="U351" s="2"/>
      <c r="V351" s="659"/>
    </row>
    <row r="352" spans="1:34" s="1" customFormat="1" ht="409.5" customHeight="1">
      <c r="A352" s="421"/>
      <c r="B352" s="716"/>
      <c r="C352" s="741" t="s">
        <v>969</v>
      </c>
      <c r="D352" s="742" t="s">
        <v>3136</v>
      </c>
      <c r="F352" s="744" t="s">
        <v>3096</v>
      </c>
      <c r="G352" s="785"/>
      <c r="H352" s="745" t="s">
        <v>3168</v>
      </c>
      <c r="I352" s="668">
        <f>(110100                                   +212200                                    +118280                                       +215000                                          +98910                                             +284500                                            +331100                                 +238800                                 +55500                                                 +64500                           +271000                                               +183300                                      +166700                                                 +333400                                        +87000                                 +55600                                              +333400                                                                              +80000                                           +210000                                                +220000                                        +155600                                             +222200                                                 +111100                                             +111200                                             +344170                                            +160000                                            +191800                                        +222230                                                     +66700                                           +241700                                           +222300                                            +91400)</f>
        <v>5809690</v>
      </c>
      <c r="J352" s="668">
        <f>(110100                                   +212200                                    +118280                                             +215000                                                                              +98910                                                                         +284500                             +331100                                         +238800                                               +55500                             +64500                                   +271000                        +183300                                +166700                     +333400                                         +87000                                                +55600                              +333400                                      +80000                               +210000                                    +220000                                                    +155600                                                 +222200                            +111100                            +111200                                        +344170                          +160000                                        +191800                               +222230               +66700                                  +241700              +222300                                +91400)/11</f>
        <v>528153.63636363635</v>
      </c>
      <c r="K352" s="786">
        <f>(N352+N355+(77500*10))/10</f>
        <v>948172.5</v>
      </c>
      <c r="L352" s="901" t="s">
        <v>3159</v>
      </c>
      <c r="M352" s="590" t="s">
        <v>1015</v>
      </c>
      <c r="N352" s="1894">
        <f>110100                                   +212200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+55500                             +64500                                    +271000                        +183300                  +166700                     +333400                  +87000                                                +55600                              +333400                                      +80000                               +210000                                    +220000                                                    +155600                                                 +222200                            +111100                            +111200                                        +344170                          +160000                                        +191800                                      +222230                                                  +66700                                            +241700                                        +222300                                 +91400                      +92300-39230</f>
        <v>6050000</v>
      </c>
      <c r="O352" s="467">
        <f>(110100                                   +212200                                    +118280                                             +215000                                                                            +98910                                                                          +284500                             +331100                                         +238800                                               +271000                        +183300                  +166700                     +333400                  +87000                                                +55600                              +333400                                      +80000                               +210000                                    +220000                                                    +155600                                                 +222200                            +111100                            +111200                                        +344170                          +160000                                        +191800                                      +222300                            +66700                        +241700                                          +222300                          +91400                           +92300                                       +289000)/10</f>
        <v>607106</v>
      </c>
      <c r="P352" s="2408" t="s">
        <v>4471</v>
      </c>
      <c r="Q352" s="2410" t="s">
        <v>4286</v>
      </c>
      <c r="R352" s="2404" t="s">
        <v>4470</v>
      </c>
      <c r="S352" s="1896" t="s">
        <v>4288</v>
      </c>
      <c r="T352" s="1898" t="s">
        <v>4287</v>
      </c>
      <c r="U352" s="2406"/>
      <c r="V352" s="512" t="s">
        <v>2939</v>
      </c>
      <c r="W352" s="740">
        <f>605670*12-(110100                                   +212200                                    +118280                                             +215000                                                                              +98910                                                                         +284500                             +331100                                         +238800                                               +55500                             +64500                                   +271000                        +183300                                +166700                     +333400                                         +87000                                                +55600                              +333400                                      +80000                               +210000                                    +220000                                                    +155600                                                 +222200                            +111100                            +111200                                        +344170                          +160000                                        +191800                               +222230               +66700                                  +241700              +222300                                +91400                                 + 92300                              +170000                           +55600                          +224500                               +261680                                      +248800                                    +289000                                        +55500                       +60970)</f>
        <v>0</v>
      </c>
      <c r="X352" s="766"/>
      <c r="Y352" s="139"/>
      <c r="Z352" s="619">
        <f>(110100                                   +212200 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+284500)/2</f>
        <v>613115</v>
      </c>
      <c r="AA352" s="139">
        <f>(110100                                   +212200 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+271000)/3</f>
        <v>689043.33333333337</v>
      </c>
      <c r="AB352" s="139">
        <f>(110100                                   +212200 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+271000                        +183300                  +166700                     +333400                  +87000                                                +55600)/6</f>
        <v>482188.33333333331</v>
      </c>
      <c r="AC352" s="139">
        <f>(110100                                   +212200 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+271000                        +183300                  +166700                     +333400                  +87000                                                +55600                              +333400                                      +80000                               +210000                                    +220000                                                    +155600                                                 +222200                            +111100)/7</f>
        <v>603632.85714285716</v>
      </c>
      <c r="AD352" s="139">
        <f>(110100                                   +212200 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+271000                        +183300                  +166700                     +333400                  +87000                                                +55600                              +333400                                      +80000                               +210000                                    +220000                                                    +155600                                                 +222200                            +111100                            +111200                                        +344170                          +160000                                        +191800)/8</f>
        <v>629075</v>
      </c>
      <c r="AE352" s="2"/>
      <c r="AF352" s="2"/>
      <c r="AG352" s="664">
        <f>110100                                   +212200                                    +118280                                             +215000                                                          +98910                         +284500                             +331100                       +55500                      +238800                                            +271000                        +183300                  +166700                     +333400                  +87000                                                      +333400                                      +80000                               +210000                                    +220000                      +55600                                  +155600</f>
        <v>3760390</v>
      </c>
      <c r="AH352" s="655" t="s">
        <v>2979</v>
      </c>
    </row>
    <row r="353" spans="1:34" s="1" customFormat="1" ht="127.5" customHeight="1">
      <c r="A353" s="735"/>
      <c r="B353" s="716"/>
      <c r="C353" s="899"/>
      <c r="D353" s="900"/>
      <c r="F353" s="902"/>
      <c r="G353" s="903"/>
      <c r="H353" s="904"/>
      <c r="I353" s="668"/>
      <c r="J353" s="668"/>
      <c r="K353" s="786"/>
      <c r="L353" s="562"/>
      <c r="M353" s="500"/>
      <c r="N353" s="1895">
        <f>39230                             +170000                                 +55600                               +224500                                 +289000                                +55500                              +60970</f>
        <v>894800</v>
      </c>
      <c r="O353" s="686">
        <v>55600</v>
      </c>
      <c r="P353" s="2409"/>
      <c r="Q353" s="2411"/>
      <c r="R353" s="2405"/>
      <c r="S353" s="1897">
        <f>39230                             +170000                                 +55600                               +224500                                 +289000                                +55500                              +60970</f>
        <v>894800</v>
      </c>
      <c r="T353" s="1899">
        <f>110100                                   +212200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+55500                             +64500                                    +271000                        +183300                  +166700                     +333400                  +87000                                                +55600                              +333400                                      +80000                               +210000                                    +220000                                                    +155600                                                 +222200                            +111100                            +111200                                        +344170                          +160000                                        +191800                                      +222230                                                  +66700                                            +241700                                        +222300                                 +91400                                            +92300-39230</f>
        <v>6050000</v>
      </c>
      <c r="U353" s="2405"/>
      <c r="V353" s="512"/>
      <c r="W353" s="740"/>
      <c r="X353" s="840"/>
      <c r="Y353" s="655"/>
      <c r="Z353" s="670"/>
      <c r="AA353" s="655"/>
      <c r="AB353" s="655"/>
      <c r="AC353" s="655"/>
      <c r="AD353" s="655"/>
      <c r="AG353" s="664"/>
      <c r="AH353" s="655"/>
    </row>
    <row r="354" spans="1:34" s="1" customFormat="1" ht="87" customHeight="1">
      <c r="A354" s="735"/>
      <c r="B354" s="838" t="s">
        <v>3208</v>
      </c>
      <c r="C354" s="132"/>
      <c r="D354" s="506"/>
      <c r="E354" s="743">
        <v>44561</v>
      </c>
      <c r="F354" s="621"/>
      <c r="G354" s="369"/>
      <c r="H354" s="622"/>
      <c r="I354" s="668"/>
      <c r="J354" s="668"/>
      <c r="K354" s="139"/>
      <c r="L354" s="722" t="s">
        <v>3167</v>
      </c>
      <c r="M354" s="827" t="s">
        <v>2701</v>
      </c>
      <c r="N354" s="497">
        <v>400000</v>
      </c>
      <c r="O354" s="686"/>
      <c r="P354" s="721" t="s">
        <v>3021</v>
      </c>
      <c r="Q354" s="720" t="s">
        <v>3026</v>
      </c>
      <c r="R354" s="720"/>
      <c r="S354" s="720"/>
      <c r="T354" s="720"/>
      <c r="U354" s="512"/>
      <c r="V354" s="512"/>
      <c r="W354" s="765"/>
      <c r="X354" s="655"/>
      <c r="Y354" s="670"/>
      <c r="AA354" s="655"/>
      <c r="AC354" s="655"/>
      <c r="AF354" s="664"/>
      <c r="AG354" s="655"/>
    </row>
    <row r="355" spans="1:34" s="1" customFormat="1" ht="148.5" customHeight="1">
      <c r="A355" s="735"/>
      <c r="B355" s="2386"/>
      <c r="C355" s="132"/>
      <c r="D355" s="506"/>
      <c r="E355" s="620"/>
      <c r="F355" s="621"/>
      <c r="G355" s="369"/>
      <c r="H355" s="622"/>
      <c r="I355" s="284"/>
      <c r="J355" s="284"/>
      <c r="K355" s="660"/>
      <c r="L355" s="29" t="s">
        <v>3097</v>
      </c>
      <c r="M355" s="564" t="s">
        <v>1106</v>
      </c>
      <c r="N355" s="335">
        <f>411800                                   +561800                              +131800                                       +50000                                             +450000                                   +250675                                 +334525                            +334525                                             +375000                       -243400</f>
        <v>2656725</v>
      </c>
      <c r="O355" s="739">
        <f>(411800                                   +561800)/4</f>
        <v>243400</v>
      </c>
      <c r="P355" s="563" t="s">
        <v>4222</v>
      </c>
      <c r="Q355" s="649" t="s">
        <v>3203</v>
      </c>
      <c r="R355" s="797" t="s">
        <v>4223</v>
      </c>
      <c r="S355" s="797" t="s">
        <v>4224</v>
      </c>
      <c r="T355" s="649"/>
      <c r="U355" s="512"/>
      <c r="V355" s="799"/>
      <c r="W355" s="800"/>
      <c r="X355" s="655" t="s">
        <v>2959</v>
      </c>
      <c r="Y355" s="655">
        <f>(411800                                   +561800                              +131800                                       +50000                                             +450000                                    +250675)/8</f>
        <v>232009.375</v>
      </c>
      <c r="Z355" s="662">
        <v>250675</v>
      </c>
      <c r="AA355" s="1" t="s">
        <v>2983</v>
      </c>
    </row>
    <row r="356" spans="1:34" s="1" customFormat="1" ht="45" customHeight="1">
      <c r="A356" s="735"/>
      <c r="B356" s="2386"/>
      <c r="C356" s="132"/>
      <c r="D356" s="506"/>
      <c r="E356" s="620"/>
      <c r="F356" s="621"/>
      <c r="G356" s="280"/>
      <c r="H356" s="674"/>
      <c r="I356" s="284"/>
      <c r="J356" s="284"/>
      <c r="K356" s="2"/>
      <c r="L356" s="565" t="s">
        <v>2868</v>
      </c>
      <c r="M356" s="566" t="s">
        <v>3013</v>
      </c>
      <c r="N356" s="567">
        <f>380000+550000</f>
        <v>930000</v>
      </c>
      <c r="O356" s="497"/>
      <c r="P356" s="502">
        <f>77500*6</f>
        <v>465000</v>
      </c>
      <c r="Q356" s="547"/>
      <c r="R356" s="547"/>
      <c r="S356" s="547"/>
      <c r="T356" s="547"/>
      <c r="U356" s="512"/>
      <c r="V356" s="512"/>
      <c r="W356" s="765"/>
      <c r="X356" s="1">
        <v>77500</v>
      </c>
      <c r="Z356" s="1">
        <v>77500</v>
      </c>
    </row>
    <row r="357" spans="1:34" s="1" customFormat="1" ht="50.25" customHeight="1">
      <c r="A357" s="735"/>
      <c r="B357" s="2386"/>
      <c r="C357" s="45" t="s">
        <v>2960</v>
      </c>
      <c r="D357" s="15" t="s">
        <v>2961</v>
      </c>
      <c r="E357" s="38" t="s">
        <v>2962</v>
      </c>
      <c r="F357" s="623">
        <v>916468</v>
      </c>
      <c r="G357" s="369"/>
      <c r="H357" s="718" t="s">
        <v>3101</v>
      </c>
      <c r="I357" s="339"/>
      <c r="J357" s="339"/>
      <c r="K357" s="2"/>
      <c r="L357" s="565"/>
      <c r="M357" s="566" t="s">
        <v>3014</v>
      </c>
      <c r="N357" s="567">
        <v>792000</v>
      </c>
      <c r="O357" s="497"/>
      <c r="P357" s="502">
        <v>792000</v>
      </c>
      <c r="Q357" s="547" t="s">
        <v>2976</v>
      </c>
      <c r="R357" s="547"/>
      <c r="S357" s="547"/>
      <c r="T357" s="547"/>
      <c r="U357" s="512"/>
      <c r="V357" s="512"/>
      <c r="W357" s="765"/>
    </row>
    <row r="358" spans="1:34" s="1" customFormat="1" ht="54" customHeight="1">
      <c r="A358" s="735"/>
      <c r="B358" s="2386"/>
      <c r="C358" s="2355" t="s">
        <v>2876</v>
      </c>
      <c r="D358" s="2367" t="s">
        <v>2984</v>
      </c>
      <c r="E358" s="2380" t="s">
        <v>2877</v>
      </c>
      <c r="F358" s="2414">
        <v>1393101.15</v>
      </c>
      <c r="G358" s="139"/>
      <c r="H358" s="2402" t="s">
        <v>2958</v>
      </c>
      <c r="I358" s="284"/>
      <c r="J358" s="284"/>
      <c r="K358" s="6"/>
      <c r="L358" s="565" t="s">
        <v>3169</v>
      </c>
      <c r="M358" s="566" t="s">
        <v>3012</v>
      </c>
      <c r="N358" s="599">
        <f>100000                                           +195000                           +460870</f>
        <v>755870</v>
      </c>
      <c r="O358" s="497"/>
      <c r="P358" s="564" t="s">
        <v>3042</v>
      </c>
      <c r="Q358" s="694" t="s">
        <v>3043</v>
      </c>
      <c r="R358" s="694"/>
      <c r="S358" s="694"/>
      <c r="T358" s="694"/>
      <c r="U358" s="512"/>
      <c r="V358" s="717"/>
      <c r="W358" s="765"/>
    </row>
    <row r="359" spans="1:34" s="1" customFormat="1" ht="61.5" customHeight="1">
      <c r="A359" s="735"/>
      <c r="B359" s="2386"/>
      <c r="C359" s="2407"/>
      <c r="D359" s="2386"/>
      <c r="E359" s="2381"/>
      <c r="F359" s="2415"/>
      <c r="G359" s="369"/>
      <c r="H359" s="2403"/>
      <c r="I359" s="284"/>
      <c r="J359" s="284"/>
      <c r="K359" s="6"/>
      <c r="L359" s="565" t="s">
        <v>3387</v>
      </c>
      <c r="M359" s="566" t="s">
        <v>1015</v>
      </c>
      <c r="N359" s="607">
        <v>520000</v>
      </c>
      <c r="O359" s="833" t="s">
        <v>3187</v>
      </c>
      <c r="P359" s="684" t="s">
        <v>3133</v>
      </c>
      <c r="Q359" s="691" t="s">
        <v>3135</v>
      </c>
      <c r="R359" s="694"/>
      <c r="S359" s="694"/>
      <c r="T359" s="694"/>
      <c r="U359" s="512"/>
      <c r="V359" s="717"/>
      <c r="W359" s="765"/>
    </row>
    <row r="360" spans="1:34" s="1" customFormat="1" ht="50.25" customHeight="1">
      <c r="A360" s="629"/>
      <c r="B360" s="2386"/>
      <c r="C360" s="45" t="s">
        <v>3020</v>
      </c>
      <c r="D360" s="207" t="s">
        <v>3134</v>
      </c>
      <c r="E360" s="38" t="s">
        <v>2255</v>
      </c>
      <c r="F360" s="623">
        <v>199076.24</v>
      </c>
      <c r="G360" s="139"/>
      <c r="H360" s="158" t="s">
        <v>3100</v>
      </c>
      <c r="I360" s="284"/>
      <c r="J360" s="284"/>
      <c r="K360" s="2"/>
      <c r="L360" s="692" t="s">
        <v>3138</v>
      </c>
      <c r="M360" s="808" t="s">
        <v>1111</v>
      </c>
      <c r="N360" s="809">
        <v>76575</v>
      </c>
      <c r="O360" s="809" t="s">
        <v>3209</v>
      </c>
      <c r="P360" s="810">
        <v>76575</v>
      </c>
      <c r="Q360" s="811" t="s">
        <v>3137</v>
      </c>
      <c r="R360" s="694"/>
      <c r="S360" s="694"/>
      <c r="T360" s="694"/>
      <c r="U360" s="512"/>
      <c r="V360" s="512"/>
      <c r="W360" s="765"/>
    </row>
    <row r="361" spans="1:34" ht="41.25" customHeight="1">
      <c r="A361" s="379">
        <v>15</v>
      </c>
      <c r="B361" s="285" t="s">
        <v>912</v>
      </c>
      <c r="C361" s="45" t="s">
        <v>2893</v>
      </c>
      <c r="D361" s="116" t="s">
        <v>2894</v>
      </c>
      <c r="E361" s="70"/>
      <c r="F361" s="286"/>
      <c r="G361" s="48"/>
      <c r="H361" s="636" t="s">
        <v>2933</v>
      </c>
      <c r="I361" s="636"/>
      <c r="J361" s="636"/>
      <c r="K361" s="635"/>
      <c r="L361" s="45"/>
      <c r="M361" s="502" t="s">
        <v>3220</v>
      </c>
      <c r="N361" s="640">
        <v>118300</v>
      </c>
      <c r="O361" s="497"/>
      <c r="P361" s="608" t="s">
        <v>3219</v>
      </c>
      <c r="Q361" s="576"/>
      <c r="R361" s="576"/>
      <c r="S361" s="576"/>
      <c r="T361" s="576"/>
      <c r="U361" s="2"/>
      <c r="V361" s="2"/>
      <c r="W361" s="1"/>
    </row>
    <row r="362" spans="1:34" s="1" customFormat="1" ht="29.25" customHeight="1">
      <c r="A362" s="2472">
        <v>6</v>
      </c>
      <c r="B362" s="2358" t="s">
        <v>737</v>
      </c>
      <c r="C362" s="2392" t="s">
        <v>488</v>
      </c>
      <c r="D362" s="25" t="s">
        <v>738</v>
      </c>
      <c r="E362" s="25" t="s">
        <v>490</v>
      </c>
      <c r="F362" s="2387">
        <v>9000</v>
      </c>
      <c r="G362" s="34" t="s">
        <v>491</v>
      </c>
      <c r="H362" s="35"/>
      <c r="I362" s="55"/>
      <c r="J362" s="30"/>
      <c r="K362" s="2"/>
      <c r="M362" s="50"/>
      <c r="N362" s="2"/>
      <c r="O362" s="2"/>
      <c r="P362" s="2"/>
      <c r="Q362" s="50"/>
      <c r="R362" s="50"/>
      <c r="S362" s="50"/>
      <c r="T362" s="50"/>
      <c r="U362" s="2"/>
      <c r="V362" s="2"/>
    </row>
    <row r="363" spans="1:34" s="1" customFormat="1" ht="87" customHeight="1">
      <c r="A363" s="2472"/>
      <c r="B363" s="2358"/>
      <c r="C363" s="2392"/>
      <c r="D363" s="38" t="s">
        <v>739</v>
      </c>
      <c r="E363" s="25" t="s">
        <v>493</v>
      </c>
      <c r="F363" s="2387"/>
      <c r="G363" s="34" t="s">
        <v>987</v>
      </c>
      <c r="H363" s="449" t="s">
        <v>3155</v>
      </c>
      <c r="I363" s="267"/>
      <c r="J363" s="396" t="s">
        <v>743</v>
      </c>
      <c r="K363" s="138"/>
      <c r="L363" s="138"/>
      <c r="M363" s="50"/>
      <c r="N363" s="2"/>
      <c r="O363" s="2"/>
      <c r="P363" s="2"/>
      <c r="Q363" s="50"/>
      <c r="R363" s="50"/>
      <c r="S363" s="50"/>
      <c r="T363" s="50"/>
      <c r="U363" s="2"/>
      <c r="V363" s="2"/>
    </row>
    <row r="364" spans="1:34" s="1" customFormat="1" ht="50.25" customHeight="1">
      <c r="A364" s="824"/>
      <c r="B364" s="2367" t="s">
        <v>748</v>
      </c>
      <c r="C364" s="265" t="s">
        <v>3162</v>
      </c>
      <c r="D364" s="38"/>
      <c r="E364" s="25"/>
      <c r="F364" s="825">
        <v>20000</v>
      </c>
      <c r="G364" s="826"/>
      <c r="H364" s="826">
        <v>20000</v>
      </c>
      <c r="I364" s="267"/>
      <c r="J364" s="396"/>
      <c r="K364" s="138"/>
      <c r="L364" s="138"/>
      <c r="M364" s="50"/>
      <c r="N364" s="2"/>
      <c r="O364" s="2"/>
      <c r="P364" s="2"/>
      <c r="Q364" s="50"/>
      <c r="R364" s="50"/>
      <c r="S364" s="50"/>
      <c r="T364" s="50"/>
      <c r="U364" s="2"/>
      <c r="V364" s="2"/>
    </row>
    <row r="365" spans="1:34" s="1" customFormat="1" ht="54.75" customHeight="1">
      <c r="A365" s="141">
        <v>7</v>
      </c>
      <c r="B365" s="2368"/>
      <c r="C365" s="54" t="s">
        <v>639</v>
      </c>
      <c r="D365" s="355" t="s">
        <v>640</v>
      </c>
      <c r="E365" s="33" t="s">
        <v>641</v>
      </c>
      <c r="F365" s="285">
        <v>7000</v>
      </c>
      <c r="G365" s="54" t="s">
        <v>1107</v>
      </c>
      <c r="H365" s="449" t="s">
        <v>3161</v>
      </c>
      <c r="I365" s="400"/>
      <c r="J365" s="792"/>
      <c r="K365" s="2"/>
      <c r="L365" s="2"/>
      <c r="M365" s="50"/>
      <c r="N365" s="2"/>
      <c r="O365" s="2"/>
      <c r="P365" s="2"/>
      <c r="Q365" s="50"/>
      <c r="R365" s="50"/>
      <c r="S365" s="50"/>
      <c r="T365" s="50"/>
      <c r="U365" s="2"/>
      <c r="V365" s="2"/>
    </row>
    <row r="366" spans="1:34" s="1" customFormat="1" ht="64.5" customHeight="1">
      <c r="A366" s="141"/>
      <c r="B366" s="193" t="s">
        <v>1002</v>
      </c>
      <c r="C366" s="69" t="s">
        <v>1003</v>
      </c>
      <c r="D366" s="180" t="s">
        <v>1004</v>
      </c>
      <c r="E366" s="33" t="s">
        <v>2883</v>
      </c>
      <c r="F366" s="517" t="s">
        <v>1006</v>
      </c>
      <c r="G366" s="54" t="s">
        <v>1108</v>
      </c>
      <c r="H366" s="449" t="s">
        <v>3302</v>
      </c>
      <c r="I366" s="400"/>
      <c r="J366" s="788" t="s">
        <v>3176</v>
      </c>
      <c r="K366" s="2"/>
      <c r="L366" s="2"/>
      <c r="M366" s="562" t="s">
        <v>3378</v>
      </c>
      <c r="N366" s="911">
        <f>32740                                                     +75300</f>
        <v>108040</v>
      </c>
      <c r="O366" s="2" t="s">
        <v>3375</v>
      </c>
      <c r="P366" s="504" t="s">
        <v>4235</v>
      </c>
      <c r="Q366" s="819" t="s">
        <v>3377</v>
      </c>
      <c r="R366" s="915" t="s">
        <v>3376</v>
      </c>
      <c r="S366" s="818">
        <f>16370*6+9820-(75300                            +88400)</f>
        <v>-55660</v>
      </c>
      <c r="T366" s="819" t="s">
        <v>3374</v>
      </c>
      <c r="U366" s="659">
        <f>16370*12-(32740                   +75300                            +88400)</f>
        <v>0</v>
      </c>
      <c r="V366" s="2"/>
    </row>
    <row r="367" spans="1:34" s="1" customFormat="1" ht="55.5" customHeight="1">
      <c r="A367" s="141">
        <v>8</v>
      </c>
      <c r="B367" s="193" t="s">
        <v>862</v>
      </c>
      <c r="C367" s="54" t="s">
        <v>515</v>
      </c>
      <c r="D367" s="180" t="s">
        <v>2935</v>
      </c>
      <c r="E367" s="33"/>
      <c r="F367" s="285">
        <v>30704</v>
      </c>
      <c r="G367" s="334" t="s">
        <v>2988</v>
      </c>
      <c r="H367" s="353" t="s">
        <v>2989</v>
      </c>
      <c r="I367" s="267"/>
      <c r="J367" s="788" t="s">
        <v>3102</v>
      </c>
      <c r="K367" s="521"/>
      <c r="L367" s="403"/>
      <c r="M367" s="50"/>
      <c r="N367" s="2"/>
      <c r="O367" s="2"/>
      <c r="P367" s="2"/>
      <c r="Q367" s="50"/>
      <c r="R367" s="50"/>
      <c r="S367" s="50"/>
      <c r="T367" s="50"/>
      <c r="U367" s="2"/>
    </row>
    <row r="368" spans="1:34" s="1" customFormat="1" ht="69" customHeight="1">
      <c r="A368" s="821"/>
      <c r="B368" s="820" t="s">
        <v>766</v>
      </c>
      <c r="C368" s="456" t="s">
        <v>767</v>
      </c>
      <c r="D368" s="405" t="s">
        <v>768</v>
      </c>
      <c r="E368" s="33" t="s">
        <v>769</v>
      </c>
      <c r="F368" s="194" t="s">
        <v>770</v>
      </c>
      <c r="G368" s="283" t="s">
        <v>1026</v>
      </c>
      <c r="H368" s="437" t="s">
        <v>3212</v>
      </c>
      <c r="I368" s="364"/>
      <c r="J368" s="776"/>
      <c r="K368" s="2" t="s">
        <v>2974</v>
      </c>
      <c r="L368" s="2"/>
      <c r="M368" s="140"/>
      <c r="N368" s="2"/>
      <c r="O368" s="2"/>
      <c r="P368" s="2"/>
      <c r="Q368" s="50"/>
      <c r="R368" s="50"/>
      <c r="S368" s="50"/>
      <c r="T368" s="50"/>
      <c r="U368" s="2"/>
    </row>
    <row r="369" spans="1:27" s="1" customFormat="1" ht="54" customHeight="1">
      <c r="A369" s="457"/>
      <c r="B369" s="822" t="s">
        <v>901</v>
      </c>
      <c r="C369" s="45" t="s">
        <v>2890</v>
      </c>
      <c r="D369" s="405" t="s">
        <v>2891</v>
      </c>
      <c r="E369" s="33"/>
      <c r="F369" s="194">
        <v>40000</v>
      </c>
      <c r="G369" s="283"/>
      <c r="H369" s="437" t="s">
        <v>2955</v>
      </c>
      <c r="I369" s="791">
        <v>40000</v>
      </c>
      <c r="J369" s="790" t="s">
        <v>2892</v>
      </c>
      <c r="K369" s="352"/>
      <c r="L369" s="2"/>
      <c r="M369" s="140"/>
      <c r="N369" s="2"/>
      <c r="O369" s="2"/>
      <c r="P369" s="2"/>
      <c r="Q369" s="50"/>
      <c r="R369" s="50"/>
      <c r="S369" s="50"/>
      <c r="T369" s="50"/>
      <c r="U369" s="2"/>
    </row>
    <row r="370" spans="1:27" s="1" customFormat="1" ht="55.5" customHeight="1">
      <c r="A370" s="457"/>
      <c r="B370" s="606"/>
      <c r="C370" s="741" t="s">
        <v>902</v>
      </c>
      <c r="D370" s="467" t="s">
        <v>1041</v>
      </c>
      <c r="E370" s="575" t="s">
        <v>1109</v>
      </c>
      <c r="F370" s="194"/>
      <c r="G370" s="283"/>
      <c r="H370" s="437"/>
      <c r="I370" s="663"/>
      <c r="J370" s="42"/>
      <c r="K370" s="2"/>
      <c r="L370" s="656" t="s">
        <v>2934</v>
      </c>
      <c r="M370" s="685" t="s">
        <v>1105</v>
      </c>
      <c r="N370" s="730"/>
      <c r="O370" s="656"/>
      <c r="P370" s="730" t="s">
        <v>3022</v>
      </c>
      <c r="Q370" s="678" t="s">
        <v>3170</v>
      </c>
      <c r="R370" s="678"/>
      <c r="S370" s="678"/>
      <c r="T370" s="678"/>
      <c r="U370" s="677"/>
      <c r="V370" s="763"/>
      <c r="W370" s="763"/>
      <c r="X370" s="2401"/>
    </row>
    <row r="371" spans="1:27" s="1" customFormat="1" ht="276.75" customHeight="1">
      <c r="A371" s="379">
        <v>13</v>
      </c>
      <c r="B371" s="823" t="s">
        <v>901</v>
      </c>
      <c r="C371" s="741" t="s">
        <v>902</v>
      </c>
      <c r="D371" s="467" t="s">
        <v>1041</v>
      </c>
      <c r="E371" s="597" t="s">
        <v>1109</v>
      </c>
      <c r="F371" s="477" t="s">
        <v>3036</v>
      </c>
      <c r="G371" s="388" t="s">
        <v>2897</v>
      </c>
      <c r="H371" s="632" t="s">
        <v>3303</v>
      </c>
      <c r="I371" s="284"/>
      <c r="J371" s="631" t="s">
        <v>3109</v>
      </c>
      <c r="K371" s="761"/>
      <c r="L371" s="568" t="s">
        <v>3407</v>
      </c>
      <c r="M371" s="842" t="s">
        <v>3339</v>
      </c>
      <c r="N371" s="15">
        <f>288600                                        +210000                                                             +234510                                  +168900                              +300000                                      +87000                                               +178900                                      +100000                                     +91400                      +180000                                    +111200                                     +60940                                  +117800                               +204200                                   +125685                                        +130000                                               +110000                                          +112300                                   +72430                                          +166700                               +166700                                 +277800</f>
        <v>3495065</v>
      </c>
      <c r="O371" s="675">
        <v>244072</v>
      </c>
      <c r="P371" s="747" t="s">
        <v>3337</v>
      </c>
      <c r="Q371" s="676" t="s">
        <v>3338</v>
      </c>
      <c r="R371" s="798" t="s">
        <v>3340</v>
      </c>
      <c r="S371" s="798">
        <f>(3495065-2684792)</f>
        <v>810273</v>
      </c>
      <c r="T371" s="894" t="s">
        <v>3408</v>
      </c>
      <c r="U371" s="906" t="s">
        <v>4460</v>
      </c>
      <c r="V371" s="764"/>
      <c r="W371" s="764"/>
      <c r="X371" s="2401"/>
      <c r="Y371" s="14"/>
    </row>
    <row r="372" spans="1:27" s="1" customFormat="1" ht="84.75" customHeight="1">
      <c r="A372" s="379">
        <v>14</v>
      </c>
      <c r="B372" s="442" t="s">
        <v>3308</v>
      </c>
      <c r="C372" s="483" t="s">
        <v>909</v>
      </c>
      <c r="D372" s="484" t="s">
        <v>785</v>
      </c>
      <c r="E372" s="236" t="s">
        <v>786</v>
      </c>
      <c r="F372" s="344">
        <v>15600</v>
      </c>
      <c r="G372" s="569" t="s">
        <v>2975</v>
      </c>
      <c r="H372" s="534" t="s">
        <v>3160</v>
      </c>
      <c r="I372" s="487"/>
      <c r="J372" s="570" t="s">
        <v>3108</v>
      </c>
      <c r="K372" s="789"/>
      <c r="M372" s="50"/>
      <c r="N372" s="2"/>
      <c r="O372" s="2"/>
      <c r="P372" s="2"/>
      <c r="Q372" s="50"/>
      <c r="R372" s="50"/>
      <c r="S372" s="50"/>
      <c r="T372" s="50"/>
      <c r="U372" s="2"/>
    </row>
    <row r="373" spans="1:27" s="1" customFormat="1" ht="164.25" customHeight="1">
      <c r="A373" s="379"/>
      <c r="B373" s="359" t="s">
        <v>2886</v>
      </c>
      <c r="C373" s="617" t="s">
        <v>919</v>
      </c>
      <c r="D373" s="359" t="s">
        <v>1110</v>
      </c>
      <c r="E373" s="749" t="s">
        <v>3075</v>
      </c>
      <c r="F373" s="751" t="s">
        <v>3065</v>
      </c>
      <c r="G373" s="753"/>
      <c r="H373" s="755" t="s">
        <v>2986</v>
      </c>
      <c r="I373" s="487"/>
      <c r="J373" s="757"/>
      <c r="K373" s="2"/>
      <c r="L373" s="715" t="s">
        <v>3384</v>
      </c>
      <c r="M373" s="641" t="s">
        <v>1015</v>
      </c>
      <c r="N373" s="898">
        <f>180000                                  +420000                                        +98910                                     +100000                                            +220000                                 +33400                                         +92500                                                +188900                                          +22300                                                                  +92000                            +336700                                                +333400                                               +33400</f>
        <v>2151510</v>
      </c>
      <c r="O373" s="619" t="s">
        <v>3381</v>
      </c>
      <c r="P373" s="897" t="s">
        <v>3383</v>
      </c>
      <c r="Q373" s="650" t="s">
        <v>3382</v>
      </c>
      <c r="R373" s="650"/>
      <c r="S373" s="650"/>
      <c r="T373" s="650"/>
      <c r="U373" s="2" t="s">
        <v>2953</v>
      </c>
      <c r="X373" s="669"/>
    </row>
    <row r="374" spans="1:27" s="1" customFormat="1" ht="77.25" customHeight="1">
      <c r="A374" s="2"/>
      <c r="B374" s="506"/>
      <c r="C374" s="280"/>
      <c r="D374" s="507"/>
      <c r="E374" s="750"/>
      <c r="F374" s="752"/>
      <c r="G374" s="754"/>
      <c r="H374" s="756"/>
      <c r="I374" s="2"/>
      <c r="J374" s="834"/>
      <c r="K374" s="660"/>
      <c r="L374" s="698" t="s">
        <v>3385</v>
      </c>
      <c r="M374" s="641" t="s">
        <v>1111</v>
      </c>
      <c r="N374" s="2">
        <f>150000                                 +291800                         +337000                                    +380000                                             +450000</f>
        <v>1608800</v>
      </c>
      <c r="O374" s="660">
        <f>(150000                                 +291800                         +337000                                    +380000                                             +450000)/6</f>
        <v>268133.33333333331</v>
      </c>
      <c r="P374" s="504" t="s">
        <v>3188</v>
      </c>
      <c r="Q374" s="651" t="s">
        <v>2951</v>
      </c>
      <c r="R374" s="835">
        <f>268133.33*6-(150000                                 +291800                         +337000                                    +380000                                             +450000)</f>
        <v>-2.0000000018626451E-2</v>
      </c>
      <c r="S374" s="835"/>
      <c r="T374" s="651"/>
      <c r="U374" s="836" t="e">
        <f>O373+O374</f>
        <v>#VALUE!</v>
      </c>
      <c r="V374" s="762"/>
      <c r="W374" s="762"/>
    </row>
    <row r="375" spans="1:27" s="1" customFormat="1" ht="31.5" customHeight="1">
      <c r="A375" s="379"/>
      <c r="B375" s="507"/>
      <c r="C375" s="280" t="s">
        <v>3071</v>
      </c>
      <c r="D375" s="752" t="s">
        <v>3076</v>
      </c>
      <c r="E375" s="750"/>
      <c r="F375" s="758">
        <v>96000</v>
      </c>
      <c r="G375" s="754"/>
      <c r="H375" s="759" t="s">
        <v>3072</v>
      </c>
      <c r="I375" s="487"/>
      <c r="J375" s="757"/>
      <c r="K375" s="2"/>
      <c r="L375" s="715"/>
      <c r="M375" s="641"/>
      <c r="N375" s="619"/>
      <c r="O375" s="619"/>
      <c r="P375" s="504"/>
      <c r="Q375" s="650"/>
      <c r="R375" s="650"/>
      <c r="S375" s="650"/>
      <c r="T375" s="650"/>
      <c r="U375" s="2"/>
      <c r="X375" s="669"/>
    </row>
    <row r="376" spans="1:27" s="1" customFormat="1" ht="81.75" customHeight="1">
      <c r="A376" s="379">
        <v>15</v>
      </c>
      <c r="B376" s="137" t="s">
        <v>673</v>
      </c>
      <c r="C376" s="207" t="s">
        <v>674</v>
      </c>
      <c r="D376" s="207" t="s">
        <v>927</v>
      </c>
      <c r="E376" s="60"/>
      <c r="F376" s="302">
        <v>16000</v>
      </c>
      <c r="G376" s="547" t="s">
        <v>2980</v>
      </c>
      <c r="H376" s="794" t="s">
        <v>3280</v>
      </c>
      <c r="I376" s="495"/>
      <c r="J376" s="793" t="s">
        <v>4438</v>
      </c>
      <c r="K376" s="50"/>
      <c r="L376" s="2"/>
      <c r="M376" s="548"/>
      <c r="N376" s="2"/>
      <c r="O376" s="2"/>
      <c r="P376" s="2"/>
      <c r="Q376" s="50"/>
      <c r="R376" s="50"/>
      <c r="S376" s="50"/>
      <c r="T376" s="50"/>
      <c r="U376" s="2"/>
    </row>
    <row r="377" spans="1:27" ht="118.5" customHeight="1">
      <c r="A377" s="2"/>
      <c r="B377" s="16" t="s">
        <v>1082</v>
      </c>
      <c r="C377" s="45" t="s">
        <v>1083</v>
      </c>
      <c r="D377" s="45" t="s">
        <v>2949</v>
      </c>
      <c r="E377" s="139" t="s">
        <v>2948</v>
      </c>
      <c r="F377" s="540" t="s">
        <v>2964</v>
      </c>
      <c r="G377" s="141" t="s">
        <v>1087</v>
      </c>
      <c r="H377" s="139" t="s">
        <v>3041</v>
      </c>
      <c r="I377" s="2"/>
      <c r="J377" s="619"/>
      <c r="K377" s="619"/>
      <c r="L377" s="139" t="s">
        <v>3227</v>
      </c>
      <c r="M377" s="140" t="s">
        <v>1112</v>
      </c>
      <c r="N377" s="619">
        <f>133290                                      +123290                                      +178790 + 1109610</f>
        <v>1544980</v>
      </c>
      <c r="O377" s="848">
        <v>123290</v>
      </c>
      <c r="P377" s="516" t="s">
        <v>3139</v>
      </c>
      <c r="Q377" s="849" t="s">
        <v>3210</v>
      </c>
      <c r="R377" s="708"/>
      <c r="S377" s="708"/>
      <c r="T377" s="850"/>
      <c r="U377" s="619"/>
      <c r="V377" s="696"/>
      <c r="W377" s="696"/>
      <c r="X377" s="670">
        <f>209830                        +78000                    +200000                      +120000                                  +145980                                             +133300                                                        +222500</f>
        <v>1109610</v>
      </c>
      <c r="Y377" s="670">
        <f>123290                                      +55500                               +123290                                                            +123290                                           +64500</f>
        <v>489870</v>
      </c>
      <c r="Z377" s="655">
        <f>123290*3</f>
        <v>369870</v>
      </c>
      <c r="AA377" s="669">
        <f>Y377-Z377</f>
        <v>120000</v>
      </c>
    </row>
    <row r="378" spans="1:27" ht="45.75" customHeight="1">
      <c r="B378" s="417"/>
      <c r="C378" s="2355" t="s">
        <v>1114</v>
      </c>
      <c r="D378" s="2367" t="s">
        <v>2967</v>
      </c>
      <c r="E378" s="617"/>
      <c r="F378" s="618"/>
      <c r="G378" s="436"/>
      <c r="H378" s="139"/>
      <c r="I378" s="2"/>
      <c r="J378" s="2"/>
      <c r="K378" s="407"/>
      <c r="L378" s="172" t="s">
        <v>3140</v>
      </c>
      <c r="M378" s="140" t="s">
        <v>2869</v>
      </c>
      <c r="N378" s="619" t="s">
        <v>3189</v>
      </c>
      <c r="O378" s="139" t="s">
        <v>3221</v>
      </c>
      <c r="P378" s="172">
        <v>50000</v>
      </c>
      <c r="Q378" s="661" t="s">
        <v>3141</v>
      </c>
      <c r="R378" s="661"/>
      <c r="S378" s="661"/>
      <c r="T378" s="661"/>
      <c r="U378" s="2"/>
    </row>
    <row r="379" spans="1:27" s="1" customFormat="1" ht="78" customHeight="1">
      <c r="A379" s="457"/>
      <c r="B379" s="417" t="s">
        <v>1113</v>
      </c>
      <c r="C379" s="2356"/>
      <c r="D379" s="2368"/>
      <c r="E379" s="194"/>
      <c r="F379" s="571">
        <v>599800</v>
      </c>
      <c r="G379" s="283"/>
      <c r="H379" s="339" t="s">
        <v>1115</v>
      </c>
      <c r="I379" s="2" t="s">
        <v>1116</v>
      </c>
      <c r="J379" s="2"/>
      <c r="K379" s="139" t="s">
        <v>1117</v>
      </c>
      <c r="L379" s="172" t="s">
        <v>2972</v>
      </c>
      <c r="M379" s="139" t="s">
        <v>1118</v>
      </c>
      <c r="N379" s="139">
        <v>505600</v>
      </c>
      <c r="O379" s="139" t="s">
        <v>2987</v>
      </c>
      <c r="P379" s="666">
        <v>505600</v>
      </c>
      <c r="Q379" s="140" t="s">
        <v>2968</v>
      </c>
      <c r="R379" s="140"/>
      <c r="S379" s="140"/>
      <c r="T379" s="140"/>
      <c r="U379" s="2"/>
      <c r="V379" s="680"/>
      <c r="W379" s="680"/>
      <c r="Z379" s="669"/>
    </row>
    <row r="380" spans="1:27" s="1" customFormat="1" ht="66.75" customHeight="1">
      <c r="A380" s="457"/>
      <c r="B380" s="417"/>
      <c r="C380" s="45" t="s">
        <v>1119</v>
      </c>
      <c r="D380" s="15" t="s">
        <v>2971</v>
      </c>
      <c r="E380" s="33" t="s">
        <v>1120</v>
      </c>
      <c r="F380" s="33">
        <v>232700</v>
      </c>
      <c r="G380" s="572"/>
      <c r="H380" s="339" t="s">
        <v>2881</v>
      </c>
      <c r="I380" s="2" t="s">
        <v>2904</v>
      </c>
      <c r="J380" s="2"/>
      <c r="K380" s="139"/>
      <c r="L380" s="139" t="s">
        <v>3142</v>
      </c>
      <c r="M380" s="140" t="s">
        <v>2869</v>
      </c>
      <c r="N380" s="665" t="s">
        <v>2941</v>
      </c>
      <c r="O380" s="619"/>
      <c r="P380" s="665" t="s">
        <v>3190</v>
      </c>
      <c r="Q380" s="652" t="s">
        <v>2950</v>
      </c>
      <c r="R380" s="652"/>
      <c r="S380" s="652"/>
      <c r="T380" s="652"/>
      <c r="U380" s="2"/>
      <c r="V380" s="680"/>
      <c r="W380" s="680"/>
    </row>
    <row r="381" spans="1:27" s="1" customFormat="1" ht="78.75" customHeight="1">
      <c r="A381" s="457"/>
      <c r="B381" s="2367" t="s">
        <v>2888</v>
      </c>
      <c r="C381" s="45" t="s">
        <v>2887</v>
      </c>
      <c r="D381" s="15" t="s">
        <v>2889</v>
      </c>
      <c r="E381" s="119" t="s">
        <v>3011</v>
      </c>
      <c r="F381" s="33" t="s">
        <v>2940</v>
      </c>
      <c r="G381" s="284"/>
      <c r="H381" s="672" t="s">
        <v>3245</v>
      </c>
      <c r="I381" s="284"/>
      <c r="J381" s="792"/>
      <c r="K381" s="690"/>
      <c r="L381" s="45"/>
      <c r="M381" s="44"/>
      <c r="N381" s="812"/>
      <c r="O381" s="719"/>
      <c r="P381" s="828"/>
      <c r="Q381" s="813"/>
      <c r="R381" s="510"/>
      <c r="S381" s="510"/>
      <c r="T381" s="510"/>
      <c r="U381" s="2"/>
      <c r="V381" s="680"/>
      <c r="W381" s="680"/>
    </row>
    <row r="382" spans="1:27" s="1" customFormat="1" ht="80.25" customHeight="1">
      <c r="A382" s="457"/>
      <c r="B382" s="2368"/>
      <c r="C382" s="45" t="s">
        <v>3038</v>
      </c>
      <c r="D382" s="15" t="s">
        <v>3120</v>
      </c>
      <c r="E382" s="119" t="s">
        <v>3039</v>
      </c>
      <c r="F382" s="729">
        <v>453500</v>
      </c>
      <c r="G382" s="572"/>
      <c r="H382" s="672" t="s">
        <v>3092</v>
      </c>
      <c r="I382" s="339" t="s">
        <v>3244</v>
      </c>
      <c r="J382" s="879"/>
      <c r="K382" s="814"/>
      <c r="L382" s="45" t="s">
        <v>3226</v>
      </c>
      <c r="M382" s="779" t="s">
        <v>3066</v>
      </c>
      <c r="N382" s="564">
        <f>274620                                                +111120</f>
        <v>385740</v>
      </c>
      <c r="O382" s="599" t="s">
        <v>3225</v>
      </c>
      <c r="P382" s="760" t="s">
        <v>3146</v>
      </c>
      <c r="Q382" s="510" t="s">
        <v>3147</v>
      </c>
      <c r="R382" s="510"/>
      <c r="S382" s="510"/>
      <c r="T382" s="510"/>
      <c r="U382" s="2"/>
      <c r="V382" s="680"/>
      <c r="W382" s="680"/>
    </row>
    <row r="383" spans="1:27" s="379" customFormat="1" ht="40.5" customHeight="1">
      <c r="A383" s="141"/>
      <c r="B383" s="25" t="s">
        <v>1095</v>
      </c>
      <c r="C383" s="45" t="s">
        <v>2922</v>
      </c>
      <c r="D383" s="25" t="s">
        <v>2937</v>
      </c>
      <c r="E383" s="549"/>
      <c r="F383" s="806" t="s">
        <v>2923</v>
      </c>
      <c r="G383" s="22"/>
      <c r="H383" s="673" t="s">
        <v>3008</v>
      </c>
      <c r="I383" s="445"/>
      <c r="J383" s="445"/>
      <c r="K383" s="445"/>
      <c r="L383" s="36" t="s">
        <v>3003</v>
      </c>
      <c r="M383" s="464" t="s">
        <v>1106</v>
      </c>
      <c r="N383" s="141">
        <v>370000</v>
      </c>
      <c r="O383" s="141"/>
      <c r="P383" s="2">
        <v>370000</v>
      </c>
      <c r="Q383" s="714">
        <v>44399</v>
      </c>
      <c r="R383" s="714"/>
      <c r="S383" s="714"/>
      <c r="T383" s="714"/>
      <c r="U383" s="141"/>
      <c r="V383" s="697"/>
      <c r="W383" s="697"/>
    </row>
    <row r="384" spans="1:27" s="379" customFormat="1" ht="45" customHeight="1">
      <c r="A384" s="141"/>
      <c r="B384" s="25" t="s">
        <v>1095</v>
      </c>
      <c r="C384" s="45" t="s">
        <v>1099</v>
      </c>
      <c r="D384" s="25" t="s">
        <v>2943</v>
      </c>
      <c r="E384" s="639" t="s">
        <v>2925</v>
      </c>
      <c r="F384" s="807" t="s">
        <v>2924</v>
      </c>
      <c r="G384" s="445"/>
      <c r="H384" s="673" t="s">
        <v>3009</v>
      </c>
      <c r="I384" s="445"/>
      <c r="J384" s="445"/>
      <c r="K384" s="445"/>
      <c r="L384" s="29"/>
      <c r="M384" s="637"/>
      <c r="N384" s="638"/>
      <c r="O384" s="2"/>
      <c r="Q384" s="464"/>
      <c r="R384" s="464"/>
      <c r="S384" s="464"/>
      <c r="T384" s="464"/>
      <c r="U384" s="141"/>
      <c r="V384" s="697"/>
      <c r="W384" s="697"/>
    </row>
    <row r="385" spans="1:33" ht="57.75" customHeight="1">
      <c r="A385" s="2"/>
      <c r="B385" s="25" t="s">
        <v>1095</v>
      </c>
      <c r="C385" s="45" t="s">
        <v>2931</v>
      </c>
      <c r="D385" s="139" t="s">
        <v>2936</v>
      </c>
      <c r="E385" s="139" t="s">
        <v>2942</v>
      </c>
      <c r="F385" s="2">
        <v>596807.91</v>
      </c>
      <c r="G385" s="2"/>
      <c r="H385" s="2"/>
      <c r="I385" s="139">
        <f>154155.95                                   +442651.96</f>
        <v>596807.91</v>
      </c>
      <c r="J385" s="2" t="s">
        <v>3007</v>
      </c>
      <c r="K385" s="2"/>
      <c r="L385" s="796" t="s">
        <v>3119</v>
      </c>
      <c r="M385" s="667" t="s">
        <v>1106</v>
      </c>
      <c r="N385" s="638">
        <v>350000</v>
      </c>
      <c r="O385" s="2" t="s">
        <v>3193</v>
      </c>
      <c r="P385" s="2">
        <v>350000</v>
      </c>
      <c r="Q385" s="50" t="s">
        <v>2969</v>
      </c>
      <c r="R385" s="50"/>
      <c r="S385" s="50"/>
      <c r="T385" s="50"/>
      <c r="U385" s="2"/>
    </row>
    <row r="386" spans="1:33" s="379" customFormat="1" ht="51.75" customHeight="1">
      <c r="A386" s="141"/>
      <c r="B386" s="25" t="s">
        <v>1095</v>
      </c>
      <c r="C386" s="45" t="s">
        <v>2922</v>
      </c>
      <c r="D386" s="25" t="s">
        <v>2944</v>
      </c>
      <c r="E386" s="549" t="s">
        <v>2945</v>
      </c>
      <c r="F386" s="806" t="s">
        <v>3019</v>
      </c>
      <c r="G386" s="22"/>
      <c r="H386" s="634" t="s">
        <v>3010</v>
      </c>
      <c r="I386" s="445"/>
      <c r="J386" s="445"/>
      <c r="K386" s="445"/>
      <c r="L386" s="687" t="s">
        <v>3099</v>
      </c>
      <c r="M386" s="787" t="s">
        <v>1015</v>
      </c>
      <c r="N386" s="2">
        <v>150000</v>
      </c>
      <c r="O386" s="141"/>
      <c r="P386" s="141">
        <v>150000</v>
      </c>
      <c r="Q386" s="464" t="s">
        <v>3078</v>
      </c>
      <c r="R386" s="653"/>
      <c r="S386" s="653"/>
      <c r="T386" s="653"/>
      <c r="U386" s="141"/>
      <c r="V386" s="697"/>
      <c r="W386" s="697"/>
    </row>
    <row r="387" spans="1:33" s="379" customFormat="1" ht="42.75" customHeight="1">
      <c r="A387" s="141"/>
      <c r="B387" s="25" t="s">
        <v>3006</v>
      </c>
      <c r="C387" s="45" t="s">
        <v>1099</v>
      </c>
      <c r="D387" s="25" t="s">
        <v>2947</v>
      </c>
      <c r="E387" s="639" t="s">
        <v>2946</v>
      </c>
      <c r="F387" s="688" t="s">
        <v>2924</v>
      </c>
      <c r="G387" s="445"/>
      <c r="H387" s="634" t="s">
        <v>3010</v>
      </c>
      <c r="I387" s="445"/>
      <c r="J387" s="445"/>
      <c r="K387" s="445"/>
      <c r="L387" s="45"/>
      <c r="M387" s="641"/>
      <c r="N387" s="2"/>
      <c r="O387" s="141"/>
      <c r="P387" s="141"/>
      <c r="Q387" s="464"/>
      <c r="R387" s="464"/>
      <c r="S387" s="464"/>
      <c r="T387" s="464"/>
      <c r="U387" s="141"/>
      <c r="V387" s="697"/>
      <c r="W387" s="697"/>
    </row>
    <row r="388" spans="1:33" s="379" customFormat="1" ht="42.75" customHeight="1">
      <c r="A388" s="141"/>
      <c r="B388" s="25" t="s">
        <v>1095</v>
      </c>
      <c r="C388" s="45" t="s">
        <v>1099</v>
      </c>
      <c r="D388" s="25" t="s">
        <v>3017</v>
      </c>
      <c r="E388" s="639" t="s">
        <v>3016</v>
      </c>
      <c r="F388" s="688" t="s">
        <v>2924</v>
      </c>
      <c r="G388" s="445"/>
      <c r="H388" s="634" t="s">
        <v>3067</v>
      </c>
      <c r="I388" s="445"/>
      <c r="J388" s="445"/>
      <c r="K388" s="445"/>
      <c r="L388" s="29"/>
      <c r="M388" s="658"/>
      <c r="N388" s="141"/>
      <c r="O388" s="141"/>
      <c r="P388" s="141"/>
      <c r="Q388" s="464"/>
      <c r="R388" s="464"/>
      <c r="S388" s="464"/>
      <c r="T388" s="464"/>
      <c r="U388" s="141"/>
      <c r="V388" s="697"/>
      <c r="W388" s="697"/>
    </row>
    <row r="389" spans="1:33" s="379" customFormat="1" ht="57.75" customHeight="1">
      <c r="A389" s="141"/>
      <c r="B389" s="25" t="s">
        <v>1095</v>
      </c>
      <c r="C389" s="45" t="s">
        <v>2922</v>
      </c>
      <c r="D389" s="25" t="s">
        <v>3015</v>
      </c>
      <c r="E389" s="549" t="s">
        <v>3016</v>
      </c>
      <c r="F389" s="806" t="s">
        <v>3018</v>
      </c>
      <c r="G389" s="22"/>
      <c r="H389" s="634" t="s">
        <v>3067</v>
      </c>
      <c r="I389" s="445"/>
      <c r="J389" s="445"/>
      <c r="K389" s="445"/>
      <c r="L389" s="832" t="s">
        <v>3186</v>
      </c>
      <c r="M389" s="50" t="s">
        <v>1015</v>
      </c>
      <c r="N389" s="139">
        <f>150855                               +133500                                 +15800                       +25500</f>
        <v>325655</v>
      </c>
      <c r="O389" s="141">
        <v>162827.5</v>
      </c>
      <c r="P389" s="908" t="s">
        <v>3360</v>
      </c>
      <c r="Q389" s="642" t="s">
        <v>3361</v>
      </c>
      <c r="R389" s="909" t="s">
        <v>3369</v>
      </c>
      <c r="S389" s="909"/>
      <c r="T389" s="653"/>
      <c r="U389" s="141"/>
      <c r="V389" s="697"/>
      <c r="W389" s="697"/>
    </row>
    <row r="390" spans="1:33" s="379" customFormat="1" ht="56.25" customHeight="1">
      <c r="A390" s="141"/>
      <c r="B390" s="25" t="s">
        <v>3006</v>
      </c>
      <c r="C390" s="45" t="s">
        <v>3068</v>
      </c>
      <c r="D390" s="25" t="s">
        <v>3069</v>
      </c>
      <c r="E390" s="549" t="s">
        <v>3016</v>
      </c>
      <c r="F390" s="729">
        <v>585052.18000000005</v>
      </c>
      <c r="G390" s="22"/>
      <c r="H390" s="28" t="s">
        <v>3191</v>
      </c>
      <c r="I390" s="445"/>
      <c r="J390" s="445"/>
      <c r="K390" s="445"/>
      <c r="L390" s="832" t="s">
        <v>3222</v>
      </c>
      <c r="M390" s="50" t="s">
        <v>3098</v>
      </c>
      <c r="N390" s="141">
        <f>242300                 +215600</f>
        <v>457900</v>
      </c>
      <c r="O390" s="172" t="s">
        <v>3192</v>
      </c>
      <c r="P390" s="172" t="s">
        <v>3185</v>
      </c>
      <c r="Q390" s="642" t="s">
        <v>3184</v>
      </c>
      <c r="R390" s="653"/>
      <c r="S390" s="653"/>
      <c r="T390" s="653"/>
      <c r="U390" s="141"/>
      <c r="V390" s="697"/>
      <c r="W390" s="697"/>
    </row>
    <row r="391" spans="1:33" s="379" customFormat="1" ht="42.75" customHeight="1">
      <c r="A391" s="141"/>
      <c r="B391" s="25" t="s">
        <v>1095</v>
      </c>
      <c r="C391" s="45" t="s">
        <v>1099</v>
      </c>
      <c r="D391" s="25" t="s">
        <v>3088</v>
      </c>
      <c r="E391" s="639" t="s">
        <v>3081</v>
      </c>
      <c r="F391" s="639" t="s">
        <v>3083</v>
      </c>
      <c r="G391" s="445"/>
      <c r="H391" s="634" t="s">
        <v>3149</v>
      </c>
      <c r="I391" s="445"/>
      <c r="J391" s="445"/>
      <c r="K391" s="445"/>
      <c r="L391" s="815" t="s">
        <v>3151</v>
      </c>
      <c r="M391" s="816" t="s">
        <v>3148</v>
      </c>
      <c r="N391" s="817">
        <v>150000</v>
      </c>
      <c r="O391" s="141"/>
      <c r="P391" s="817">
        <v>150000</v>
      </c>
      <c r="Q391" s="50" t="s">
        <v>3317</v>
      </c>
      <c r="R391" s="464"/>
      <c r="S391" s="464"/>
      <c r="T391" s="464"/>
      <c r="U391" s="141"/>
      <c r="V391" s="697"/>
      <c r="W391" s="697"/>
    </row>
    <row r="392" spans="1:33" s="379" customFormat="1" ht="54.75" customHeight="1">
      <c r="A392" s="141"/>
      <c r="B392" s="25" t="s">
        <v>1095</v>
      </c>
      <c r="C392" s="45" t="s">
        <v>2922</v>
      </c>
      <c r="D392" s="25" t="s">
        <v>3080</v>
      </c>
      <c r="E392" s="549" t="s">
        <v>3081</v>
      </c>
      <c r="F392" s="549" t="s">
        <v>3082</v>
      </c>
      <c r="G392" s="22"/>
      <c r="H392" s="634" t="s">
        <v>3150</v>
      </c>
      <c r="I392" s="445"/>
      <c r="J392" s="445"/>
      <c r="K392" s="445"/>
      <c r="L392" s="693" t="s">
        <v>3217</v>
      </c>
      <c r="M392" s="50" t="s">
        <v>3098</v>
      </c>
      <c r="N392" s="907">
        <f>170000*3</f>
        <v>510000</v>
      </c>
      <c r="O392" s="172" t="s">
        <v>3368</v>
      </c>
      <c r="P392" s="172" t="s">
        <v>3362</v>
      </c>
      <c r="Q392" s="642" t="s">
        <v>3363</v>
      </c>
      <c r="R392" s="910" t="s">
        <v>3369</v>
      </c>
      <c r="S392" s="910"/>
      <c r="T392" s="847"/>
      <c r="U392" s="141"/>
      <c r="V392" s="697"/>
      <c r="W392" s="697"/>
    </row>
    <row r="393" spans="1:33" ht="15.75">
      <c r="B393" s="774"/>
      <c r="C393" s="775"/>
      <c r="D393" s="774"/>
    </row>
    <row r="394" spans="1:33" s="551" customFormat="1" ht="19.5" customHeight="1">
      <c r="B394" s="552" t="s">
        <v>3087</v>
      </c>
      <c r="C394" s="553"/>
      <c r="D394" s="554"/>
      <c r="E394" s="555"/>
      <c r="F394" s="556"/>
      <c r="G394" s="556"/>
      <c r="H394" s="557"/>
      <c r="I394" s="558"/>
      <c r="J394" s="559"/>
      <c r="K394" s="559"/>
      <c r="L394" s="559"/>
      <c r="M394" s="559"/>
      <c r="N394" s="559"/>
      <c r="O394" s="559"/>
      <c r="P394" s="559"/>
      <c r="Q394" s="780"/>
      <c r="R394" s="780"/>
      <c r="S394" s="780"/>
      <c r="T394" s="780"/>
      <c r="U394" s="559"/>
      <c r="V394" s="781"/>
      <c r="W394" s="782"/>
      <c r="X394" s="783"/>
      <c r="Y394" s="559"/>
    </row>
    <row r="395" spans="1:33" s="1" customFormat="1" ht="65.25" customHeight="1">
      <c r="A395" s="2468">
        <v>1</v>
      </c>
      <c r="B395" s="862" t="s">
        <v>3270</v>
      </c>
      <c r="C395" s="45" t="s">
        <v>694</v>
      </c>
      <c r="D395" s="15" t="s">
        <v>2997</v>
      </c>
      <c r="E395" s="804" t="s">
        <v>3123</v>
      </c>
      <c r="F395" s="617" t="s">
        <v>2903</v>
      </c>
      <c r="G395" s="617" t="s">
        <v>3175</v>
      </c>
      <c r="H395" s="830" t="s">
        <v>3281</v>
      </c>
      <c r="I395" s="628"/>
      <c r="J395" s="436"/>
      <c r="K395" s="436"/>
      <c r="L395" s="844" t="s">
        <v>3397</v>
      </c>
      <c r="M395" s="923" t="s">
        <v>3398</v>
      </c>
      <c r="N395" s="633">
        <f>170000                       +96780                        +55600                  +85620                   +85620</f>
        <v>493620</v>
      </c>
      <c r="O395" s="172" t="s">
        <v>3373</v>
      </c>
      <c r="P395" s="172" t="s">
        <v>3371</v>
      </c>
      <c r="Q395" s="772" t="s">
        <v>3372</v>
      </c>
      <c r="R395" s="660"/>
      <c r="S395" s="912"/>
      <c r="T395" s="736"/>
      <c r="U395" s="436"/>
      <c r="V395" s="711"/>
    </row>
    <row r="396" spans="1:33" s="1" customFormat="1" ht="60.75" customHeight="1">
      <c r="A396" s="2469"/>
      <c r="B396" s="861"/>
      <c r="C396" s="45" t="s">
        <v>3255</v>
      </c>
      <c r="D396" s="25" t="s">
        <v>3267</v>
      </c>
      <c r="E396" s="207"/>
      <c r="F396" s="617"/>
      <c r="G396" s="617"/>
      <c r="H396" s="830"/>
      <c r="I396" s="869">
        <v>480000</v>
      </c>
      <c r="J396" s="870">
        <v>44651</v>
      </c>
      <c r="K396" s="436"/>
      <c r="L396" s="630"/>
      <c r="M396" s="629"/>
      <c r="N396" s="139"/>
      <c r="O396" s="172"/>
      <c r="P396" s="172"/>
      <c r="Q396" s="772"/>
      <c r="R396" s="778"/>
      <c r="S396" s="914"/>
      <c r="T396" s="736"/>
      <c r="U396" s="436"/>
      <c r="V396" s="711"/>
      <c r="W396" s="769"/>
    </row>
    <row r="397" spans="1:33" s="1" customFormat="1" ht="23.25" customHeight="1">
      <c r="A397" s="871"/>
      <c r="B397" s="2416" t="s">
        <v>426</v>
      </c>
      <c r="C397" s="135" t="s">
        <v>3309</v>
      </c>
      <c r="D397" s="2367" t="s">
        <v>3268</v>
      </c>
      <c r="E397" s="207"/>
      <c r="F397" s="617"/>
      <c r="G397" s="617"/>
      <c r="H397" s="876" t="s">
        <v>3001</v>
      </c>
      <c r="I397" s="869" t="s">
        <v>3310</v>
      </c>
      <c r="J397" s="870"/>
      <c r="K397" s="436"/>
      <c r="L397" s="630"/>
      <c r="M397" s="629"/>
      <c r="N397" s="139"/>
      <c r="O397" s="172"/>
      <c r="P397" s="172"/>
      <c r="Q397" s="772"/>
      <c r="R397" s="875"/>
      <c r="S397" s="914"/>
      <c r="T397" s="736"/>
      <c r="U397" s="436"/>
      <c r="V397" s="711"/>
      <c r="W397" s="769"/>
    </row>
    <row r="398" spans="1:33" s="1" customFormat="1" ht="76.5" customHeight="1">
      <c r="A398" s="249">
        <v>2</v>
      </c>
      <c r="B398" s="2417"/>
      <c r="C398" s="135" t="s">
        <v>427</v>
      </c>
      <c r="D398" s="2368"/>
      <c r="E398" s="60" t="s">
        <v>1104</v>
      </c>
      <c r="F398" s="48">
        <v>7500</v>
      </c>
      <c r="G398" s="54" t="s">
        <v>3158</v>
      </c>
      <c r="H398" s="433" t="s">
        <v>4485</v>
      </c>
      <c r="I398" s="498"/>
      <c r="J398" s="672"/>
      <c r="K398" s="2"/>
      <c r="L398" s="2"/>
      <c r="M398" s="2"/>
      <c r="N398" s="2"/>
      <c r="O398" s="2"/>
      <c r="P398" s="2"/>
      <c r="Q398" s="50"/>
      <c r="R398" s="50"/>
      <c r="S398" s="50"/>
      <c r="T398" s="50"/>
      <c r="U398" s="2"/>
      <c r="V398" s="659"/>
    </row>
    <row r="399" spans="1:33" s="1" customFormat="1" ht="386.25" customHeight="1">
      <c r="A399" s="420">
        <v>3</v>
      </c>
      <c r="B399" s="822" t="s">
        <v>955</v>
      </c>
      <c r="C399" s="741" t="s">
        <v>969</v>
      </c>
      <c r="D399" s="214" t="s">
        <v>3269</v>
      </c>
      <c r="E399" s="2427"/>
      <c r="F399" s="744" t="s">
        <v>3301</v>
      </c>
      <c r="G399" s="2418">
        <f>243400                          +93700                                                                    +337100                                          +400420                                      +567800                                  +155080                                                        +449500                                           +331300                                         +428880                                +300550                               +380000                                     +274550</f>
        <v>3962280</v>
      </c>
      <c r="H399" s="745" t="s">
        <v>4495</v>
      </c>
      <c r="I399" s="2421">
        <v>3390086</v>
      </c>
      <c r="J399" s="2424">
        <f>N399+N401+N402</f>
        <v>10193470</v>
      </c>
      <c r="K399" s="1920">
        <f>N399/607677</f>
        <v>8.6661334886790193</v>
      </c>
      <c r="L399" s="2355" t="s">
        <v>3164</v>
      </c>
      <c r="M399" s="2432" t="s">
        <v>1015</v>
      </c>
      <c r="N399" s="2434">
        <f>170000                           +224500                           +60970                                       +55660                      +370600                                            +166700                                                     +124380                                                  +220000                                       +175100                            +111150                              +440500                                                     +166700                                           +372250                       +129000                                     +92500                           +222300                             +222300                                   +124000                                           +54000                                           +166700                                        +222300                           +230000                                        +137800                                                   +88900                                   +33400                                +166700                          +94800                                    +200000                             +160000                         +167000                                   +96000</f>
        <v>5266210</v>
      </c>
      <c r="O399" s="686" t="s">
        <v>4463</v>
      </c>
      <c r="P399" s="2430" t="s">
        <v>4475</v>
      </c>
      <c r="Q399" s="2410" t="s">
        <v>4477</v>
      </c>
      <c r="R399" s="905" t="s">
        <v>4476</v>
      </c>
      <c r="S399" s="962" t="s">
        <v>4401</v>
      </c>
      <c r="T399" s="2406"/>
      <c r="U399" s="2412"/>
      <c r="V399" s="766"/>
      <c r="W399" s="766"/>
      <c r="X399" s="139"/>
      <c r="Y399" s="619">
        <f>(110100                                   +212200 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+284500)/2</f>
        <v>613115</v>
      </c>
      <c r="Z399" s="139">
        <f>(110100                                   +212200 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+271000)/3</f>
        <v>689043.33333333337</v>
      </c>
      <c r="AA399" s="139">
        <f>(110100                                   +212200 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+271000                        +183300                  +166700                     +333400                  +87000                                                +55600)/6</f>
        <v>482188.33333333331</v>
      </c>
      <c r="AB399" s="139">
        <f>(110100                                   +212200 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+271000                        +183300                  +166700                     +333400                  +87000                                                +55600                              +333400                                      +80000                               +210000                                    +220000                                                    +155600                                                 +222200                            +111100)/7</f>
        <v>603632.85714285716</v>
      </c>
      <c r="AC399" s="139">
        <f>(110100                                   +212200                                    +118280                                             +215000                              +32740                                  +44400                              +110100                                                  +98910                         +284500                             +331100                                         +238800                                               +271000                        +183300                  +166700                     +333400                  +87000                                                +55600                              +333400                                      +80000                               +210000                                    +220000                                                    +155600                                                 +222200                            +111100                            +111200                                        +344170                          +160000                                        +191800)/8</f>
        <v>629075</v>
      </c>
      <c r="AD399" s="2"/>
      <c r="AE399" s="2"/>
      <c r="AF399" s="664">
        <f>110100                                   +212200                                    +118280                                             +215000                                                          +98910                         +284500                             +331100                       +55500                      +238800                                            +271000                        +183300                  +166700                     +333400                  +87000                                                      +333400                                      +80000                               +210000                                    +220000                      +55600                                  +155600</f>
        <v>3760390</v>
      </c>
      <c r="AG399" s="655" t="s">
        <v>2979</v>
      </c>
    </row>
    <row r="400" spans="1:33" s="1" customFormat="1" ht="72" customHeight="1">
      <c r="A400" s="1937"/>
      <c r="B400" s="606"/>
      <c r="C400" s="899"/>
      <c r="D400" s="802"/>
      <c r="E400" s="2428"/>
      <c r="F400" s="1911"/>
      <c r="G400" s="2419"/>
      <c r="H400" s="1912"/>
      <c r="I400" s="2422"/>
      <c r="J400" s="2425"/>
      <c r="K400" s="1920"/>
      <c r="L400" s="2356"/>
      <c r="M400" s="2433"/>
      <c r="N400" s="2435"/>
      <c r="O400" s="686"/>
      <c r="P400" s="2431"/>
      <c r="Q400" s="2411"/>
      <c r="R400" s="905"/>
      <c r="S400" s="962"/>
      <c r="T400" s="2405"/>
      <c r="U400" s="2413"/>
      <c r="V400" s="766"/>
      <c r="W400" s="840"/>
      <c r="X400" s="655"/>
      <c r="Y400" s="670"/>
      <c r="Z400" s="655"/>
      <c r="AA400" s="655"/>
      <c r="AB400" s="655"/>
      <c r="AC400" s="655"/>
      <c r="AF400" s="664"/>
      <c r="AG400" s="655"/>
    </row>
    <row r="401" spans="1:33" s="1" customFormat="1" ht="202.5" customHeight="1" thickBot="1">
      <c r="A401" s="735"/>
      <c r="B401" s="606"/>
      <c r="C401" s="899"/>
      <c r="D401" s="802"/>
      <c r="E401" s="2428"/>
      <c r="F401" s="1911"/>
      <c r="G401" s="2419"/>
      <c r="H401" s="1912"/>
      <c r="I401" s="2422"/>
      <c r="J401" s="2425"/>
      <c r="K401" s="1920" t="s">
        <v>4369</v>
      </c>
      <c r="L401" s="367" t="s">
        <v>4451</v>
      </c>
      <c r="M401" s="1932" t="s">
        <v>4462</v>
      </c>
      <c r="N401" s="890">
        <f>243400                           +243400                      +93700                                     +250300                                         +498480                             +400420                                      +567800                                  +155080                                         +385000                            +449500                                           +331300                                         +428880</f>
        <v>4047260</v>
      </c>
      <c r="O401" s="681">
        <v>243400</v>
      </c>
      <c r="P401" s="615" t="s">
        <v>4474</v>
      </c>
      <c r="Q401" s="694" t="s">
        <v>4480</v>
      </c>
      <c r="R401" s="957">
        <f>243400                        +345400                              +250300                          +337100                         +498480                             +400420                                      +567800                                  +155080                                         +385000                            +449500                                           +331300                                         +428880</f>
        <v>4392660</v>
      </c>
      <c r="S401" s="961">
        <f>243400*7-N401</f>
        <v>-2343460</v>
      </c>
      <c r="T401" s="720" t="s">
        <v>4456</v>
      </c>
      <c r="U401" s="1947"/>
      <c r="V401" s="1843" t="s">
        <v>4453</v>
      </c>
      <c r="W401" s="840"/>
      <c r="X401" s="655"/>
      <c r="Y401" s="670"/>
      <c r="Z401" s="655"/>
      <c r="AA401" s="655"/>
      <c r="AB401" s="655"/>
      <c r="AC401" s="655"/>
      <c r="AF401" s="664"/>
      <c r="AG401" s="655"/>
    </row>
    <row r="402" spans="1:33" s="1" customFormat="1" ht="83.25" customHeight="1">
      <c r="A402" s="735"/>
      <c r="B402" s="606" t="s">
        <v>955</v>
      </c>
      <c r="C402" s="607"/>
      <c r="D402" s="1910"/>
      <c r="E402" s="2429"/>
      <c r="F402" s="902"/>
      <c r="G402" s="2420"/>
      <c r="H402" s="904"/>
      <c r="I402" s="2423"/>
      <c r="J402" s="2426"/>
      <c r="K402" s="1920" t="s">
        <v>4368</v>
      </c>
      <c r="L402" s="1023" t="s">
        <v>4370</v>
      </c>
      <c r="M402" s="602" t="s">
        <v>2733</v>
      </c>
      <c r="N402" s="599">
        <f>375000                                                        +395000                               +110000</f>
        <v>880000</v>
      </c>
      <c r="O402" s="599">
        <v>220000</v>
      </c>
      <c r="P402" s="892" t="s">
        <v>4291</v>
      </c>
      <c r="Q402" s="1337" t="s">
        <v>4347</v>
      </c>
      <c r="R402" s="1744" t="s">
        <v>4278</v>
      </c>
      <c r="S402" s="961"/>
      <c r="T402" s="648"/>
      <c r="U402" s="512"/>
      <c r="V402" s="766"/>
      <c r="W402" s="840"/>
      <c r="X402" s="655"/>
      <c r="Y402" s="670"/>
      <c r="Z402" s="655"/>
      <c r="AA402" s="655"/>
      <c r="AB402" s="655"/>
      <c r="AC402" s="655"/>
      <c r="AF402" s="664"/>
      <c r="AG402" s="655"/>
    </row>
    <row r="403" spans="1:33" s="1" customFormat="1" ht="118.5" customHeight="1">
      <c r="A403" s="735"/>
      <c r="B403" s="606"/>
      <c r="C403" s="418" t="s">
        <v>3328</v>
      </c>
      <c r="D403" s="886" t="s">
        <v>4482</v>
      </c>
      <c r="F403" s="887">
        <v>496840.19</v>
      </c>
      <c r="G403" s="785"/>
      <c r="H403" s="745"/>
      <c r="I403" s="920">
        <v>496840.19</v>
      </c>
      <c r="J403" s="920" t="s">
        <v>3394</v>
      </c>
      <c r="K403" s="786"/>
      <c r="L403" s="367" t="s">
        <v>4415</v>
      </c>
      <c r="M403" s="236" t="s">
        <v>4416</v>
      </c>
      <c r="N403" s="599">
        <v>380000</v>
      </c>
      <c r="O403" s="497"/>
      <c r="P403" s="1934">
        <v>380000</v>
      </c>
      <c r="Q403" s="1935">
        <v>44925</v>
      </c>
      <c r="R403" s="738"/>
      <c r="S403" s="738"/>
      <c r="T403" s="648"/>
      <c r="U403" s="512"/>
      <c r="V403" s="766"/>
      <c r="W403" s="840"/>
      <c r="X403" s="655"/>
      <c r="Y403" s="670"/>
      <c r="Z403" s="655"/>
      <c r="AA403" s="655"/>
      <c r="AB403" s="655"/>
      <c r="AC403" s="655"/>
      <c r="AF403" s="664"/>
      <c r="AG403" s="655"/>
    </row>
    <row r="404" spans="1:33" s="1" customFormat="1" ht="63" customHeight="1">
      <c r="A404" s="735"/>
      <c r="B404" s="606"/>
      <c r="C404" s="69" t="s">
        <v>4481</v>
      </c>
      <c r="D404" s="1953" t="s">
        <v>4483</v>
      </c>
      <c r="E404" s="2"/>
      <c r="F404" s="1955">
        <v>996249</v>
      </c>
      <c r="G404" s="785"/>
      <c r="H404" s="745"/>
      <c r="I404" s="920">
        <v>996249</v>
      </c>
      <c r="J404" s="920" t="s">
        <v>4484</v>
      </c>
      <c r="K404" s="786"/>
      <c r="L404" s="367"/>
      <c r="M404" s="508" t="s">
        <v>1015</v>
      </c>
      <c r="N404" s="599"/>
      <c r="O404" s="497"/>
      <c r="P404" s="1934"/>
      <c r="Q404" s="1935"/>
      <c r="R404" s="1956" t="s">
        <v>2982</v>
      </c>
      <c r="S404" s="738"/>
      <c r="T404" s="648"/>
      <c r="U404" s="512"/>
      <c r="V404" s="766"/>
      <c r="W404" s="840"/>
      <c r="X404" s="655"/>
      <c r="Y404" s="670"/>
      <c r="Z404" s="655"/>
      <c r="AA404" s="655"/>
      <c r="AB404" s="655"/>
      <c r="AC404" s="655"/>
      <c r="AF404" s="664"/>
      <c r="AG404" s="655"/>
    </row>
    <row r="405" spans="1:33" s="1" customFormat="1" ht="55.5" customHeight="1">
      <c r="A405" s="735"/>
      <c r="B405" s="823"/>
      <c r="C405" s="132" t="s">
        <v>3152</v>
      </c>
      <c r="D405" s="506" t="s">
        <v>3199</v>
      </c>
      <c r="E405" s="1951"/>
      <c r="F405" s="1952">
        <v>197168.78</v>
      </c>
      <c r="G405" s="139"/>
      <c r="H405" s="455" t="s">
        <v>3197</v>
      </c>
      <c r="I405" s="284"/>
      <c r="J405" s="284"/>
      <c r="K405" s="6"/>
      <c r="L405" s="565"/>
      <c r="M405" s="343"/>
      <c r="N405" s="599"/>
      <c r="O405" s="497"/>
      <c r="P405" s="564"/>
      <c r="Q405" s="694"/>
      <c r="R405" s="694"/>
      <c r="S405" s="694"/>
      <c r="T405" s="694"/>
      <c r="U405" s="512"/>
      <c r="V405" s="717"/>
      <c r="W405" s="765"/>
    </row>
    <row r="406" spans="1:33" s="1" customFormat="1" ht="57.75" customHeight="1">
      <c r="A406" s="927">
        <v>4</v>
      </c>
      <c r="B406" s="1386" t="s">
        <v>3233</v>
      </c>
      <c r="C406" s="56" t="s">
        <v>488</v>
      </c>
      <c r="D406" s="25" t="s">
        <v>738</v>
      </c>
      <c r="E406" s="25" t="s">
        <v>490</v>
      </c>
      <c r="F406" s="241">
        <v>9000</v>
      </c>
      <c r="G406" s="34" t="s">
        <v>491</v>
      </c>
      <c r="H406" s="35"/>
      <c r="I406" s="55"/>
      <c r="J406" s="30"/>
      <c r="K406" s="2"/>
      <c r="L406" s="2" t="s">
        <v>3198</v>
      </c>
      <c r="M406" s="2"/>
      <c r="N406" s="2"/>
      <c r="O406" s="2"/>
      <c r="P406" s="2"/>
      <c r="Q406" s="50"/>
      <c r="R406" s="50"/>
      <c r="S406" s="50"/>
      <c r="T406" s="50"/>
      <c r="U406" s="2"/>
      <c r="V406" s="2"/>
    </row>
    <row r="407" spans="1:33" s="1" customFormat="1" ht="106.5" customHeight="1">
      <c r="A407" s="927"/>
      <c r="B407" s="1386"/>
      <c r="C407" s="56"/>
      <c r="D407" s="38" t="s">
        <v>3271</v>
      </c>
      <c r="E407" s="25" t="s">
        <v>3235</v>
      </c>
      <c r="F407" s="241"/>
      <c r="G407" s="34" t="s">
        <v>3178</v>
      </c>
      <c r="H407" s="859" t="s">
        <v>4241</v>
      </c>
      <c r="I407" s="267"/>
      <c r="J407" s="396"/>
      <c r="K407" s="138"/>
      <c r="L407" s="138"/>
      <c r="M407" s="50"/>
      <c r="N407" s="2"/>
      <c r="O407" s="2"/>
      <c r="P407" s="2"/>
      <c r="Q407" s="50"/>
      <c r="R407" s="50"/>
      <c r="S407" s="50"/>
      <c r="T407" s="50"/>
      <c r="U407" s="2"/>
      <c r="V407" s="2"/>
    </row>
    <row r="408" spans="1:33" s="1" customFormat="1" ht="74.25" customHeight="1">
      <c r="A408" s="249">
        <v>5</v>
      </c>
      <c r="B408" s="465" t="s">
        <v>3289</v>
      </c>
      <c r="C408" s="54" t="s">
        <v>639</v>
      </c>
      <c r="D408" s="885" t="s">
        <v>3327</v>
      </c>
      <c r="E408" s="33" t="s">
        <v>641</v>
      </c>
      <c r="F408" s="285">
        <v>7000</v>
      </c>
      <c r="G408" s="54" t="s">
        <v>3179</v>
      </c>
      <c r="H408" s="449" t="s">
        <v>3290</v>
      </c>
      <c r="I408" s="400"/>
      <c r="J408" s="963" t="s">
        <v>3541</v>
      </c>
      <c r="K408" s="2"/>
      <c r="L408" s="2"/>
      <c r="M408" s="50"/>
      <c r="N408" s="2"/>
      <c r="O408" s="2"/>
      <c r="P408" s="2"/>
      <c r="Q408" s="50"/>
      <c r="R408" s="50"/>
      <c r="S408" s="50"/>
      <c r="T408" s="50"/>
      <c r="U408" s="2"/>
      <c r="V408" s="2"/>
    </row>
    <row r="409" spans="1:33" s="379" customFormat="1" ht="44.25" customHeight="1">
      <c r="A409" s="2459">
        <v>6</v>
      </c>
      <c r="B409" s="2364" t="s">
        <v>1095</v>
      </c>
      <c r="C409" s="45" t="s">
        <v>2922</v>
      </c>
      <c r="D409" s="25" t="s">
        <v>3237</v>
      </c>
      <c r="E409" s="549" t="s">
        <v>3236</v>
      </c>
      <c r="F409" s="806" t="s">
        <v>2923</v>
      </c>
      <c r="G409" s="22"/>
      <c r="H409" s="866" t="s">
        <v>3264</v>
      </c>
      <c r="I409" s="445"/>
      <c r="J409" s="445"/>
      <c r="K409" s="445" t="s">
        <v>65</v>
      </c>
      <c r="L409" s="36"/>
      <c r="M409" s="464"/>
      <c r="N409" s="141"/>
      <c r="O409" s="141"/>
      <c r="P409" s="2"/>
      <c r="Q409" s="714"/>
      <c r="R409" s="714"/>
      <c r="S409" s="714"/>
      <c r="T409" s="714"/>
      <c r="U409" s="141"/>
      <c r="V409" s="858"/>
      <c r="W409" s="697"/>
    </row>
    <row r="410" spans="1:33" s="379" customFormat="1" ht="69.75" customHeight="1">
      <c r="A410" s="2460"/>
      <c r="B410" s="2365"/>
      <c r="C410" s="45" t="s">
        <v>3386</v>
      </c>
      <c r="D410" s="25" t="s">
        <v>3282</v>
      </c>
      <c r="E410" s="863"/>
      <c r="F410" s="865">
        <v>598677.24</v>
      </c>
      <c r="G410" s="22"/>
      <c r="H410" s="673"/>
      <c r="I410" s="864">
        <v>598677.24</v>
      </c>
      <c r="J410" s="921">
        <v>44616</v>
      </c>
      <c r="K410" s="445"/>
      <c r="L410" s="36"/>
      <c r="M410" s="922" t="s">
        <v>4324</v>
      </c>
      <c r="N410" s="2">
        <v>266109</v>
      </c>
      <c r="O410" s="141"/>
      <c r="P410" s="139" t="s">
        <v>3399</v>
      </c>
      <c r="Q410" s="889">
        <v>44769</v>
      </c>
      <c r="R410" s="714"/>
      <c r="S410" s="714"/>
      <c r="T410" s="714"/>
      <c r="U410" s="141"/>
      <c r="V410" s="697"/>
      <c r="W410" s="697"/>
    </row>
    <row r="411" spans="1:33" s="379" customFormat="1" ht="53.25" customHeight="1">
      <c r="A411" s="2461"/>
      <c r="B411" s="2366"/>
      <c r="C411" s="45" t="s">
        <v>1099</v>
      </c>
      <c r="D411" s="25" t="s">
        <v>3246</v>
      </c>
      <c r="E411" s="639" t="s">
        <v>3279</v>
      </c>
      <c r="F411" s="639" t="s">
        <v>3247</v>
      </c>
      <c r="G411" s="445"/>
      <c r="H411" s="673" t="s">
        <v>3264</v>
      </c>
      <c r="I411" s="445"/>
      <c r="J411" s="445"/>
      <c r="K411" s="445"/>
      <c r="L411" s="815"/>
      <c r="M411" s="816"/>
      <c r="N411" s="817"/>
      <c r="O411" s="141"/>
      <c r="P411" s="141"/>
      <c r="Q411" s="464"/>
      <c r="R411" s="464"/>
      <c r="S411" s="464"/>
      <c r="T411" s="464"/>
      <c r="U411" s="141"/>
      <c r="V411" s="697"/>
      <c r="W411" s="697"/>
    </row>
    <row r="412" spans="1:33" s="379" customFormat="1" ht="40.5" customHeight="1">
      <c r="A412" s="141"/>
      <c r="B412" s="25" t="s">
        <v>1095</v>
      </c>
      <c r="C412" s="45" t="s">
        <v>3285</v>
      </c>
      <c r="D412" s="25" t="s">
        <v>3284</v>
      </c>
      <c r="E412" s="639" t="s">
        <v>3330</v>
      </c>
      <c r="F412" s="639" t="s">
        <v>3287</v>
      </c>
      <c r="G412" s="445"/>
      <c r="H412" s="673" t="s">
        <v>3352</v>
      </c>
      <c r="I412" s="445"/>
      <c r="J412" s="445"/>
      <c r="K412" s="445"/>
      <c r="L412" s="815"/>
      <c r="M412" s="816"/>
      <c r="N412" s="817"/>
      <c r="O412" s="141"/>
      <c r="P412" s="141"/>
      <c r="Q412" s="464"/>
      <c r="R412" s="464"/>
      <c r="S412" s="464"/>
      <c r="T412" s="464"/>
      <c r="U412" s="141"/>
      <c r="V412" s="697"/>
      <c r="W412" s="697"/>
    </row>
    <row r="413" spans="1:33" s="379" customFormat="1" ht="45" customHeight="1">
      <c r="A413" s="141"/>
      <c r="B413" s="25" t="s">
        <v>1095</v>
      </c>
      <c r="C413" s="45" t="s">
        <v>3286</v>
      </c>
      <c r="D413" s="25" t="s">
        <v>3283</v>
      </c>
      <c r="E413" s="639" t="s">
        <v>3330</v>
      </c>
      <c r="F413" s="639" t="s">
        <v>3288</v>
      </c>
      <c r="G413" s="445"/>
      <c r="H413" s="673" t="s">
        <v>3352</v>
      </c>
      <c r="I413" s="445"/>
      <c r="J413" s="445"/>
      <c r="K413" s="445"/>
      <c r="L413" s="815"/>
      <c r="M413" s="816"/>
      <c r="N413" s="817"/>
      <c r="O413" s="141"/>
      <c r="P413" s="141"/>
      <c r="Q413" s="464"/>
      <c r="R413" s="464"/>
      <c r="S413" s="464"/>
      <c r="T413" s="464"/>
      <c r="U413" s="141"/>
      <c r="V413" s="697"/>
      <c r="W413" s="697"/>
    </row>
    <row r="414" spans="1:33" s="379" customFormat="1" ht="38.25" customHeight="1">
      <c r="A414" s="141"/>
      <c r="B414" s="25" t="s">
        <v>1095</v>
      </c>
      <c r="C414" s="45" t="s">
        <v>3285</v>
      </c>
      <c r="D414" s="25" t="s">
        <v>3355</v>
      </c>
      <c r="E414" s="639" t="s">
        <v>3354</v>
      </c>
      <c r="F414" s="639" t="s">
        <v>3287</v>
      </c>
      <c r="G414" s="445"/>
      <c r="H414" s="673" t="s">
        <v>3507</v>
      </c>
      <c r="I414" s="445"/>
      <c r="J414" s="445"/>
      <c r="K414" s="445"/>
      <c r="L414" s="815"/>
      <c r="M414" s="816"/>
      <c r="N414" s="817"/>
      <c r="O414" s="141"/>
      <c r="P414" s="141"/>
      <c r="Q414" s="464"/>
      <c r="R414" s="464"/>
      <c r="S414" s="464"/>
      <c r="T414" s="464"/>
      <c r="U414" s="141"/>
      <c r="V414" s="697"/>
      <c r="W414" s="697"/>
    </row>
    <row r="415" spans="1:33" s="379" customFormat="1" ht="42" customHeight="1">
      <c r="A415" s="141"/>
      <c r="B415" s="25" t="s">
        <v>1095</v>
      </c>
      <c r="C415" s="45" t="s">
        <v>3286</v>
      </c>
      <c r="D415" s="25" t="s">
        <v>3353</v>
      </c>
      <c r="E415" s="639" t="s">
        <v>3354</v>
      </c>
      <c r="F415" s="639" t="s">
        <v>3288</v>
      </c>
      <c r="G415" s="445"/>
      <c r="H415" s="673" t="s">
        <v>3507</v>
      </c>
      <c r="I415" s="445"/>
      <c r="J415" s="927"/>
      <c r="K415" s="927"/>
      <c r="L415" s="815"/>
      <c r="M415" s="816"/>
      <c r="N415" s="817"/>
      <c r="O415" s="141"/>
      <c r="P415" s="141"/>
      <c r="Q415" s="464"/>
      <c r="R415" s="464"/>
      <c r="S415" s="464"/>
      <c r="T415" s="464"/>
      <c r="U415" s="141"/>
      <c r="V415" s="697"/>
      <c r="W415" s="697"/>
    </row>
    <row r="416" spans="1:33" s="379" customFormat="1" ht="45.75" customHeight="1">
      <c r="A416" s="141"/>
      <c r="B416" s="25" t="s">
        <v>1095</v>
      </c>
      <c r="C416" s="45" t="s">
        <v>3512</v>
      </c>
      <c r="D416" s="25" t="s">
        <v>3508</v>
      </c>
      <c r="E416" s="639" t="s">
        <v>4228</v>
      </c>
      <c r="F416" s="33" t="s">
        <v>4350</v>
      </c>
      <c r="G416" s="445"/>
      <c r="H416" s="673" t="s">
        <v>4349</v>
      </c>
      <c r="I416" s="445"/>
      <c r="J416" s="445"/>
      <c r="K416" s="445"/>
      <c r="L416" s="815"/>
      <c r="M416" s="816"/>
      <c r="N416" s="817"/>
      <c r="O416" s="141"/>
      <c r="P416" s="141"/>
      <c r="Q416" s="464"/>
      <c r="R416" s="464"/>
      <c r="S416" s="464"/>
      <c r="T416" s="464"/>
      <c r="U416" s="141"/>
      <c r="V416" s="697"/>
      <c r="W416" s="697"/>
    </row>
    <row r="417" spans="1:25" s="379" customFormat="1" ht="43.5" customHeight="1">
      <c r="A417" s="141"/>
      <c r="B417" s="25" t="s">
        <v>1095</v>
      </c>
      <c r="C417" s="45" t="s">
        <v>3511</v>
      </c>
      <c r="D417" s="25" t="s">
        <v>3509</v>
      </c>
      <c r="E417" s="639" t="s">
        <v>4228</v>
      </c>
      <c r="F417" s="33" t="s">
        <v>3510</v>
      </c>
      <c r="G417" s="445"/>
      <c r="H417" s="673" t="s">
        <v>4349</v>
      </c>
      <c r="I417" s="445"/>
      <c r="J417" s="927"/>
      <c r="K417" s="927"/>
      <c r="L417" s="815"/>
      <c r="M417" s="816"/>
      <c r="N417" s="817"/>
      <c r="O417" s="141"/>
      <c r="P417" s="141"/>
      <c r="Q417" s="464"/>
      <c r="R417" s="464"/>
      <c r="S417" s="464"/>
      <c r="T417" s="464"/>
      <c r="U417" s="141"/>
      <c r="V417" s="697"/>
      <c r="W417" s="697"/>
    </row>
    <row r="418" spans="1:25" s="1" customFormat="1" ht="65.25" customHeight="1">
      <c r="A418" s="2465">
        <v>7</v>
      </c>
      <c r="B418" s="467"/>
      <c r="C418" s="926" t="s">
        <v>2887</v>
      </c>
      <c r="D418" s="15" t="s">
        <v>2889</v>
      </c>
      <c r="E418" s="119" t="s">
        <v>3011</v>
      </c>
      <c r="F418" s="33" t="s">
        <v>2940</v>
      </c>
      <c r="G418" s="572"/>
      <c r="H418" s="672" t="s">
        <v>3305</v>
      </c>
      <c r="I418" s="896"/>
      <c r="J418" s="792"/>
      <c r="K418" s="690"/>
      <c r="L418" s="373"/>
      <c r="M418" s="44"/>
      <c r="N418" s="812"/>
      <c r="O418" s="599"/>
      <c r="P418" s="760"/>
      <c r="Q418" s="813"/>
      <c r="R418" s="510"/>
      <c r="S418" s="510"/>
      <c r="T418" s="510"/>
      <c r="U418" s="2"/>
      <c r="V418" s="659"/>
      <c r="W418" s="680"/>
    </row>
    <row r="419" spans="1:25" s="1" customFormat="1" ht="77.25" customHeight="1">
      <c r="A419" s="2466"/>
      <c r="B419" s="872" t="s">
        <v>3304</v>
      </c>
      <c r="C419" s="80" t="s">
        <v>3261</v>
      </c>
      <c r="D419" s="15" t="s">
        <v>3259</v>
      </c>
      <c r="E419" s="119" t="s">
        <v>3272</v>
      </c>
      <c r="F419" s="729" t="s">
        <v>3335</v>
      </c>
      <c r="G419" s="572"/>
      <c r="H419" s="672" t="s">
        <v>4307</v>
      </c>
      <c r="I419" s="672"/>
      <c r="J419" s="873"/>
      <c r="K419" s="874"/>
      <c r="L419" s="45" t="s">
        <v>4413</v>
      </c>
      <c r="M419" s="44" t="s">
        <v>2733</v>
      </c>
      <c r="N419" s="812"/>
      <c r="O419" s="812">
        <v>100000</v>
      </c>
      <c r="P419" s="760">
        <v>100000</v>
      </c>
      <c r="Q419" s="813"/>
      <c r="R419" s="510"/>
      <c r="S419" s="510"/>
      <c r="T419" s="510"/>
      <c r="U419" s="2"/>
      <c r="V419" s="659"/>
      <c r="W419" s="680"/>
    </row>
    <row r="420" spans="1:25" s="1" customFormat="1" ht="98.25" customHeight="1">
      <c r="A420" s="2466"/>
      <c r="B420" s="872"/>
      <c r="C420" s="135" t="s">
        <v>3262</v>
      </c>
      <c r="D420" s="15" t="s">
        <v>3260</v>
      </c>
      <c r="E420" s="119" t="s">
        <v>3263</v>
      </c>
      <c r="F420" s="33" t="s">
        <v>3334</v>
      </c>
      <c r="G420" s="572"/>
      <c r="H420" s="672" t="s">
        <v>4307</v>
      </c>
      <c r="I420" s="672"/>
      <c r="J420" s="792"/>
      <c r="K420" s="690"/>
      <c r="L420" s="45" t="s">
        <v>4414</v>
      </c>
      <c r="M420" s="44" t="s">
        <v>2701</v>
      </c>
      <c r="N420" s="812"/>
      <c r="O420" s="812">
        <v>200000</v>
      </c>
      <c r="P420" s="690">
        <v>400000</v>
      </c>
      <c r="Q420" s="60"/>
      <c r="R420" s="510"/>
      <c r="S420" s="510"/>
      <c r="T420" s="510"/>
      <c r="U420" s="2"/>
      <c r="V420" s="659"/>
      <c r="W420" s="680"/>
    </row>
    <row r="421" spans="1:25" s="1" customFormat="1" ht="74.25" customHeight="1">
      <c r="A421" s="2466"/>
      <c r="B421" s="872"/>
      <c r="C421" s="135" t="s">
        <v>3349</v>
      </c>
      <c r="D421" s="15" t="s">
        <v>3347</v>
      </c>
      <c r="E421" s="33" t="s">
        <v>3348</v>
      </c>
      <c r="F421" s="33" t="s">
        <v>4408</v>
      </c>
      <c r="G421" s="572"/>
      <c r="H421" s="672" t="s">
        <v>3379</v>
      </c>
      <c r="I421" s="916" t="s">
        <v>3380</v>
      </c>
      <c r="J421" s="792"/>
      <c r="K421" s="690"/>
      <c r="L421" s="373"/>
      <c r="M421" s="922" t="s">
        <v>4346</v>
      </c>
      <c r="N421" s="141">
        <v>305000</v>
      </c>
      <c r="O421" s="141"/>
      <c r="P421" s="172" t="s">
        <v>4328</v>
      </c>
      <c r="Q421" s="889">
        <v>44854</v>
      </c>
      <c r="R421" s="510"/>
      <c r="S421" s="510"/>
      <c r="T421" s="510"/>
      <c r="U421" s="2"/>
      <c r="V421" s="659"/>
      <c r="W421" s="680"/>
    </row>
    <row r="422" spans="1:25" s="1" customFormat="1" ht="68.25" customHeight="1">
      <c r="A422" s="2466"/>
      <c r="B422" s="872"/>
      <c r="C422" s="135" t="s">
        <v>4298</v>
      </c>
      <c r="D422" s="15" t="s">
        <v>4299</v>
      </c>
      <c r="E422" s="33" t="s">
        <v>3348</v>
      </c>
      <c r="F422" s="33" t="s">
        <v>4407</v>
      </c>
      <c r="G422" s="572"/>
      <c r="H422" s="916" t="s">
        <v>4297</v>
      </c>
      <c r="I422" s="792" t="s">
        <v>4308</v>
      </c>
      <c r="J422" s="792"/>
      <c r="K422" s="690" t="s">
        <v>401</v>
      </c>
      <c r="L422" s="373"/>
      <c r="M422" s="922"/>
      <c r="N422" s="141"/>
      <c r="O422" s="141"/>
      <c r="P422" s="172"/>
      <c r="Q422" s="889"/>
      <c r="R422" s="510"/>
      <c r="S422" s="510"/>
      <c r="T422" s="510"/>
      <c r="U422" s="2"/>
      <c r="V422" s="659"/>
      <c r="W422" s="680"/>
    </row>
    <row r="423" spans="1:25" s="1" customFormat="1" ht="63.75" customHeight="1">
      <c r="A423" s="2466"/>
      <c r="B423" s="872"/>
      <c r="C423" s="2355" t="s">
        <v>3428</v>
      </c>
      <c r="D423" s="2367" t="s">
        <v>4410</v>
      </c>
      <c r="E423" s="2360" t="s">
        <v>3429</v>
      </c>
      <c r="F423" s="2360">
        <v>1564950.04</v>
      </c>
      <c r="G423" s="572"/>
      <c r="H423" s="672"/>
      <c r="I423" s="1159"/>
      <c r="J423" s="792"/>
      <c r="K423" s="690"/>
      <c r="L423" s="1891" t="s">
        <v>4277</v>
      </c>
      <c r="M423" s="599" t="s">
        <v>4406</v>
      </c>
      <c r="N423" s="599">
        <f>449500                              +230500                        +482920                            +211800</f>
        <v>1374720</v>
      </c>
      <c r="O423" s="599"/>
      <c r="P423" s="599"/>
      <c r="Q423" s="890" t="s">
        <v>4295</v>
      </c>
      <c r="R423" s="890" t="s">
        <v>4296</v>
      </c>
      <c r="S423" s="1872"/>
      <c r="T423" s="607"/>
      <c r="U423" s="599"/>
      <c r="V423" s="659"/>
      <c r="W423" s="680"/>
    </row>
    <row r="424" spans="1:25" s="1" customFormat="1" ht="87.75" customHeight="1">
      <c r="A424" s="2467"/>
      <c r="B424" s="598"/>
      <c r="C424" s="2356"/>
      <c r="D424" s="2368"/>
      <c r="E424" s="2361"/>
      <c r="F424" s="2361"/>
      <c r="G424" s="572"/>
      <c r="H424" s="1186" t="s">
        <v>3430</v>
      </c>
      <c r="I424" s="884" t="s">
        <v>4402</v>
      </c>
      <c r="J424" s="884"/>
      <c r="K424" s="690" t="s">
        <v>401</v>
      </c>
      <c r="L424" s="373"/>
      <c r="M424" s="823" t="s">
        <v>3431</v>
      </c>
      <c r="N424" s="497" t="s">
        <v>3423</v>
      </c>
      <c r="O424" s="497">
        <v>122000</v>
      </c>
      <c r="P424" s="497"/>
      <c r="Q424" s="603" t="s">
        <v>3424</v>
      </c>
      <c r="R424" s="510"/>
      <c r="S424" s="510"/>
      <c r="T424" s="510"/>
      <c r="U424" s="2"/>
      <c r="V424" s="659"/>
      <c r="W424" s="680"/>
    </row>
    <row r="425" spans="1:25" s="1" customFormat="1" ht="289.5" customHeight="1">
      <c r="A425" s="71">
        <v>8</v>
      </c>
      <c r="B425" s="1950" t="s">
        <v>901</v>
      </c>
      <c r="C425" s="599" t="s">
        <v>902</v>
      </c>
      <c r="D425" s="335" t="s">
        <v>3295</v>
      </c>
      <c r="E425" s="597" t="s">
        <v>3234</v>
      </c>
      <c r="F425" s="477" t="s">
        <v>3036</v>
      </c>
      <c r="G425" s="388" t="s">
        <v>4546</v>
      </c>
      <c r="H425" s="960"/>
      <c r="I425" s="668">
        <f>110000                                          +112300                                   +72430                                          +166700                               +166700                                 +277800                                          +284500                                    +66700</f>
        <v>1257130</v>
      </c>
      <c r="J425" s="1892">
        <f>110000                                          +112300                                   +72430                                          +166700                               +166700                                 +277800                                          +284500                         +66700</f>
        <v>1257130</v>
      </c>
      <c r="K425" s="761">
        <f>110000                                          +112300                                   +72430                                          +166700                               +166700                                 +277800                                             +166700</f>
        <v>1072630</v>
      </c>
      <c r="L425" s="568" t="s">
        <v>3341</v>
      </c>
      <c r="M425" s="842" t="s">
        <v>4467</v>
      </c>
      <c r="N425" s="15">
        <f>288600                                        +210000                                                             +234510                                  +168900                              +300000                                      +87000                                               +178900                                      +100000                                     +91400                      +180000                                    +111200                                     +60940                                  +117800                               +204200                                   +125685                                        +130000                                  +110000                                          +112300                             +289000                               +72430                                          +166700                               +166700                                 +277800                                 +180030                       +166700                                    +288900                                  +284500                         +66700</f>
        <v>4770895</v>
      </c>
      <c r="O425" s="675">
        <v>244072</v>
      </c>
      <c r="P425" s="1948" t="s">
        <v>4464</v>
      </c>
      <c r="Q425" s="676" t="s">
        <v>4461</v>
      </c>
      <c r="R425" s="959" t="s">
        <v>4468</v>
      </c>
      <c r="S425" s="959" t="s">
        <v>4469</v>
      </c>
      <c r="T425" s="1949" t="s">
        <v>4472</v>
      </c>
      <c r="U425" s="906">
        <f>110000                                          +112300                                   +72430                                          +166700                               +166700                                 +277800                                          +284500                         +66700</f>
        <v>1257130</v>
      </c>
      <c r="V425" s="857"/>
      <c r="W425" s="1867"/>
      <c r="X425" s="1868"/>
      <c r="Y425" s="14" t="s">
        <v>4227</v>
      </c>
    </row>
    <row r="426" spans="1:25" s="1" customFormat="1" ht="59.25" customHeight="1">
      <c r="A426" s="71">
        <v>8</v>
      </c>
      <c r="B426" s="854" t="s">
        <v>901</v>
      </c>
      <c r="C426" s="599" t="s">
        <v>902</v>
      </c>
      <c r="D426" s="335" t="s">
        <v>3503</v>
      </c>
      <c r="E426" s="597" t="s">
        <v>3513</v>
      </c>
      <c r="F426" s="477" t="s">
        <v>3514</v>
      </c>
      <c r="G426" s="388"/>
      <c r="H426" s="437"/>
      <c r="I426" s="284"/>
      <c r="J426" s="335"/>
      <c r="K426" s="761"/>
      <c r="L426" s="568"/>
      <c r="M426" s="842"/>
      <c r="N426" s="15"/>
      <c r="O426" s="619"/>
      <c r="P426" s="172"/>
      <c r="Q426" s="642"/>
      <c r="R426" s="959"/>
      <c r="S426" s="959"/>
      <c r="T426" s="895"/>
      <c r="U426" s="906" t="s">
        <v>3358</v>
      </c>
      <c r="V426" s="857">
        <f>3495065-244072*11</f>
        <v>810273</v>
      </c>
      <c r="W426" s="856"/>
      <c r="Y426" s="14"/>
    </row>
    <row r="427" spans="1:25" s="1" customFormat="1" ht="62.25" customHeight="1">
      <c r="A427" s="769">
        <v>9</v>
      </c>
      <c r="B427" s="465" t="s">
        <v>3252</v>
      </c>
      <c r="C427" s="795" t="s">
        <v>3229</v>
      </c>
      <c r="D427" s="617" t="s">
        <v>3266</v>
      </c>
      <c r="E427" s="888" t="s">
        <v>3329</v>
      </c>
      <c r="F427" s="852" t="s">
        <v>3230</v>
      </c>
      <c r="G427" s="626"/>
      <c r="H427" s="830" t="s">
        <v>4405</v>
      </c>
      <c r="I427" s="851"/>
      <c r="J427" s="436"/>
      <c r="K427" s="436"/>
      <c r="L427" s="436"/>
      <c r="M427" s="436"/>
      <c r="N427" s="436"/>
      <c r="O427" s="436"/>
      <c r="P427" s="436"/>
      <c r="Q427" s="246"/>
      <c r="R427" s="246"/>
      <c r="S427" s="246"/>
      <c r="T427" s="246"/>
      <c r="U427" s="436"/>
      <c r="V427" s="435"/>
      <c r="W427" s="435"/>
      <c r="X427" s="435"/>
      <c r="Y427" s="436"/>
    </row>
    <row r="428" spans="1:25" s="1" customFormat="1" ht="52.5" customHeight="1">
      <c r="A428" s="769"/>
      <c r="B428" s="2362" t="s">
        <v>3265</v>
      </c>
      <c r="C428" s="2355" t="s">
        <v>4339</v>
      </c>
      <c r="D428" s="1929" t="s">
        <v>4384</v>
      </c>
      <c r="E428" s="2360" t="s">
        <v>769</v>
      </c>
      <c r="F428" s="194" t="s">
        <v>770</v>
      </c>
      <c r="G428" s="283" t="s">
        <v>3248</v>
      </c>
      <c r="H428" s="437" t="s">
        <v>4573</v>
      </c>
      <c r="I428" s="851"/>
      <c r="J428" s="436"/>
      <c r="K428" s="436"/>
      <c r="L428" s="436"/>
      <c r="M428" s="436"/>
      <c r="N428" s="436"/>
      <c r="O428" s="436"/>
      <c r="P428" s="436"/>
      <c r="Q428" s="246"/>
      <c r="R428" s="246"/>
      <c r="S428" s="246"/>
      <c r="T428" s="246"/>
      <c r="U428" s="436"/>
      <c r="V428" s="435"/>
    </row>
    <row r="429" spans="1:25" s="1" customFormat="1" ht="50.25" customHeight="1">
      <c r="A429" s="860">
        <v>10</v>
      </c>
      <c r="B429" s="2363"/>
      <c r="C429" s="2356"/>
      <c r="D429" s="15" t="s">
        <v>3390</v>
      </c>
      <c r="E429" s="2361"/>
      <c r="F429" s="194">
        <v>48500</v>
      </c>
      <c r="G429" s="283"/>
      <c r="H429" s="437"/>
      <c r="I429" s="520" t="s">
        <v>3391</v>
      </c>
      <c r="J429" s="792"/>
      <c r="K429" s="2"/>
      <c r="L429" s="2"/>
      <c r="M429" s="29"/>
      <c r="N429" s="640"/>
      <c r="O429" s="2"/>
      <c r="P429" s="677"/>
      <c r="Q429" s="748"/>
      <c r="R429" s="839"/>
      <c r="S429" s="839"/>
      <c r="T429" s="679"/>
      <c r="U429" s="2"/>
      <c r="V429" s="659"/>
    </row>
    <row r="430" spans="1:25" s="1" customFormat="1" ht="38.25" customHeight="1">
      <c r="A430" s="860"/>
      <c r="B430" s="925" t="s">
        <v>3291</v>
      </c>
      <c r="C430" s="867" t="s">
        <v>3292</v>
      </c>
      <c r="D430" s="507" t="s">
        <v>3293</v>
      </c>
      <c r="E430" s="236"/>
      <c r="F430" s="33">
        <v>289300</v>
      </c>
      <c r="G430" s="572"/>
      <c r="H430" s="33">
        <v>289300</v>
      </c>
      <c r="I430" s="884" t="s">
        <v>3321</v>
      </c>
      <c r="J430" s="884"/>
      <c r="K430" s="139"/>
      <c r="L430" s="139" t="s">
        <v>3370</v>
      </c>
      <c r="M430" s="345" t="s">
        <v>3299</v>
      </c>
      <c r="N430" s="497">
        <v>250600</v>
      </c>
      <c r="O430" s="2"/>
      <c r="P430" s="666" t="s">
        <v>3494</v>
      </c>
      <c r="Q430" s="652">
        <v>44708</v>
      </c>
      <c r="R430" s="839"/>
      <c r="S430" s="839"/>
      <c r="T430" s="679"/>
      <c r="U430" s="2"/>
      <c r="V430" s="659"/>
    </row>
    <row r="431" spans="1:25" s="1" customFormat="1" ht="64.5" customHeight="1">
      <c r="A431" s="860"/>
      <c r="B431" s="925" t="s">
        <v>3291</v>
      </c>
      <c r="C431" s="867" t="s">
        <v>3294</v>
      </c>
      <c r="D431" s="507" t="s">
        <v>3322</v>
      </c>
      <c r="E431" s="236"/>
      <c r="F431" s="33">
        <v>289300</v>
      </c>
      <c r="G431" s="572"/>
      <c r="H431" s="33">
        <v>289300</v>
      </c>
      <c r="I431" s="884" t="s">
        <v>3321</v>
      </c>
      <c r="J431" s="884"/>
      <c r="K431" s="139"/>
      <c r="L431" s="139" t="s">
        <v>3396</v>
      </c>
      <c r="M431" s="345" t="s">
        <v>3350</v>
      </c>
      <c r="N431" s="497">
        <v>122300</v>
      </c>
      <c r="O431" s="2"/>
      <c r="P431" s="666" t="s">
        <v>3395</v>
      </c>
      <c r="Q431" s="652" t="s">
        <v>3351</v>
      </c>
      <c r="R431" s="917"/>
      <c r="S431" s="839"/>
      <c r="T431" s="679"/>
      <c r="U431" s="2"/>
      <c r="V431" s="659"/>
    </row>
    <row r="432" spans="1:25" s="1" customFormat="1" ht="74.25" customHeight="1">
      <c r="A432" s="379">
        <v>14</v>
      </c>
      <c r="B432" s="442" t="s">
        <v>3308</v>
      </c>
      <c r="C432" s="483" t="s">
        <v>909</v>
      </c>
      <c r="D432" s="484" t="s">
        <v>785</v>
      </c>
      <c r="E432" s="236" t="s">
        <v>786</v>
      </c>
      <c r="F432" s="344">
        <v>15600</v>
      </c>
      <c r="G432" s="938" t="s">
        <v>2975</v>
      </c>
      <c r="H432" s="534" t="s">
        <v>3416</v>
      </c>
      <c r="I432" s="487"/>
      <c r="J432" s="570" t="s">
        <v>3108</v>
      </c>
      <c r="K432" s="789"/>
      <c r="M432" s="50"/>
      <c r="N432" s="2"/>
      <c r="O432" s="2"/>
      <c r="P432" s="2"/>
      <c r="Q432" s="50"/>
      <c r="R432" s="50"/>
      <c r="S432" s="50"/>
      <c r="T432" s="50"/>
      <c r="U432" s="2"/>
    </row>
    <row r="433" spans="1:33" s="1" customFormat="1" ht="97.5" customHeight="1">
      <c r="A433" s="769">
        <v>12</v>
      </c>
      <c r="B433" s="868" t="s">
        <v>3089</v>
      </c>
      <c r="C433" s="795" t="s">
        <v>3114</v>
      </c>
      <c r="D433" s="5" t="s">
        <v>3273</v>
      </c>
      <c r="E433" s="610" t="s">
        <v>3106</v>
      </c>
      <c r="F433" s="610" t="s">
        <v>3320</v>
      </c>
      <c r="G433" s="784"/>
      <c r="H433" s="1977" t="s">
        <v>4548</v>
      </c>
      <c r="I433" s="1978" t="s">
        <v>4549</v>
      </c>
      <c r="J433" s="784"/>
      <c r="K433" s="784"/>
      <c r="L433" s="784"/>
      <c r="M433" s="502" t="s">
        <v>3105</v>
      </c>
      <c r="N433" s="610" t="s">
        <v>3107</v>
      </c>
      <c r="O433" s="436"/>
      <c r="P433" s="436"/>
      <c r="Q433" s="246"/>
      <c r="R433" s="246"/>
      <c r="S433" s="246"/>
      <c r="T433" s="246"/>
      <c r="U433" s="436"/>
      <c r="V433" s="435"/>
      <c r="W433" s="435"/>
      <c r="X433" s="435"/>
      <c r="Y433" s="436"/>
    </row>
    <row r="434" spans="1:33" s="1" customFormat="1" ht="55.5" customHeight="1">
      <c r="A434" s="457"/>
      <c r="B434" s="880"/>
      <c r="C434" s="45" t="s">
        <v>3318</v>
      </c>
      <c r="D434" s="507"/>
      <c r="E434" s="236"/>
      <c r="F434" s="610">
        <v>103626.64</v>
      </c>
      <c r="G434" s="784"/>
      <c r="H434" s="610" t="s">
        <v>3319</v>
      </c>
      <c r="I434" s="119"/>
      <c r="J434" s="878"/>
      <c r="K434" s="139"/>
      <c r="L434" s="2"/>
      <c r="M434" s="855"/>
      <c r="N434" s="681"/>
      <c r="O434" s="436"/>
      <c r="P434" s="682"/>
      <c r="Q434" s="881"/>
      <c r="R434" s="882"/>
      <c r="S434" s="882"/>
      <c r="T434" s="883"/>
      <c r="U434" s="436"/>
      <c r="V434" s="435"/>
    </row>
    <row r="435" spans="1:33" s="1" customFormat="1" ht="64.5" customHeight="1">
      <c r="A435" s="249">
        <v>13</v>
      </c>
      <c r="B435" s="853" t="s">
        <v>3180</v>
      </c>
      <c r="C435" s="69" t="s">
        <v>1003</v>
      </c>
      <c r="D435" s="180" t="s">
        <v>4391</v>
      </c>
      <c r="E435" s="33" t="s">
        <v>4338</v>
      </c>
      <c r="F435" s="517" t="s">
        <v>1006</v>
      </c>
      <c r="G435" s="54"/>
      <c r="H435" s="794" t="s">
        <v>4390</v>
      </c>
      <c r="I435" s="400"/>
      <c r="J435" s="792"/>
      <c r="K435" s="2"/>
      <c r="L435" s="172"/>
      <c r="M435" s="562"/>
      <c r="N435" s="681"/>
      <c r="O435" s="2"/>
      <c r="P435" s="918"/>
      <c r="Q435" s="919"/>
      <c r="R435" s="839"/>
      <c r="S435" s="839"/>
      <c r="T435" s="679"/>
      <c r="U435" s="2"/>
      <c r="V435" s="2"/>
    </row>
    <row r="436" spans="1:33" s="1" customFormat="1" ht="56.25" customHeight="1">
      <c r="A436" s="1942"/>
      <c r="B436" s="2453" t="s">
        <v>4341</v>
      </c>
      <c r="C436" s="2345" t="s">
        <v>674</v>
      </c>
      <c r="D436" s="2345" t="s">
        <v>4445</v>
      </c>
      <c r="E436" s="33" t="s">
        <v>4444</v>
      </c>
      <c r="F436" s="2347">
        <v>16000</v>
      </c>
      <c r="G436" s="502" t="s">
        <v>4443</v>
      </c>
      <c r="H436" s="28"/>
      <c r="I436" s="400"/>
      <c r="J436" s="1943"/>
      <c r="K436" s="50"/>
      <c r="L436" s="172"/>
      <c r="M436" s="855"/>
      <c r="N436" s="681"/>
      <c r="O436" s="2"/>
      <c r="P436" s="918"/>
      <c r="Q436" s="919"/>
      <c r="R436" s="839"/>
      <c r="S436" s="839"/>
      <c r="T436" s="679"/>
      <c r="U436" s="2"/>
    </row>
    <row r="437" spans="1:33" s="1" customFormat="1" ht="69.75" customHeight="1">
      <c r="A437" s="379">
        <v>15</v>
      </c>
      <c r="B437" s="2458"/>
      <c r="C437" s="2346"/>
      <c r="D437" s="2346"/>
      <c r="E437" s="60"/>
      <c r="F437" s="2348"/>
      <c r="G437" s="497" t="s">
        <v>4440</v>
      </c>
      <c r="H437" s="794" t="s">
        <v>3417</v>
      </c>
      <c r="I437" s="495"/>
      <c r="J437" s="793" t="s">
        <v>4439</v>
      </c>
      <c r="K437" s="50"/>
      <c r="L437" s="2"/>
      <c r="M437" s="548"/>
      <c r="N437" s="2"/>
      <c r="O437" s="2"/>
      <c r="P437" s="2"/>
      <c r="Q437" s="50"/>
      <c r="R437" s="50"/>
      <c r="S437" s="50"/>
      <c r="T437" s="50"/>
      <c r="U437" s="2"/>
    </row>
    <row r="438" spans="1:33" s="773" customFormat="1" ht="75" customHeight="1">
      <c r="A438" s="340"/>
      <c r="B438" s="446" t="s">
        <v>4310</v>
      </c>
      <c r="C438" s="502" t="s">
        <v>3404</v>
      </c>
      <c r="D438" s="502" t="s">
        <v>3405</v>
      </c>
      <c r="E438" s="502" t="s">
        <v>3540</v>
      </c>
      <c r="F438" s="340" t="s">
        <v>3406</v>
      </c>
      <c r="G438" s="340"/>
      <c r="H438" s="340"/>
      <c r="I438" s="340"/>
      <c r="J438" s="340"/>
      <c r="K438" s="340"/>
      <c r="L438" s="340"/>
      <c r="M438" s="340"/>
      <c r="N438" s="340"/>
      <c r="O438" s="340"/>
      <c r="P438" s="340"/>
      <c r="Q438" s="340"/>
      <c r="R438" s="340"/>
      <c r="S438" s="340"/>
      <c r="T438" s="340"/>
      <c r="U438" s="340"/>
      <c r="V438" s="340"/>
      <c r="W438" s="340"/>
      <c r="X438" s="340"/>
      <c r="Y438" s="340"/>
    </row>
    <row r="439" spans="1:33" s="773" customFormat="1" ht="38.25">
      <c r="A439" s="340"/>
      <c r="B439" s="531" t="s">
        <v>3418</v>
      </c>
      <c r="C439" s="502" t="s">
        <v>3421</v>
      </c>
      <c r="D439" s="340" t="s">
        <v>3420</v>
      </c>
      <c r="E439" s="340"/>
      <c r="F439" s="340"/>
      <c r="G439" s="340"/>
      <c r="H439" s="388" t="s">
        <v>3419</v>
      </c>
      <c r="I439" s="340"/>
      <c r="J439" s="340"/>
      <c r="K439" s="340"/>
      <c r="L439" s="340"/>
      <c r="M439" s="340"/>
      <c r="N439" s="340"/>
      <c r="O439" s="340"/>
      <c r="P439" s="340"/>
      <c r="Q439" s="340"/>
      <c r="R439" s="340"/>
      <c r="S439" s="340"/>
      <c r="T439" s="340"/>
      <c r="U439" s="340"/>
      <c r="V439" s="340"/>
      <c r="W439" s="340"/>
      <c r="X439" s="340"/>
      <c r="Y439" s="340"/>
    </row>
    <row r="440" spans="1:33" s="773" customFormat="1" ht="39">
      <c r="A440" s="340"/>
      <c r="B440" s="467"/>
      <c r="C440" s="502" t="s">
        <v>4329</v>
      </c>
      <c r="D440" s="340" t="s">
        <v>4330</v>
      </c>
      <c r="E440" s="340"/>
      <c r="F440" s="340">
        <v>148920.85999999999</v>
      </c>
      <c r="G440" s="340"/>
      <c r="H440" s="1908" t="s">
        <v>4333</v>
      </c>
      <c r="I440" s="1907">
        <v>148920.85999999999</v>
      </c>
      <c r="J440" s="1907" t="s">
        <v>4331</v>
      </c>
      <c r="K440" s="340" t="s">
        <v>4332</v>
      </c>
      <c r="L440" s="340"/>
      <c r="M440" s="340"/>
      <c r="N440" s="340"/>
      <c r="O440" s="340"/>
      <c r="P440" s="340"/>
      <c r="Q440" s="340"/>
      <c r="R440" s="340"/>
      <c r="S440" s="340"/>
      <c r="T440" s="340"/>
      <c r="U440" s="340"/>
      <c r="V440" s="340"/>
      <c r="W440" s="340"/>
      <c r="X440" s="340"/>
      <c r="Y440" s="340"/>
    </row>
    <row r="441" spans="1:33" s="1986" customFormat="1" ht="38.25">
      <c r="A441" s="1982"/>
      <c r="B441" s="1983" t="s">
        <v>4334</v>
      </c>
      <c r="C441" s="1984" t="s">
        <v>3500</v>
      </c>
      <c r="D441" s="1984" t="s">
        <v>3501</v>
      </c>
      <c r="E441" s="1984" t="s">
        <v>3502</v>
      </c>
      <c r="F441" s="1982" t="s">
        <v>3539</v>
      </c>
      <c r="G441" s="1982"/>
      <c r="H441" s="1985" t="s">
        <v>4274</v>
      </c>
      <c r="I441" s="1982"/>
      <c r="J441" s="1982"/>
      <c r="K441" s="1982"/>
      <c r="L441" s="1982"/>
      <c r="M441" s="1982"/>
      <c r="N441" s="1982"/>
      <c r="O441" s="1982"/>
      <c r="P441" s="1982"/>
      <c r="Q441" s="1982"/>
      <c r="R441" s="1982"/>
      <c r="S441" s="1982"/>
      <c r="T441" s="1982"/>
      <c r="U441" s="1982"/>
      <c r="V441" s="1982"/>
      <c r="W441" s="1982"/>
      <c r="X441" s="1982"/>
      <c r="Y441" s="1982"/>
    </row>
    <row r="442" spans="1:33" s="773" customFormat="1">
      <c r="A442" s="340"/>
      <c r="B442" s="340"/>
      <c r="C442" s="340"/>
      <c r="D442" s="340"/>
      <c r="E442" s="340"/>
      <c r="F442" s="340"/>
      <c r="G442" s="340"/>
      <c r="H442" s="340"/>
      <c r="I442" s="340"/>
      <c r="J442" s="340"/>
      <c r="K442" s="340"/>
      <c r="L442" s="340"/>
      <c r="M442" s="340"/>
      <c r="N442" s="340"/>
      <c r="O442" s="340"/>
      <c r="P442" s="340"/>
      <c r="Q442" s="340"/>
      <c r="R442" s="340"/>
      <c r="S442" s="340"/>
      <c r="T442" s="340"/>
      <c r="U442" s="340"/>
      <c r="V442" s="340"/>
      <c r="W442" s="340"/>
      <c r="X442" s="340"/>
      <c r="Y442" s="340"/>
    </row>
    <row r="443" spans="1:33" s="551" customFormat="1" ht="19.5" customHeight="1">
      <c r="B443" s="552" t="s">
        <v>4321</v>
      </c>
      <c r="C443" s="553"/>
      <c r="D443" s="554"/>
      <c r="E443" s="555"/>
      <c r="F443" s="556"/>
      <c r="G443" s="556"/>
      <c r="H443" s="557"/>
      <c r="I443" s="558"/>
      <c r="J443" s="559"/>
      <c r="K443" s="559"/>
      <c r="L443" s="559"/>
      <c r="M443" s="559"/>
      <c r="N443" s="559"/>
      <c r="O443" s="559"/>
      <c r="P443" s="559"/>
      <c r="Q443" s="780"/>
      <c r="R443" s="780"/>
      <c r="S443" s="780"/>
      <c r="T443" s="780"/>
      <c r="U443" s="559"/>
      <c r="V443" s="781"/>
      <c r="W443" s="782"/>
      <c r="X443" s="783"/>
      <c r="Y443" s="559"/>
    </row>
    <row r="444" spans="1:33" s="1" customFormat="1" ht="63" customHeight="1">
      <c r="A444" s="629">
        <v>1</v>
      </c>
      <c r="B444" s="606" t="s">
        <v>955</v>
      </c>
      <c r="C444" s="69" t="s">
        <v>4481</v>
      </c>
      <c r="D444" s="1953" t="s">
        <v>4642</v>
      </c>
      <c r="E444" s="2"/>
      <c r="F444" s="1955">
        <v>996249</v>
      </c>
      <c r="G444" s="785"/>
      <c r="H444" s="920">
        <v>996249</v>
      </c>
      <c r="I444" s="920"/>
      <c r="J444" s="920" t="s">
        <v>4484</v>
      </c>
      <c r="K444" s="786"/>
      <c r="L444" s="367"/>
      <c r="M444" s="508" t="s">
        <v>4638</v>
      </c>
      <c r="N444" s="599"/>
      <c r="O444" s="497"/>
      <c r="P444" s="1934"/>
      <c r="Q444" s="1935"/>
      <c r="R444" s="1956" t="s">
        <v>2982</v>
      </c>
      <c r="S444" s="738"/>
      <c r="T444" s="648"/>
      <c r="U444" s="512"/>
      <c r="V444" s="766"/>
      <c r="W444" s="840"/>
      <c r="X444" s="655"/>
      <c r="Y444" s="670"/>
      <c r="Z444" s="655"/>
      <c r="AA444" s="655"/>
      <c r="AB444" s="655"/>
      <c r="AC444" s="655"/>
      <c r="AF444" s="664"/>
      <c r="AG444" s="655"/>
    </row>
    <row r="445" spans="1:33" s="1" customFormat="1" ht="42" customHeight="1">
      <c r="A445" s="735">
        <v>2</v>
      </c>
      <c r="B445" s="2042"/>
      <c r="C445" s="69" t="s">
        <v>4732</v>
      </c>
      <c r="D445" s="92"/>
      <c r="E445" s="2"/>
      <c r="F445" s="2031">
        <v>130000</v>
      </c>
      <c r="G445" s="2032"/>
      <c r="H445" s="920">
        <v>130000</v>
      </c>
      <c r="I445" s="920"/>
      <c r="J445" s="2033" t="s">
        <v>4733</v>
      </c>
      <c r="K445" s="786"/>
      <c r="L445" s="367"/>
      <c r="M445" s="508"/>
      <c r="N445" s="599"/>
      <c r="O445" s="497"/>
      <c r="P445" s="1934"/>
      <c r="Q445" s="1935"/>
      <c r="R445" s="1956"/>
      <c r="S445" s="738"/>
      <c r="T445" s="648"/>
      <c r="U445" s="512"/>
      <c r="V445" s="766"/>
      <c r="W445" s="840"/>
      <c r="X445" s="655"/>
      <c r="Y445" s="670"/>
      <c r="Z445" s="655"/>
      <c r="AA445" s="655"/>
      <c r="AB445" s="655"/>
      <c r="AC445" s="655"/>
      <c r="AF445" s="664"/>
      <c r="AG445" s="655"/>
    </row>
    <row r="446" spans="1:33" s="1" customFormat="1" ht="57.75" customHeight="1">
      <c r="A446" s="927">
        <v>3</v>
      </c>
      <c r="B446" s="2043" t="s">
        <v>4797</v>
      </c>
      <c r="C446" s="56" t="s">
        <v>488</v>
      </c>
      <c r="D446" s="92" t="s">
        <v>4791</v>
      </c>
      <c r="E446" s="25" t="s">
        <v>585</v>
      </c>
      <c r="F446" s="241">
        <v>10800</v>
      </c>
      <c r="G446" s="1987" t="s">
        <v>4694</v>
      </c>
      <c r="H446" s="35" t="s">
        <v>4734</v>
      </c>
      <c r="I446" s="2022"/>
      <c r="J446" s="66"/>
      <c r="K446" s="2"/>
      <c r="L446" s="2" t="s">
        <v>3198</v>
      </c>
      <c r="M446" s="2"/>
      <c r="N446" s="2"/>
      <c r="O446" s="2"/>
      <c r="P446" s="2"/>
      <c r="Q446" s="50"/>
      <c r="R446" s="50"/>
      <c r="S446" s="50"/>
      <c r="T446" s="50"/>
      <c r="U446" s="2"/>
      <c r="V446" s="2"/>
    </row>
    <row r="447" spans="1:33" s="1" customFormat="1" ht="131.25" customHeight="1">
      <c r="A447" s="927">
        <v>4</v>
      </c>
      <c r="B447" s="467" t="s">
        <v>4319</v>
      </c>
      <c r="C447" s="2044" t="s">
        <v>4317</v>
      </c>
      <c r="D447" s="741" t="s">
        <v>4665</v>
      </c>
      <c r="E447" s="2044" t="s">
        <v>4318</v>
      </c>
      <c r="F447" s="2045">
        <v>7560000</v>
      </c>
      <c r="G447" s="2047"/>
      <c r="H447" s="1159" t="s">
        <v>4805</v>
      </c>
      <c r="I447" s="55"/>
      <c r="J447" s="2053" t="s">
        <v>4806</v>
      </c>
      <c r="K447" s="2"/>
      <c r="L447" s="2"/>
      <c r="M447" s="139" t="s">
        <v>4588</v>
      </c>
      <c r="N447" s="2"/>
      <c r="O447" s="2"/>
      <c r="P447" s="1992">
        <v>240000</v>
      </c>
      <c r="Q447" s="1991" t="s">
        <v>4591</v>
      </c>
      <c r="R447" s="50"/>
      <c r="S447" s="50"/>
      <c r="T447" s="50"/>
      <c r="U447" s="2"/>
      <c r="V447" s="2"/>
    </row>
    <row r="448" spans="1:33" s="773" customFormat="1" ht="45.75" customHeight="1">
      <c r="A448" s="340">
        <v>5</v>
      </c>
      <c r="B448" s="598"/>
      <c r="C448" s="497"/>
      <c r="D448" s="607"/>
      <c r="E448" s="497"/>
      <c r="F448" s="2046"/>
      <c r="G448" s="2048"/>
      <c r="H448" s="2049"/>
      <c r="I448" s="340"/>
      <c r="J448" s="340"/>
      <c r="K448" s="340"/>
      <c r="L448" s="340"/>
      <c r="M448" s="502" t="s">
        <v>4568</v>
      </c>
      <c r="N448" s="340"/>
      <c r="O448" s="340"/>
      <c r="P448" s="564" t="s">
        <v>4566</v>
      </c>
      <c r="Q448" s="564" t="s">
        <v>4567</v>
      </c>
      <c r="R448" s="340"/>
      <c r="S448" s="340"/>
      <c r="T448" s="340"/>
      <c r="U448" s="340"/>
      <c r="V448" s="340"/>
      <c r="W448" s="340"/>
      <c r="X448" s="340"/>
      <c r="Y448" s="340"/>
    </row>
    <row r="449" spans="1:25" s="773" customFormat="1" ht="64.5" customHeight="1">
      <c r="A449" s="340">
        <v>6</v>
      </c>
      <c r="B449" s="1015" t="s">
        <v>4353</v>
      </c>
      <c r="C449" s="502" t="s">
        <v>4335</v>
      </c>
      <c r="D449" s="599" t="s">
        <v>4354</v>
      </c>
      <c r="E449" s="502" t="s">
        <v>4336</v>
      </c>
      <c r="F449" s="2019" t="s">
        <v>4671</v>
      </c>
      <c r="G449" s="340"/>
      <c r="H449" s="502" t="s">
        <v>4710</v>
      </c>
      <c r="I449" s="340"/>
      <c r="J449" s="2028"/>
      <c r="K449" s="340"/>
      <c r="L449" s="340"/>
      <c r="M449" s="502" t="s">
        <v>4565</v>
      </c>
      <c r="N449" s="340"/>
      <c r="O449" s="340"/>
      <c r="P449" s="564" t="s">
        <v>4566</v>
      </c>
      <c r="Q449" s="564" t="s">
        <v>4567</v>
      </c>
      <c r="R449" s="340"/>
      <c r="S449" s="340"/>
      <c r="T449" s="340"/>
      <c r="U449" s="340"/>
      <c r="V449" s="340"/>
      <c r="W449" s="340"/>
      <c r="X449" s="340"/>
      <c r="Y449" s="340"/>
    </row>
    <row r="450" spans="1:25" s="1" customFormat="1" ht="62.25" customHeight="1">
      <c r="A450" s="769">
        <v>7</v>
      </c>
      <c r="B450" s="2015" t="s">
        <v>4686</v>
      </c>
      <c r="C450" s="795" t="s">
        <v>3229</v>
      </c>
      <c r="D450" s="742" t="s">
        <v>3266</v>
      </c>
      <c r="E450" s="888" t="s">
        <v>3329</v>
      </c>
      <c r="F450" s="1958" t="s">
        <v>3230</v>
      </c>
      <c r="G450" s="1960" t="s">
        <v>4449</v>
      </c>
      <c r="H450" s="673" t="s">
        <v>4441</v>
      </c>
      <c r="I450" s="851"/>
      <c r="J450" s="436"/>
      <c r="K450" s="436"/>
      <c r="L450" s="436"/>
      <c r="M450" s="436"/>
      <c r="N450" s="436"/>
      <c r="O450" s="436"/>
      <c r="P450" s="436"/>
      <c r="Q450" s="246"/>
      <c r="R450" s="246"/>
      <c r="S450" s="246"/>
      <c r="T450" s="246"/>
      <c r="U450" s="436"/>
      <c r="V450" s="435"/>
      <c r="W450" s="435"/>
      <c r="X450" s="435"/>
      <c r="Y450" s="436"/>
    </row>
    <row r="451" spans="1:25" s="773" customFormat="1" ht="57" customHeight="1">
      <c r="A451" s="340"/>
      <c r="B451" s="336" t="s">
        <v>4656</v>
      </c>
      <c r="C451" s="502" t="s">
        <v>4340</v>
      </c>
      <c r="D451" s="599" t="s">
        <v>4355</v>
      </c>
      <c r="E451" s="502" t="s">
        <v>4357</v>
      </c>
      <c r="F451" s="1959">
        <v>15000</v>
      </c>
      <c r="G451" s="340"/>
      <c r="H451" s="1994" t="s">
        <v>4784</v>
      </c>
      <c r="I451" s="340"/>
      <c r="J451" s="66"/>
      <c r="K451" s="340"/>
      <c r="L451" s="340"/>
      <c r="M451" s="340"/>
      <c r="N451" s="340"/>
      <c r="O451" s="340"/>
      <c r="P451" s="340"/>
      <c r="Q451" s="340"/>
      <c r="R451" s="340"/>
      <c r="S451" s="340"/>
      <c r="T451" s="340"/>
      <c r="U451" s="340"/>
      <c r="V451" s="340"/>
      <c r="W451" s="340"/>
      <c r="X451" s="340"/>
      <c r="Y451" s="340"/>
    </row>
    <row r="452" spans="1:25" s="1" customFormat="1" ht="93.75" customHeight="1">
      <c r="A452" s="340"/>
      <c r="B452" s="2037" t="s">
        <v>3304</v>
      </c>
      <c r="C452" s="80" t="s">
        <v>3261</v>
      </c>
      <c r="D452" s="15" t="s">
        <v>4389</v>
      </c>
      <c r="E452" s="119" t="s">
        <v>3272</v>
      </c>
      <c r="F452" s="1930" t="s">
        <v>4621</v>
      </c>
      <c r="G452" s="672" t="s">
        <v>4447</v>
      </c>
      <c r="H452" s="672" t="s">
        <v>4835</v>
      </c>
      <c r="I452" s="672" t="s">
        <v>4834</v>
      </c>
      <c r="J452" s="2027" t="s">
        <v>4836</v>
      </c>
      <c r="K452" s="874"/>
      <c r="L452" s="45" t="s">
        <v>4413</v>
      </c>
      <c r="M452" s="44" t="s">
        <v>2733</v>
      </c>
      <c r="N452" s="812"/>
      <c r="O452" s="812">
        <v>100000</v>
      </c>
      <c r="P452" s="760">
        <v>100000</v>
      </c>
      <c r="Q452" s="1933">
        <v>44984</v>
      </c>
      <c r="R452" s="510"/>
      <c r="S452" s="510"/>
      <c r="T452" s="510"/>
      <c r="U452" s="2"/>
      <c r="V452" s="659"/>
      <c r="W452" s="680"/>
    </row>
    <row r="453" spans="1:25" s="1" customFormat="1" ht="98.25" customHeight="1">
      <c r="A453" s="340"/>
      <c r="B453" s="872"/>
      <c r="C453" s="135" t="s">
        <v>3262</v>
      </c>
      <c r="D453" s="15" t="s">
        <v>4513</v>
      </c>
      <c r="E453" s="119" t="s">
        <v>3263</v>
      </c>
      <c r="F453" s="1919" t="s">
        <v>4543</v>
      </c>
      <c r="G453" s="672" t="s">
        <v>4448</v>
      </c>
      <c r="H453" s="672" t="s">
        <v>4831</v>
      </c>
      <c r="I453" s="672" t="s">
        <v>4833</v>
      </c>
      <c r="J453" s="2027" t="s">
        <v>4832</v>
      </c>
      <c r="K453" s="690"/>
      <c r="L453" s="45" t="s">
        <v>4414</v>
      </c>
      <c r="M453" s="2008" t="s">
        <v>2701</v>
      </c>
      <c r="N453" s="2009"/>
      <c r="O453" s="2009">
        <v>200000</v>
      </c>
      <c r="P453" s="2010">
        <v>200000</v>
      </c>
      <c r="Q453" s="2011">
        <v>44984</v>
      </c>
      <c r="R453" s="2012" t="s">
        <v>4653</v>
      </c>
      <c r="S453" s="510"/>
      <c r="T453" s="510"/>
      <c r="U453" s="2"/>
      <c r="V453" s="659"/>
      <c r="W453" s="680"/>
    </row>
    <row r="454" spans="1:25" s="1" customFormat="1" ht="84.75" customHeight="1">
      <c r="A454" s="340"/>
      <c r="B454" s="872"/>
      <c r="C454" s="135" t="s">
        <v>4540</v>
      </c>
      <c r="D454" s="454" t="s">
        <v>4541</v>
      </c>
      <c r="E454" s="119" t="s">
        <v>4542</v>
      </c>
      <c r="F454" s="1919" t="s">
        <v>4487</v>
      </c>
      <c r="G454" s="672"/>
      <c r="H454" s="2167" t="s">
        <v>5233</v>
      </c>
      <c r="I454" s="2022"/>
      <c r="J454" s="1976" t="s">
        <v>5232</v>
      </c>
      <c r="K454" s="690"/>
      <c r="L454" s="45"/>
      <c r="M454" s="44" t="s">
        <v>4517</v>
      </c>
      <c r="N454" s="812"/>
      <c r="O454" s="599"/>
      <c r="P454" s="1968"/>
      <c r="Q454" s="60"/>
      <c r="R454" s="510"/>
      <c r="S454" s="510"/>
      <c r="T454" s="510"/>
      <c r="U454" s="2"/>
      <c r="V454" s="659"/>
      <c r="W454" s="680"/>
    </row>
    <row r="455" spans="1:25" s="1" customFormat="1" ht="84.75" customHeight="1">
      <c r="A455" s="340"/>
      <c r="B455" s="686"/>
      <c r="C455" s="135" t="s">
        <v>4446</v>
      </c>
      <c r="D455" s="454" t="s">
        <v>4539</v>
      </c>
      <c r="E455" s="119" t="s">
        <v>4587</v>
      </c>
      <c r="F455" s="1957">
        <v>232496.13</v>
      </c>
      <c r="G455" s="672"/>
      <c r="H455" s="672" t="s">
        <v>4837</v>
      </c>
      <c r="I455" s="672"/>
      <c r="J455" s="2027" t="s">
        <v>4838</v>
      </c>
      <c r="K455" s="690"/>
      <c r="L455" s="45"/>
      <c r="M455" s="44" t="s">
        <v>4518</v>
      </c>
      <c r="N455" s="812"/>
      <c r="O455" s="599"/>
      <c r="P455" s="760" t="s">
        <v>4589</v>
      </c>
      <c r="Q455" s="1961" t="s">
        <v>4590</v>
      </c>
      <c r="R455" s="510"/>
      <c r="S455" s="510"/>
      <c r="T455" s="510"/>
      <c r="U455" s="2"/>
      <c r="V455" s="659"/>
      <c r="W455" s="680"/>
    </row>
    <row r="456" spans="1:25" s="1" customFormat="1" ht="64.5" customHeight="1">
      <c r="A456" s="340"/>
      <c r="B456" s="1932" t="s">
        <v>901</v>
      </c>
      <c r="C456" s="135" t="s">
        <v>4393</v>
      </c>
      <c r="D456" s="15" t="s">
        <v>4807</v>
      </c>
      <c r="E456" s="119" t="s">
        <v>4395</v>
      </c>
      <c r="F456" s="1919" t="s">
        <v>4394</v>
      </c>
      <c r="G456" s="672"/>
      <c r="H456" s="671" t="s">
        <v>4776</v>
      </c>
      <c r="I456" s="2022"/>
      <c r="J456" s="792"/>
      <c r="K456" s="690"/>
      <c r="L456" s="45"/>
      <c r="M456" s="44" t="s">
        <v>4563</v>
      </c>
      <c r="N456" s="812"/>
      <c r="O456" s="599"/>
      <c r="P456" s="760" t="s">
        <v>4564</v>
      </c>
      <c r="Q456" s="217" t="s">
        <v>4610</v>
      </c>
      <c r="R456" s="510"/>
      <c r="S456" s="510"/>
      <c r="T456" s="510"/>
      <c r="U456" s="2"/>
      <c r="V456" s="659"/>
      <c r="W456" s="680"/>
    </row>
    <row r="457" spans="1:25" s="1" customFormat="1" ht="66" customHeight="1">
      <c r="A457" s="340"/>
      <c r="B457" s="2051" t="s">
        <v>4351</v>
      </c>
      <c r="C457" s="2355" t="s">
        <v>3114</v>
      </c>
      <c r="D457" s="822" t="s">
        <v>4356</v>
      </c>
      <c r="E457" s="502" t="s">
        <v>4352</v>
      </c>
      <c r="F457" s="1908" t="s">
        <v>3320</v>
      </c>
      <c r="G457" s="671"/>
      <c r="H457" s="671" t="s">
        <v>4547</v>
      </c>
      <c r="I457" s="2023" t="s">
        <v>1781</v>
      </c>
      <c r="J457" s="792"/>
      <c r="K457" s="690"/>
      <c r="L457" s="45"/>
      <c r="M457" s="44" t="s">
        <v>4499</v>
      </c>
      <c r="N457" s="812" t="s">
        <v>4496</v>
      </c>
      <c r="O457" s="599"/>
      <c r="P457" s="1962" t="s">
        <v>4498</v>
      </c>
      <c r="Q457" s="1963" t="s">
        <v>4497</v>
      </c>
      <c r="R457" s="510"/>
      <c r="S457" s="510"/>
      <c r="T457" s="510"/>
      <c r="U457" s="2"/>
      <c r="V457" s="659"/>
      <c r="W457" s="680"/>
    </row>
    <row r="458" spans="1:25" s="773" customFormat="1" ht="43.5" customHeight="1">
      <c r="A458" s="340"/>
      <c r="B458" s="2052"/>
      <c r="C458" s="2356"/>
      <c r="D458" s="823"/>
      <c r="E458" s="502" t="s">
        <v>4352</v>
      </c>
      <c r="F458" s="1908" t="s">
        <v>3320</v>
      </c>
      <c r="G458" s="340"/>
      <c r="H458" s="340"/>
      <c r="I458" s="340"/>
      <c r="J458" s="340"/>
      <c r="K458" s="340"/>
      <c r="L458" s="340"/>
      <c r="M458" s="502" t="s">
        <v>4404</v>
      </c>
      <c r="N458" s="340"/>
      <c r="O458" s="340"/>
      <c r="P458" s="564" t="s">
        <v>4417</v>
      </c>
      <c r="Q458" s="568" t="s">
        <v>4418</v>
      </c>
      <c r="R458" s="340"/>
      <c r="S458" s="340"/>
      <c r="T458" s="340"/>
      <c r="U458" s="340"/>
      <c r="V458" s="340"/>
      <c r="W458" s="340"/>
      <c r="X458" s="340"/>
      <c r="Y458" s="340"/>
    </row>
    <row r="459" spans="1:25" s="773" customFormat="1" ht="65.25" customHeight="1">
      <c r="A459" s="340"/>
      <c r="B459" s="2052" t="s">
        <v>4351</v>
      </c>
      <c r="C459" s="2065" t="s">
        <v>5007</v>
      </c>
      <c r="D459" s="823" t="s">
        <v>5005</v>
      </c>
      <c r="E459" s="502"/>
      <c r="F459" s="1908">
        <v>71427</v>
      </c>
      <c r="G459" s="340"/>
      <c r="H459" s="1908">
        <v>71427</v>
      </c>
      <c r="I459" s="391">
        <v>45274</v>
      </c>
      <c r="J459" s="340"/>
      <c r="K459" s="340"/>
      <c r="L459" s="340"/>
      <c r="M459" s="497"/>
      <c r="N459" s="2066"/>
      <c r="O459" s="340"/>
      <c r="P459" s="564"/>
      <c r="Q459" s="2067"/>
      <c r="R459" s="2054"/>
      <c r="S459" s="2054"/>
      <c r="T459" s="2054"/>
      <c r="U459" s="340"/>
      <c r="V459" s="340"/>
    </row>
    <row r="460" spans="1:25" s="773" customFormat="1" ht="49.5" customHeight="1">
      <c r="A460" s="340"/>
      <c r="B460" s="2052" t="s">
        <v>4351</v>
      </c>
      <c r="C460" s="2065" t="s">
        <v>5006</v>
      </c>
      <c r="D460" s="823" t="s">
        <v>5008</v>
      </c>
      <c r="E460" s="502"/>
      <c r="F460" s="1908">
        <v>74360</v>
      </c>
      <c r="G460" s="340"/>
      <c r="H460" s="1908">
        <v>74360</v>
      </c>
      <c r="I460" s="391">
        <v>45274</v>
      </c>
      <c r="J460" s="340"/>
      <c r="K460" s="340"/>
      <c r="L460" s="340"/>
      <c r="M460" s="497"/>
      <c r="N460" s="2066"/>
      <c r="O460" s="340"/>
      <c r="P460" s="564"/>
      <c r="Q460" s="2067"/>
      <c r="R460" s="2054"/>
      <c r="S460" s="2054"/>
      <c r="T460" s="2054"/>
      <c r="U460" s="340"/>
      <c r="V460" s="340"/>
    </row>
    <row r="461" spans="1:25" s="1" customFormat="1" ht="64.5" customHeight="1">
      <c r="A461" s="1918">
        <v>13</v>
      </c>
      <c r="B461" s="639" t="s">
        <v>3180</v>
      </c>
      <c r="C461" s="388" t="s">
        <v>1003</v>
      </c>
      <c r="D461" s="442" t="s">
        <v>4392</v>
      </c>
      <c r="E461" s="639" t="s">
        <v>4810</v>
      </c>
      <c r="F461" s="1930" t="s">
        <v>4358</v>
      </c>
      <c r="G461" s="1931" t="s">
        <v>4572</v>
      </c>
      <c r="H461" s="1931" t="s">
        <v>4695</v>
      </c>
      <c r="I461" s="400"/>
      <c r="J461" s="884" t="s">
        <v>4776</v>
      </c>
      <c r="K461" s="2041" t="s">
        <v>376</v>
      </c>
      <c r="L461" s="172"/>
      <c r="M461" s="562"/>
      <c r="N461" s="681"/>
      <c r="O461" s="2"/>
      <c r="P461" s="918"/>
      <c r="Q461" s="919"/>
      <c r="R461" s="839"/>
      <c r="S461" s="839"/>
      <c r="T461" s="679"/>
      <c r="U461" s="2"/>
      <c r="V461" s="2"/>
    </row>
    <row r="462" spans="1:25" s="773" customFormat="1" ht="62.25" customHeight="1">
      <c r="A462" s="340"/>
      <c r="B462" s="598" t="s">
        <v>4334</v>
      </c>
      <c r="C462" s="502" t="s">
        <v>3500</v>
      </c>
      <c r="D462" s="502" t="s">
        <v>5524</v>
      </c>
      <c r="E462" s="502" t="s">
        <v>4696</v>
      </c>
      <c r="F462" s="784" t="s">
        <v>4545</v>
      </c>
      <c r="G462" s="2026" t="s">
        <v>4654</v>
      </c>
      <c r="H462" s="1931" t="s">
        <v>4693</v>
      </c>
      <c r="I462" s="340"/>
      <c r="J462" s="1907"/>
      <c r="K462" s="340"/>
      <c r="L462" s="340"/>
      <c r="M462" s="340"/>
      <c r="N462" s="340"/>
      <c r="O462" s="340"/>
      <c r="P462" s="340"/>
      <c r="Q462" s="340"/>
      <c r="R462" s="340"/>
      <c r="S462" s="340"/>
      <c r="T462" s="340"/>
      <c r="U462" s="340"/>
      <c r="V462" s="340"/>
      <c r="W462" s="340"/>
      <c r="X462" s="340"/>
      <c r="Y462" s="340"/>
    </row>
    <row r="463" spans="1:25" s="1" customFormat="1" ht="76.5" customHeight="1">
      <c r="A463" s="249"/>
      <c r="B463" s="2014" t="s">
        <v>4574</v>
      </c>
      <c r="C463" s="69" t="s">
        <v>4575</v>
      </c>
      <c r="D463" s="2296" t="s">
        <v>4576</v>
      </c>
      <c r="E463" s="33" t="s">
        <v>4861</v>
      </c>
      <c r="F463" s="517" t="s">
        <v>4577</v>
      </c>
      <c r="G463" s="671"/>
      <c r="H463" s="671"/>
      <c r="I463" s="2023" t="s">
        <v>1781</v>
      </c>
      <c r="J463" s="2024" t="s">
        <v>4687</v>
      </c>
      <c r="K463" s="2"/>
      <c r="L463" s="172" t="s">
        <v>65</v>
      </c>
      <c r="M463" s="562"/>
      <c r="N463" s="681"/>
      <c r="O463" s="2"/>
      <c r="P463" s="918"/>
      <c r="Q463" s="919"/>
      <c r="R463" s="839"/>
      <c r="S463" s="839"/>
      <c r="T463" s="679"/>
      <c r="U463" s="2"/>
      <c r="V463" s="2"/>
    </row>
    <row r="464" spans="1:25" s="1" customFormat="1" ht="99" customHeight="1">
      <c r="A464" s="249"/>
      <c r="B464" s="502" t="s">
        <v>4625</v>
      </c>
      <c r="C464" s="45" t="s">
        <v>4742</v>
      </c>
      <c r="D464" s="502" t="s">
        <v>4740</v>
      </c>
      <c r="E464" s="502" t="s">
        <v>4623</v>
      </c>
      <c r="F464" s="502" t="s">
        <v>4624</v>
      </c>
      <c r="G464" s="54"/>
      <c r="H464" s="28" t="s">
        <v>4709</v>
      </c>
      <c r="I464" s="400"/>
      <c r="J464" s="792"/>
      <c r="K464" s="2"/>
      <c r="L464" s="172"/>
      <c r="M464" s="562"/>
      <c r="N464" s="681"/>
      <c r="O464" s="2"/>
      <c r="P464" s="918"/>
      <c r="Q464" s="919"/>
      <c r="R464" s="839"/>
      <c r="S464" s="839"/>
      <c r="T464" s="679"/>
      <c r="U464" s="2"/>
      <c r="V464" s="2"/>
    </row>
    <row r="465" spans="1:25" s="1" customFormat="1" ht="96.75" customHeight="1">
      <c r="A465" s="249"/>
      <c r="B465" s="502" t="s">
        <v>4625</v>
      </c>
      <c r="C465" s="45" t="s">
        <v>4743</v>
      </c>
      <c r="D465" s="502" t="s">
        <v>4744</v>
      </c>
      <c r="E465" s="502" t="s">
        <v>4745</v>
      </c>
      <c r="F465" s="502" t="s">
        <v>4746</v>
      </c>
      <c r="G465" s="54" t="s">
        <v>4767</v>
      </c>
      <c r="H465" s="28"/>
      <c r="I465" s="2023" t="s">
        <v>1781</v>
      </c>
      <c r="J465" s="792"/>
      <c r="K465" s="2"/>
      <c r="L465" s="172"/>
      <c r="M465" s="562"/>
      <c r="N465" s="681"/>
      <c r="O465" s="2"/>
      <c r="P465" s="918"/>
      <c r="Q465" s="919"/>
      <c r="R465" s="839"/>
      <c r="S465" s="839"/>
      <c r="T465" s="679"/>
      <c r="U465" s="2"/>
      <c r="V465" s="2"/>
    </row>
    <row r="466" spans="1:25" s="340" customFormat="1" ht="81.75" customHeight="1">
      <c r="B466" s="502" t="s">
        <v>4626</v>
      </c>
      <c r="C466" s="45" t="s">
        <v>4486</v>
      </c>
      <c r="D466" s="502" t="s">
        <v>4769</v>
      </c>
      <c r="E466" s="502" t="s">
        <v>4623</v>
      </c>
      <c r="F466" s="502" t="s">
        <v>4627</v>
      </c>
      <c r="G466" s="671" t="s">
        <v>4768</v>
      </c>
      <c r="H466" s="671"/>
      <c r="I466" s="2023" t="s">
        <v>1781</v>
      </c>
      <c r="J466" s="792"/>
    </row>
    <row r="467" spans="1:25" s="340" customFormat="1" ht="94.5" customHeight="1">
      <c r="B467" s="502" t="s">
        <v>4628</v>
      </c>
      <c r="C467" s="45" t="s">
        <v>4486</v>
      </c>
      <c r="D467" s="502" t="s">
        <v>4629</v>
      </c>
      <c r="E467" s="502" t="s">
        <v>4623</v>
      </c>
      <c r="F467" s="45" t="s">
        <v>4741</v>
      </c>
      <c r="H467" s="28" t="s">
        <v>4709</v>
      </c>
    </row>
    <row r="468" spans="1:25" s="1999" customFormat="1" ht="52.5">
      <c r="A468" s="2000"/>
      <c r="B468" s="2001" t="s">
        <v>4618</v>
      </c>
      <c r="C468" s="2002" t="s">
        <v>4596</v>
      </c>
      <c r="D468" s="2003" t="s">
        <v>4597</v>
      </c>
      <c r="E468" s="2004" t="s">
        <v>4599</v>
      </c>
      <c r="F468" s="2000">
        <v>4500000</v>
      </c>
      <c r="G468" s="2005"/>
      <c r="H468" s="2002"/>
      <c r="I468" s="2003" t="s">
        <v>5525</v>
      </c>
      <c r="J468" s="2003" t="s">
        <v>4637</v>
      </c>
      <c r="K468" s="2000"/>
      <c r="L468" s="2000" t="s">
        <v>4635</v>
      </c>
      <c r="M468" s="2002" t="s">
        <v>4636</v>
      </c>
      <c r="N468" s="2000"/>
      <c r="O468" s="2000"/>
      <c r="P468" s="2000">
        <v>462479.4</v>
      </c>
      <c r="Q468" s="2000" t="s">
        <v>4634</v>
      </c>
      <c r="R468" s="2000"/>
      <c r="S468" s="2000"/>
      <c r="T468" s="2000"/>
      <c r="U468" s="2000"/>
      <c r="V468" s="2000"/>
      <c r="W468" s="2000"/>
      <c r="X468" s="2000"/>
      <c r="Y468" s="2000"/>
    </row>
    <row r="469" spans="1:25" s="551" customFormat="1" ht="19.5" customHeight="1">
      <c r="B469" s="552" t="s">
        <v>4774</v>
      </c>
      <c r="C469" s="553"/>
      <c r="D469" s="554"/>
      <c r="E469" s="555"/>
      <c r="F469" s="556"/>
      <c r="G469" s="556"/>
      <c r="H469" s="557"/>
      <c r="I469" s="558"/>
      <c r="J469" s="559"/>
      <c r="K469" s="559"/>
      <c r="L469" s="559"/>
      <c r="M469" s="559"/>
      <c r="N469" s="559"/>
      <c r="O469" s="559"/>
      <c r="P469" s="559"/>
      <c r="Q469" s="780"/>
      <c r="R469" s="780"/>
      <c r="S469" s="780"/>
      <c r="T469" s="780"/>
      <c r="U469" s="559"/>
      <c r="V469" s="781"/>
      <c r="W469" s="782"/>
      <c r="X469" s="783"/>
      <c r="Y469" s="559"/>
    </row>
    <row r="470" spans="1:25" s="1" customFormat="1" ht="132" customHeight="1">
      <c r="A470" s="927"/>
      <c r="B470" s="467" t="s">
        <v>4319</v>
      </c>
      <c r="C470" s="2044" t="s">
        <v>5076</v>
      </c>
      <c r="D470" s="741" t="s">
        <v>4798</v>
      </c>
      <c r="E470" s="888" t="s">
        <v>5066</v>
      </c>
      <c r="F470" s="2045">
        <v>7200000</v>
      </c>
      <c r="G470" s="2047"/>
      <c r="H470" s="1159" t="s">
        <v>5109</v>
      </c>
      <c r="I470" s="55"/>
      <c r="J470" s="30"/>
      <c r="K470" s="2"/>
      <c r="L470" s="2"/>
      <c r="M470" s="139"/>
      <c r="N470" s="2"/>
      <c r="O470" s="2"/>
      <c r="P470" s="1992"/>
      <c r="Q470" s="1991"/>
      <c r="R470" s="50"/>
      <c r="S470" s="50"/>
      <c r="T470" s="50"/>
      <c r="U470" s="2"/>
      <c r="V470" s="2"/>
    </row>
    <row r="471" spans="1:25" s="1" customFormat="1" ht="57.75" customHeight="1">
      <c r="A471" s="927">
        <v>4</v>
      </c>
      <c r="B471" s="2050" t="s">
        <v>4797</v>
      </c>
      <c r="C471" s="56" t="s">
        <v>488</v>
      </c>
      <c r="D471" s="92" t="s">
        <v>4857</v>
      </c>
      <c r="E471" s="33" t="s">
        <v>585</v>
      </c>
      <c r="F471" s="241">
        <v>10800</v>
      </c>
      <c r="G471" s="1987" t="s">
        <v>5032</v>
      </c>
      <c r="H471" s="28" t="s">
        <v>5033</v>
      </c>
      <c r="I471" s="2022"/>
      <c r="J471" s="66"/>
      <c r="K471" s="2"/>
      <c r="L471" s="2" t="s">
        <v>3198</v>
      </c>
      <c r="M471" s="2"/>
      <c r="N471" s="2"/>
      <c r="O471" s="2"/>
      <c r="P471" s="2"/>
      <c r="Q471" s="50"/>
      <c r="R471" s="50"/>
      <c r="S471" s="50"/>
      <c r="T471" s="50"/>
      <c r="U471" s="2"/>
      <c r="V471" s="2"/>
    </row>
    <row r="472" spans="1:25" s="1" customFormat="1" ht="95.25" customHeight="1">
      <c r="A472" s="340"/>
      <c r="B472" s="1932" t="s">
        <v>901</v>
      </c>
      <c r="C472" s="135" t="s">
        <v>4393</v>
      </c>
      <c r="D472" s="15" t="s">
        <v>5018</v>
      </c>
      <c r="E472" s="119" t="s">
        <v>5019</v>
      </c>
      <c r="F472" s="1919" t="s">
        <v>4394</v>
      </c>
      <c r="G472" s="672"/>
      <c r="H472" s="671" t="s">
        <v>4855</v>
      </c>
      <c r="I472" s="2022"/>
      <c r="J472" s="2055" t="s">
        <v>4856</v>
      </c>
      <c r="K472" s="690"/>
      <c r="L472" s="45"/>
      <c r="M472" s="44" t="s">
        <v>4563</v>
      </c>
      <c r="N472" s="812"/>
      <c r="O472" s="599"/>
      <c r="P472" s="760" t="s">
        <v>4564</v>
      </c>
      <c r="Q472" s="217" t="s">
        <v>4610</v>
      </c>
      <c r="R472" s="510"/>
      <c r="S472" s="510"/>
      <c r="T472" s="510"/>
      <c r="U472" s="2"/>
      <c r="V472" s="659"/>
      <c r="W472" s="680"/>
    </row>
    <row r="473" spans="1:25" s="1" customFormat="1" ht="93.75" customHeight="1">
      <c r="A473" s="340"/>
      <c r="B473" s="2037"/>
      <c r="C473" s="80" t="s">
        <v>5077</v>
      </c>
      <c r="D473" s="15" t="s">
        <v>5056</v>
      </c>
      <c r="E473" s="119" t="s">
        <v>4809</v>
      </c>
      <c r="F473" s="1930" t="s">
        <v>4812</v>
      </c>
      <c r="G473" s="672" t="s">
        <v>4447</v>
      </c>
      <c r="H473" s="672" t="s">
        <v>5239</v>
      </c>
      <c r="I473" s="672"/>
      <c r="J473" s="2027" t="s">
        <v>5325</v>
      </c>
      <c r="K473" s="874"/>
      <c r="L473" s="45" t="s">
        <v>4413</v>
      </c>
      <c r="M473" s="44" t="s">
        <v>2733</v>
      </c>
      <c r="N473" s="812"/>
      <c r="O473" s="812">
        <v>100000</v>
      </c>
      <c r="P473" s="760">
        <v>100000</v>
      </c>
      <c r="Q473" s="1933">
        <v>44984</v>
      </c>
      <c r="R473" s="510"/>
      <c r="S473" s="510"/>
      <c r="T473" s="510"/>
      <c r="U473" s="2"/>
      <c r="V473" s="659"/>
      <c r="W473" s="680"/>
    </row>
    <row r="474" spans="1:25" s="1" customFormat="1" ht="98.25" customHeight="1">
      <c r="A474" s="340"/>
      <c r="B474" s="872" t="s">
        <v>4796</v>
      </c>
      <c r="C474" s="135" t="s">
        <v>5078</v>
      </c>
      <c r="D474" s="15" t="s">
        <v>5055</v>
      </c>
      <c r="E474" s="119" t="s">
        <v>3263</v>
      </c>
      <c r="F474" s="1919" t="s">
        <v>4543</v>
      </c>
      <c r="G474" s="672" t="s">
        <v>4448</v>
      </c>
      <c r="H474" s="672" t="s">
        <v>5238</v>
      </c>
      <c r="I474" s="672"/>
      <c r="J474" s="2027" t="s">
        <v>5244</v>
      </c>
      <c r="K474" s="690"/>
      <c r="L474" s="45" t="s">
        <v>4414</v>
      </c>
      <c r="M474" s="2008" t="s">
        <v>2701</v>
      </c>
      <c r="N474" s="2009"/>
      <c r="O474" s="2009">
        <v>200000</v>
      </c>
      <c r="P474" s="2010">
        <v>200000</v>
      </c>
      <c r="Q474" s="2011">
        <v>44984</v>
      </c>
      <c r="R474" s="2012" t="s">
        <v>4653</v>
      </c>
      <c r="S474" s="510"/>
      <c r="T474" s="510"/>
      <c r="U474" s="2"/>
      <c r="V474" s="659"/>
      <c r="W474" s="680"/>
    </row>
    <row r="475" spans="1:25" s="1" customFormat="1" ht="84.75" customHeight="1">
      <c r="A475" s="340"/>
      <c r="B475" s="872"/>
      <c r="C475" s="135" t="s">
        <v>4446</v>
      </c>
      <c r="D475" s="454" t="s">
        <v>5057</v>
      </c>
      <c r="E475" s="119" t="s">
        <v>4775</v>
      </c>
      <c r="F475" s="1957" t="s">
        <v>4811</v>
      </c>
      <c r="G475" s="672"/>
      <c r="H475" s="672" t="s">
        <v>5035</v>
      </c>
      <c r="I475" s="672"/>
      <c r="J475" s="2027" t="s">
        <v>5245</v>
      </c>
      <c r="K475" s="690"/>
      <c r="L475" s="45"/>
      <c r="M475" s="44" t="s">
        <v>4518</v>
      </c>
      <c r="N475" s="812"/>
      <c r="O475" s="599"/>
      <c r="P475" s="760" t="s">
        <v>4589</v>
      </c>
      <c r="Q475" s="1961" t="s">
        <v>4590</v>
      </c>
      <c r="R475" s="510"/>
      <c r="S475" s="510"/>
      <c r="T475" s="510"/>
      <c r="U475" s="2"/>
      <c r="V475" s="659"/>
      <c r="W475" s="680"/>
    </row>
    <row r="476" spans="1:25" s="1" customFormat="1" ht="84.75" customHeight="1">
      <c r="A476" s="340"/>
      <c r="B476" s="872"/>
      <c r="C476" s="135" t="s">
        <v>4540</v>
      </c>
      <c r="D476" s="454" t="s">
        <v>5234</v>
      </c>
      <c r="E476" s="119" t="s">
        <v>4542</v>
      </c>
      <c r="F476" s="1919" t="s">
        <v>4487</v>
      </c>
      <c r="G476" s="672"/>
      <c r="H476" s="2167" t="s">
        <v>5241</v>
      </c>
      <c r="I476" s="2022"/>
      <c r="J476" s="2169" t="s">
        <v>5307</v>
      </c>
      <c r="K476" s="690"/>
      <c r="L476" s="45"/>
      <c r="M476" s="44" t="s">
        <v>4517</v>
      </c>
      <c r="N476" s="812"/>
      <c r="O476" s="599"/>
      <c r="P476" s="1968"/>
      <c r="Q476" s="60"/>
      <c r="R476" s="510"/>
      <c r="S476" s="510"/>
      <c r="T476" s="510"/>
      <c r="U476" s="2"/>
      <c r="V476" s="659"/>
      <c r="W476" s="680"/>
    </row>
    <row r="477" spans="1:25" s="340" customFormat="1" ht="76.5" customHeight="1">
      <c r="B477" s="686"/>
      <c r="C477" s="390" t="s">
        <v>4779</v>
      </c>
      <c r="D477" s="15" t="s">
        <v>4781</v>
      </c>
      <c r="E477" s="119" t="s">
        <v>4780</v>
      </c>
      <c r="F477" s="2040">
        <v>400078.15</v>
      </c>
      <c r="H477" s="338">
        <v>400078.15</v>
      </c>
      <c r="I477" s="391">
        <v>45320</v>
      </c>
      <c r="J477" s="391"/>
    </row>
    <row r="478" spans="1:25" s="340" customFormat="1" ht="76.5" customHeight="1">
      <c r="B478" s="686" t="s">
        <v>5010</v>
      </c>
      <c r="C478" s="390" t="s">
        <v>4992</v>
      </c>
      <c r="D478" s="15" t="s">
        <v>4991</v>
      </c>
      <c r="E478" s="119"/>
      <c r="F478" s="2040"/>
      <c r="H478" s="502">
        <v>594741.61</v>
      </c>
      <c r="I478" s="338" t="s">
        <v>4993</v>
      </c>
      <c r="J478" s="391"/>
      <c r="M478" s="2063" t="s">
        <v>2982</v>
      </c>
    </row>
    <row r="479" spans="1:25" s="773" customFormat="1" ht="79.5" customHeight="1">
      <c r="A479" s="340"/>
      <c r="B479" s="686" t="s">
        <v>5010</v>
      </c>
      <c r="C479" s="390" t="s">
        <v>4994</v>
      </c>
      <c r="D479" s="15" t="s">
        <v>4995</v>
      </c>
      <c r="E479" s="33" t="s">
        <v>4996</v>
      </c>
      <c r="F479" s="2040">
        <v>67798.55</v>
      </c>
      <c r="G479" s="340"/>
      <c r="H479" s="502">
        <v>67798.55</v>
      </c>
      <c r="I479" s="338" t="s">
        <v>5036</v>
      </c>
      <c r="J479" s="2064"/>
      <c r="K479" s="340"/>
      <c r="L479" s="340"/>
      <c r="M479" s="2063"/>
      <c r="N479" s="340"/>
      <c r="O479" s="340"/>
      <c r="P479" s="340"/>
      <c r="Q479" s="340"/>
      <c r="R479" s="340"/>
      <c r="S479" s="340"/>
      <c r="T479" s="340"/>
      <c r="U479" s="340"/>
      <c r="V479" s="340"/>
      <c r="W479" s="340"/>
      <c r="X479" s="340"/>
      <c r="Y479" s="340"/>
    </row>
    <row r="480" spans="1:25" s="773" customFormat="1" ht="57" customHeight="1">
      <c r="A480" s="340"/>
      <c r="B480" s="336" t="s">
        <v>4951</v>
      </c>
      <c r="C480" s="502" t="s">
        <v>4340</v>
      </c>
      <c r="D480" s="599" t="s">
        <v>4355</v>
      </c>
      <c r="E480" s="388" t="s">
        <v>4357</v>
      </c>
      <c r="F480" s="1959">
        <v>15000</v>
      </c>
      <c r="G480" s="340"/>
      <c r="H480" s="1994" t="s">
        <v>4842</v>
      </c>
      <c r="I480" s="340"/>
      <c r="J480" s="66"/>
      <c r="K480" s="340"/>
      <c r="L480" s="340"/>
      <c r="M480" s="340"/>
      <c r="N480" s="340"/>
      <c r="O480" s="340"/>
      <c r="P480" s="340"/>
      <c r="Q480" s="340"/>
      <c r="R480" s="340"/>
      <c r="S480" s="340"/>
      <c r="T480" s="340"/>
      <c r="U480" s="340"/>
      <c r="V480" s="340"/>
      <c r="W480" s="340"/>
      <c r="X480" s="340"/>
      <c r="Y480" s="340"/>
    </row>
    <row r="481" spans="1:25" s="1" customFormat="1" ht="91.5" customHeight="1">
      <c r="A481" s="340"/>
      <c r="B481" s="2058" t="s">
        <v>4351</v>
      </c>
      <c r="C481" s="131" t="s">
        <v>3114</v>
      </c>
      <c r="D481" s="822" t="s">
        <v>5084</v>
      </c>
      <c r="E481" s="388" t="s">
        <v>5085</v>
      </c>
      <c r="F481" s="1908" t="s">
        <v>3320</v>
      </c>
      <c r="G481" s="672"/>
      <c r="H481" s="672" t="s">
        <v>4804</v>
      </c>
      <c r="I481" s="2083" t="s">
        <v>5081</v>
      </c>
      <c r="J481" s="2055" t="s">
        <v>5110</v>
      </c>
      <c r="K481" s="690"/>
      <c r="L481" s="45"/>
      <c r="M481" s="44" t="s">
        <v>4499</v>
      </c>
      <c r="N481" s="812" t="s">
        <v>4496</v>
      </c>
      <c r="O481" s="599"/>
      <c r="P481" s="1962" t="s">
        <v>4498</v>
      </c>
      <c r="Q481" s="1963" t="s">
        <v>4497</v>
      </c>
      <c r="R481" s="510"/>
      <c r="S481" s="510"/>
      <c r="T481" s="510"/>
      <c r="U481" s="2"/>
      <c r="V481" s="659"/>
      <c r="W481" s="680"/>
    </row>
    <row r="482" spans="1:25" s="1" customFormat="1" ht="135" customHeight="1">
      <c r="A482" s="340"/>
      <c r="B482" s="639" t="s">
        <v>4865</v>
      </c>
      <c r="C482" s="131" t="s">
        <v>4952</v>
      </c>
      <c r="D482" s="822" t="s">
        <v>4866</v>
      </c>
      <c r="E482" s="2060" t="s">
        <v>4867</v>
      </c>
      <c r="F482" s="1908" t="s">
        <v>4868</v>
      </c>
      <c r="G482" s="672"/>
      <c r="H482" s="672" t="s">
        <v>4921</v>
      </c>
      <c r="I482" s="393" t="s">
        <v>4897</v>
      </c>
      <c r="J482" s="792"/>
      <c r="K482" s="690"/>
      <c r="L482" s="45"/>
      <c r="M482" s="44"/>
      <c r="N482" s="812"/>
      <c r="O482" s="599"/>
      <c r="P482" s="1962"/>
      <c r="Q482" s="1963"/>
      <c r="R482" s="510"/>
      <c r="S482" s="510"/>
      <c r="T482" s="510"/>
      <c r="U482" s="2"/>
      <c r="V482" s="659"/>
      <c r="W482" s="680"/>
    </row>
    <row r="483" spans="1:25" s="1" customFormat="1" ht="76.5" customHeight="1">
      <c r="A483" s="249"/>
      <c r="B483" s="23" t="s">
        <v>4574</v>
      </c>
      <c r="C483" s="69" t="s">
        <v>4575</v>
      </c>
      <c r="D483" s="180" t="s">
        <v>5040</v>
      </c>
      <c r="E483" s="33" t="s">
        <v>4861</v>
      </c>
      <c r="F483" s="517" t="s">
        <v>4577</v>
      </c>
      <c r="G483" s="671"/>
      <c r="H483" s="671"/>
      <c r="I483" s="2023" t="s">
        <v>1781</v>
      </c>
      <c r="J483" s="2024" t="s">
        <v>4687</v>
      </c>
      <c r="K483" s="2"/>
      <c r="L483" s="172"/>
      <c r="M483" s="562"/>
      <c r="N483" s="681"/>
      <c r="O483" s="2"/>
      <c r="P483" s="918"/>
      <c r="Q483" s="919"/>
      <c r="R483" s="839"/>
      <c r="S483" s="839"/>
      <c r="T483" s="679"/>
      <c r="U483" s="2"/>
      <c r="V483" s="2"/>
    </row>
    <row r="484" spans="1:25" s="773" customFormat="1" ht="62.25" customHeight="1">
      <c r="A484" s="340"/>
      <c r="B484" s="2059" t="s">
        <v>5041</v>
      </c>
      <c r="C484" s="502" t="s">
        <v>4873</v>
      </c>
      <c r="D484" s="502" t="s">
        <v>5111</v>
      </c>
      <c r="E484" s="388"/>
      <c r="F484" s="784" t="s">
        <v>4545</v>
      </c>
      <c r="G484" s="2026"/>
      <c r="H484" s="1931" t="s">
        <v>4856</v>
      </c>
      <c r="I484" s="2023" t="s">
        <v>1781</v>
      </c>
      <c r="J484" s="1907"/>
      <c r="K484" s="340"/>
      <c r="L484" s="340"/>
      <c r="M484" s="340"/>
      <c r="N484" s="340"/>
      <c r="O484" s="340"/>
      <c r="P484" s="340"/>
      <c r="Q484" s="340"/>
      <c r="R484" s="340"/>
      <c r="S484" s="340"/>
      <c r="T484" s="340"/>
      <c r="U484" s="340"/>
      <c r="V484" s="340"/>
      <c r="W484" s="340"/>
      <c r="X484" s="340"/>
      <c r="Y484" s="340"/>
    </row>
    <row r="485" spans="1:25" s="1" customFormat="1" ht="99" customHeight="1">
      <c r="A485" s="249"/>
      <c r="B485" s="388" t="s">
        <v>4956</v>
      </c>
      <c r="C485" s="45" t="s">
        <v>4742</v>
      </c>
      <c r="D485" s="502" t="s">
        <v>4876</v>
      </c>
      <c r="E485" s="388" t="s">
        <v>4623</v>
      </c>
      <c r="F485" s="502" t="s">
        <v>4624</v>
      </c>
      <c r="G485" s="54" t="s">
        <v>5009</v>
      </c>
      <c r="H485" s="28" t="s">
        <v>4875</v>
      </c>
      <c r="I485" s="400"/>
      <c r="J485" s="792"/>
      <c r="K485" s="2"/>
      <c r="L485" s="172"/>
      <c r="M485" s="562"/>
      <c r="N485" s="681"/>
      <c r="O485" s="2"/>
      <c r="P485" s="918"/>
      <c r="Q485" s="919"/>
      <c r="R485" s="839"/>
      <c r="S485" s="839"/>
      <c r="T485" s="679"/>
      <c r="U485" s="2"/>
      <c r="V485" s="2"/>
    </row>
    <row r="486" spans="1:25" s="1" customFormat="1" ht="96.75" customHeight="1">
      <c r="A486" s="249"/>
      <c r="B486" s="2128" t="s">
        <v>4955</v>
      </c>
      <c r="C486" s="45" t="s">
        <v>4743</v>
      </c>
      <c r="D486" s="502" t="s">
        <v>4953</v>
      </c>
      <c r="E486" s="502" t="s">
        <v>4745</v>
      </c>
      <c r="F486" s="502" t="s">
        <v>4872</v>
      </c>
      <c r="G486" s="54" t="s">
        <v>5009</v>
      </c>
      <c r="H486" s="28" t="s">
        <v>4877</v>
      </c>
      <c r="I486" s="2022"/>
      <c r="J486" s="792"/>
      <c r="K486" s="2"/>
      <c r="L486" s="172"/>
      <c r="M486" s="562"/>
      <c r="N486" s="681"/>
      <c r="O486" s="2"/>
      <c r="P486" s="918"/>
      <c r="Q486" s="919"/>
      <c r="R486" s="839"/>
      <c r="S486" s="839"/>
      <c r="T486" s="679"/>
      <c r="U486" s="2"/>
      <c r="V486" s="2"/>
    </row>
    <row r="487" spans="1:25" s="340" customFormat="1" ht="81.75" customHeight="1">
      <c r="B487" s="388" t="s">
        <v>4626</v>
      </c>
      <c r="C487" s="45" t="s">
        <v>4922</v>
      </c>
      <c r="D487" s="502" t="s">
        <v>4769</v>
      </c>
      <c r="E487" s="502" t="s">
        <v>4623</v>
      </c>
      <c r="F487" s="502" t="s">
        <v>4627</v>
      </c>
      <c r="G487" s="672" t="s">
        <v>5009</v>
      </c>
      <c r="H487" s="339" t="s">
        <v>4894</v>
      </c>
      <c r="I487" s="2022"/>
      <c r="J487" s="792"/>
    </row>
    <row r="488" spans="1:25" s="340" customFormat="1" ht="94.5" customHeight="1">
      <c r="B488" s="388" t="s">
        <v>4954</v>
      </c>
      <c r="C488" s="45" t="s">
        <v>4486</v>
      </c>
      <c r="D488" s="502" t="s">
        <v>4629</v>
      </c>
      <c r="E488" s="502" t="s">
        <v>4623</v>
      </c>
      <c r="F488" s="45" t="s">
        <v>4741</v>
      </c>
      <c r="G488" s="340" t="s">
        <v>5009</v>
      </c>
      <c r="H488" s="28" t="s">
        <v>4895</v>
      </c>
    </row>
    <row r="489" spans="1:25" s="1" customFormat="1" ht="64.5" customHeight="1">
      <c r="A489" s="1918">
        <v>13</v>
      </c>
      <c r="B489" s="639" t="s">
        <v>3180</v>
      </c>
      <c r="C489" s="388" t="s">
        <v>1003</v>
      </c>
      <c r="D489" s="442" t="s">
        <v>4392</v>
      </c>
      <c r="E489" s="639" t="s">
        <v>4907</v>
      </c>
      <c r="F489" s="1930" t="s">
        <v>4358</v>
      </c>
      <c r="G489" s="1931" t="s">
        <v>4572</v>
      </c>
      <c r="H489" s="1931" t="s">
        <v>4695</v>
      </c>
      <c r="I489" s="400"/>
      <c r="J489" s="884" t="s">
        <v>4776</v>
      </c>
      <c r="K489" s="2041" t="s">
        <v>4870</v>
      </c>
      <c r="L489" s="172"/>
      <c r="M489" s="562"/>
      <c r="N489" s="681"/>
      <c r="O489" s="2"/>
      <c r="P489" s="918"/>
      <c r="Q489" s="919"/>
      <c r="R489" s="839"/>
      <c r="S489" s="839"/>
      <c r="T489" s="679"/>
      <c r="U489" s="2"/>
      <c r="V489" s="2"/>
    </row>
    <row r="490" spans="1:25" s="1" customFormat="1" ht="62.25" customHeight="1">
      <c r="A490" s="1918"/>
      <c r="B490" s="639" t="s">
        <v>4932</v>
      </c>
      <c r="C490" s="45" t="s">
        <v>4935</v>
      </c>
      <c r="D490" s="502" t="s">
        <v>4933</v>
      </c>
      <c r="E490" s="502" t="s">
        <v>4913</v>
      </c>
      <c r="F490" s="610" t="s">
        <v>4934</v>
      </c>
      <c r="G490" s="1931" t="s">
        <v>5009</v>
      </c>
      <c r="H490" s="1931"/>
      <c r="I490" s="400"/>
      <c r="J490" s="884"/>
      <c r="K490" s="2041"/>
      <c r="L490" s="172"/>
      <c r="M490" s="562"/>
      <c r="N490" s="681"/>
      <c r="O490" s="2"/>
      <c r="P490" s="918"/>
      <c r="Q490" s="919"/>
      <c r="R490" s="839"/>
      <c r="S490" s="839"/>
      <c r="T490" s="679"/>
      <c r="U490" s="2"/>
      <c r="V490" s="2"/>
    </row>
    <row r="491" spans="1:25" s="1" customFormat="1" ht="74.25" customHeight="1">
      <c r="A491" s="1918"/>
      <c r="B491" s="639" t="s">
        <v>4929</v>
      </c>
      <c r="C491" s="45" t="s">
        <v>4927</v>
      </c>
      <c r="D491" s="502" t="s">
        <v>4930</v>
      </c>
      <c r="E491" s="502" t="s">
        <v>4913</v>
      </c>
      <c r="F491" s="610" t="s">
        <v>4931</v>
      </c>
      <c r="G491" s="1931" t="s">
        <v>5009</v>
      </c>
      <c r="H491" s="1931"/>
      <c r="I491" s="400"/>
      <c r="J491" s="884"/>
      <c r="K491" s="2041"/>
      <c r="L491" s="172"/>
      <c r="M491" s="562"/>
      <c r="N491" s="681"/>
      <c r="O491" s="2"/>
      <c r="P491" s="918"/>
      <c r="Q491" s="919"/>
      <c r="R491" s="839"/>
      <c r="S491" s="839"/>
      <c r="T491" s="679"/>
      <c r="U491" s="2"/>
      <c r="V491" s="2"/>
    </row>
    <row r="492" spans="1:25" s="1" customFormat="1" ht="58.5" customHeight="1">
      <c r="A492" s="1918"/>
      <c r="B492" s="2037" t="s">
        <v>4923</v>
      </c>
      <c r="C492" s="502" t="s">
        <v>4965</v>
      </c>
      <c r="D492" s="502" t="s">
        <v>4924</v>
      </c>
      <c r="E492" s="502" t="s">
        <v>4913</v>
      </c>
      <c r="F492" s="610" t="s">
        <v>4925</v>
      </c>
      <c r="G492" s="1931" t="s">
        <v>5009</v>
      </c>
      <c r="H492" s="1931"/>
      <c r="I492" s="400"/>
      <c r="J492" s="884"/>
      <c r="K492" s="2041"/>
      <c r="L492" s="172"/>
      <c r="M492" s="562"/>
      <c r="N492" s="681"/>
      <c r="O492" s="2"/>
      <c r="P492" s="918"/>
      <c r="Q492" s="919"/>
      <c r="R492" s="839"/>
      <c r="S492" s="839"/>
      <c r="T492" s="679"/>
      <c r="U492" s="2"/>
      <c r="V492" s="2"/>
    </row>
    <row r="493" spans="1:25" s="340" customFormat="1" ht="49.5" customHeight="1">
      <c r="B493" s="686"/>
      <c r="C493" s="502" t="s">
        <v>4966</v>
      </c>
      <c r="D493" s="502" t="s">
        <v>4976</v>
      </c>
      <c r="E493" s="502" t="s">
        <v>4967</v>
      </c>
      <c r="F493" s="2061">
        <v>134103.35999999999</v>
      </c>
      <c r="G493" s="340" t="s">
        <v>5009</v>
      </c>
      <c r="H493" s="340">
        <v>134103.56</v>
      </c>
      <c r="I493" s="340" t="s">
        <v>5004</v>
      </c>
    </row>
    <row r="494" spans="1:25" s="1982" customFormat="1" ht="72.75">
      <c r="B494" s="2029" t="s">
        <v>4978</v>
      </c>
      <c r="C494" s="687" t="s">
        <v>4927</v>
      </c>
      <c r="D494" s="1984" t="s">
        <v>4926</v>
      </c>
      <c r="E494" s="1984" t="s">
        <v>4913</v>
      </c>
      <c r="F494" s="1977" t="s">
        <v>4928</v>
      </c>
    </row>
    <row r="495" spans="1:25" s="340" customFormat="1" ht="48.75">
      <c r="B495" s="1919" t="s">
        <v>4936</v>
      </c>
      <c r="C495" s="45" t="s">
        <v>4937</v>
      </c>
      <c r="D495" s="502" t="s">
        <v>4939</v>
      </c>
      <c r="E495" s="502" t="s">
        <v>4913</v>
      </c>
      <c r="F495" s="610" t="s">
        <v>4938</v>
      </c>
      <c r="G495" s="340" t="s">
        <v>5009</v>
      </c>
    </row>
    <row r="496" spans="1:25" s="340" customFormat="1" ht="73.5" customHeight="1">
      <c r="B496" s="2037" t="s">
        <v>4904</v>
      </c>
      <c r="C496" s="45" t="s">
        <v>4920</v>
      </c>
      <c r="D496" s="502" t="s">
        <v>4905</v>
      </c>
      <c r="E496" s="502" t="s">
        <v>4913</v>
      </c>
      <c r="F496" s="610" t="s">
        <v>4906</v>
      </c>
      <c r="G496" s="340" t="s">
        <v>5009</v>
      </c>
    </row>
    <row r="497" spans="1:256" s="340" customFormat="1" ht="60.75" customHeight="1">
      <c r="B497" s="686"/>
      <c r="C497" s="45" t="s">
        <v>4968</v>
      </c>
      <c r="D497" s="502" t="s">
        <v>4969</v>
      </c>
      <c r="E497" s="502" t="s">
        <v>4970</v>
      </c>
      <c r="F497" s="610">
        <v>54000</v>
      </c>
      <c r="G497" s="340" t="s">
        <v>5009</v>
      </c>
      <c r="I497" s="640">
        <v>54000</v>
      </c>
      <c r="J497" s="1907" t="s">
        <v>5140</v>
      </c>
    </row>
    <row r="498" spans="1:256" s="340" customFormat="1" ht="64.5" customHeight="1">
      <c r="B498" s="1919" t="s">
        <v>4908</v>
      </c>
      <c r="C498" s="45" t="s">
        <v>4940</v>
      </c>
      <c r="D498" s="502" t="s">
        <v>4941</v>
      </c>
      <c r="E498" s="502" t="s">
        <v>4913</v>
      </c>
      <c r="F498" s="610" t="s">
        <v>4938</v>
      </c>
      <c r="G498" s="340" t="s">
        <v>5009</v>
      </c>
    </row>
    <row r="499" spans="1:256" s="340" customFormat="1" ht="57" customHeight="1">
      <c r="B499" s="2364" t="s">
        <v>4972</v>
      </c>
      <c r="C499" s="45" t="s">
        <v>4973</v>
      </c>
      <c r="D499" s="502" t="s">
        <v>4974</v>
      </c>
      <c r="E499" s="502" t="s">
        <v>5065</v>
      </c>
      <c r="F499" s="610" t="s">
        <v>4975</v>
      </c>
      <c r="G499" s="340" t="s">
        <v>5009</v>
      </c>
    </row>
    <row r="500" spans="1:256" s="2095" customFormat="1" ht="63.75" customHeight="1">
      <c r="A500" s="340"/>
      <c r="B500" s="2366"/>
      <c r="C500" s="45" t="s">
        <v>5112</v>
      </c>
      <c r="D500" s="502" t="s">
        <v>5107</v>
      </c>
      <c r="E500" s="502" t="s">
        <v>5108</v>
      </c>
      <c r="F500" s="2096">
        <v>26280</v>
      </c>
      <c r="G500" s="340"/>
      <c r="H500" s="340"/>
      <c r="I500" s="2123">
        <v>26280</v>
      </c>
      <c r="J500" s="532">
        <v>45654</v>
      </c>
      <c r="K500" s="340"/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</row>
    <row r="501" spans="1:256" s="773" customFormat="1" ht="65.25" customHeight="1">
      <c r="A501" s="340"/>
      <c r="B501" s="335" t="s">
        <v>4986</v>
      </c>
      <c r="C501" s="502" t="s">
        <v>4988</v>
      </c>
      <c r="D501" s="502" t="s">
        <v>4987</v>
      </c>
      <c r="E501" s="502" t="s">
        <v>4989</v>
      </c>
      <c r="F501" s="2062" t="s">
        <v>4990</v>
      </c>
      <c r="G501" s="340" t="s">
        <v>5009</v>
      </c>
      <c r="H501" s="340"/>
      <c r="I501" s="340"/>
      <c r="J501" s="340"/>
      <c r="K501" s="340"/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</row>
    <row r="502" spans="1:256" ht="72">
      <c r="A502" s="2"/>
      <c r="B502" s="16" t="s">
        <v>4682</v>
      </c>
      <c r="C502" s="139" t="s">
        <v>5024</v>
      </c>
      <c r="D502" s="2" t="s">
        <v>5020</v>
      </c>
      <c r="E502" s="139" t="s">
        <v>5022</v>
      </c>
      <c r="F502" s="2078" t="s">
        <v>5021</v>
      </c>
      <c r="G502" s="2" t="s">
        <v>5063</v>
      </c>
      <c r="H502" s="139" t="s">
        <v>5031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56" ht="48">
      <c r="A503" s="2076"/>
      <c r="B503" s="16" t="s">
        <v>5047</v>
      </c>
      <c r="C503" s="139" t="s">
        <v>5048</v>
      </c>
      <c r="D503" s="139" t="s">
        <v>5049</v>
      </c>
      <c r="E503" s="139" t="s">
        <v>5064</v>
      </c>
      <c r="F503" s="2079">
        <v>489168</v>
      </c>
      <c r="G503" s="340" t="s">
        <v>5009</v>
      </c>
      <c r="H503" s="139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56" ht="60">
      <c r="A504" s="2076"/>
      <c r="B504" s="2075" t="s">
        <v>5054</v>
      </c>
      <c r="C504" s="139" t="s">
        <v>5050</v>
      </c>
      <c r="D504" s="139" t="s">
        <v>5051</v>
      </c>
      <c r="E504" s="139" t="s">
        <v>5053</v>
      </c>
      <c r="F504" s="2077" t="s">
        <v>5052</v>
      </c>
      <c r="G504" s="340" t="s">
        <v>5009</v>
      </c>
      <c r="H504" s="139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56" ht="60">
      <c r="A505" s="2076"/>
      <c r="B505" s="2080" t="s">
        <v>5054</v>
      </c>
      <c r="C505" s="139" t="s">
        <v>5067</v>
      </c>
      <c r="D505" s="139" t="s">
        <v>5068</v>
      </c>
      <c r="E505" s="139"/>
      <c r="F505" s="2077">
        <v>54000</v>
      </c>
      <c r="G505" s="340"/>
      <c r="H505" s="139"/>
      <c r="I505" s="141">
        <v>54000</v>
      </c>
      <c r="J505" s="141" t="s">
        <v>5069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56" ht="60">
      <c r="A506" s="2076"/>
      <c r="B506" s="2074" t="s">
        <v>5058</v>
      </c>
      <c r="C506" s="139" t="s">
        <v>5059</v>
      </c>
      <c r="D506" s="139" t="s">
        <v>5060</v>
      </c>
      <c r="E506" s="454" t="s">
        <v>5061</v>
      </c>
      <c r="F506" s="2077" t="s">
        <v>5062</v>
      </c>
      <c r="G506" s="340" t="s">
        <v>5009</v>
      </c>
      <c r="H506" s="139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56" s="551" customFormat="1" ht="19.5" customHeight="1">
      <c r="B507" s="552" t="s">
        <v>5091</v>
      </c>
      <c r="C507" s="553"/>
      <c r="D507" s="554"/>
      <c r="E507" s="555"/>
      <c r="F507" s="556"/>
      <c r="G507" s="556"/>
      <c r="H507" s="557"/>
      <c r="I507" s="558"/>
      <c r="J507" s="559"/>
      <c r="K507" s="559"/>
      <c r="L507" s="559"/>
      <c r="M507" s="559"/>
      <c r="N507" s="559"/>
      <c r="O507" s="559"/>
      <c r="P507" s="559"/>
      <c r="Q507" s="780"/>
      <c r="R507" s="780"/>
      <c r="S507" s="780"/>
      <c r="T507" s="780"/>
      <c r="U507" s="559"/>
      <c r="V507" s="781"/>
      <c r="W507" s="782"/>
      <c r="X507" s="783"/>
      <c r="Y507" s="559"/>
    </row>
    <row r="508" spans="1:256" s="2114" customFormat="1" ht="120.75" customHeight="1">
      <c r="A508" s="2114">
        <v>1</v>
      </c>
      <c r="B508" s="2120" t="s">
        <v>5458</v>
      </c>
      <c r="C508" s="2218" t="s">
        <v>5122</v>
      </c>
      <c r="D508" s="2219" t="s">
        <v>5123</v>
      </c>
      <c r="E508" s="2100" t="s">
        <v>5124</v>
      </c>
      <c r="F508" s="2115" t="s">
        <v>5125</v>
      </c>
      <c r="G508" s="2122" t="s">
        <v>5533</v>
      </c>
      <c r="H508" s="2115"/>
      <c r="I508" s="2116"/>
      <c r="J508" s="2117"/>
      <c r="K508" s="2117"/>
      <c r="L508" s="2117"/>
      <c r="M508" s="2117"/>
      <c r="N508" s="2117"/>
      <c r="O508" s="2117"/>
      <c r="P508" s="2117"/>
      <c r="Q508" s="2118"/>
      <c r="R508" s="2118"/>
      <c r="S508" s="2118"/>
      <c r="T508" s="2118"/>
      <c r="U508" s="2119"/>
      <c r="V508" s="2119"/>
      <c r="W508" s="2119"/>
      <c r="X508" s="2119"/>
      <c r="Y508" s="2119"/>
    </row>
    <row r="509" spans="1:256" s="2099" customFormat="1" ht="127.5" customHeight="1">
      <c r="A509" s="2099">
        <v>2</v>
      </c>
      <c r="B509" s="214" t="s">
        <v>5099</v>
      </c>
      <c r="C509" s="2218" t="s">
        <v>5076</v>
      </c>
      <c r="D509" s="2220" t="s">
        <v>5115</v>
      </c>
      <c r="E509" s="2100" t="s">
        <v>5119</v>
      </c>
      <c r="F509" s="2106" t="s">
        <v>5200</v>
      </c>
      <c r="G509" s="2121"/>
      <c r="H509" s="2108"/>
      <c r="I509" s="2102"/>
      <c r="J509" s="2103"/>
      <c r="K509" s="2103"/>
      <c r="L509" s="2103"/>
      <c r="M509" s="2103"/>
      <c r="N509" s="2103"/>
      <c r="O509" s="2103"/>
      <c r="P509" s="2103"/>
      <c r="Q509" s="2104"/>
      <c r="R509" s="2104"/>
      <c r="S509" s="2104"/>
      <c r="T509" s="2104"/>
      <c r="U509" s="2105"/>
      <c r="V509" s="2105"/>
      <c r="W509" s="2105"/>
      <c r="X509" s="2105"/>
      <c r="Y509" s="2105"/>
    </row>
    <row r="510" spans="1:256" ht="103.5" customHeight="1">
      <c r="A510" s="1">
        <v>3</v>
      </c>
      <c r="B510" s="1910"/>
      <c r="C510" s="2077" t="s">
        <v>5118</v>
      </c>
      <c r="D510" s="2077" t="s">
        <v>5116</v>
      </c>
      <c r="E510" s="139" t="s">
        <v>5484</v>
      </c>
      <c r="F510" s="2107" t="s">
        <v>5411</v>
      </c>
      <c r="G510" s="2101"/>
      <c r="H510" s="15"/>
      <c r="I510" s="2241">
        <v>2461874.48</v>
      </c>
      <c r="J510" s="141" t="s">
        <v>5464</v>
      </c>
      <c r="K510" s="2"/>
      <c r="L510" s="446" t="s">
        <v>5320</v>
      </c>
      <c r="M510" s="502" t="s">
        <v>5321</v>
      </c>
      <c r="N510" s="2176">
        <v>462000</v>
      </c>
      <c r="O510" s="2"/>
      <c r="P510" s="2"/>
      <c r="Q510" s="2"/>
      <c r="R510" s="2"/>
      <c r="S510" s="2"/>
      <c r="T510" s="2"/>
    </row>
    <row r="511" spans="1:256" s="1" customFormat="1" ht="65.25" customHeight="1">
      <c r="A511" s="927">
        <v>4</v>
      </c>
      <c r="B511" s="1386" t="s">
        <v>5295</v>
      </c>
      <c r="C511" s="318" t="s">
        <v>488</v>
      </c>
      <c r="D511" s="467" t="s">
        <v>5354</v>
      </c>
      <c r="E511" s="2097" t="s">
        <v>585</v>
      </c>
      <c r="F511" s="241">
        <v>10800</v>
      </c>
      <c r="G511" s="1987" t="s">
        <v>5032</v>
      </c>
      <c r="H511" s="28" t="s">
        <v>5033</v>
      </c>
      <c r="I511" s="963" t="s">
        <v>5180</v>
      </c>
      <c r="J511" s="66" t="s">
        <v>5179</v>
      </c>
      <c r="K511" s="2"/>
      <c r="L511" s="2" t="s">
        <v>3198</v>
      </c>
      <c r="M511" s="2"/>
      <c r="N511" s="2"/>
      <c r="O511" s="2"/>
      <c r="P511" s="2"/>
      <c r="Q511" s="50"/>
      <c r="R511" s="50"/>
      <c r="S511" s="50"/>
      <c r="T511" s="50"/>
      <c r="U511" s="2"/>
      <c r="V511" s="2"/>
    </row>
    <row r="512" spans="1:256" s="975" customFormat="1" ht="54.75" customHeight="1">
      <c r="A512" s="2141">
        <v>5</v>
      </c>
      <c r="B512" s="446" t="s">
        <v>5452</v>
      </c>
      <c r="C512" s="502" t="s">
        <v>5204</v>
      </c>
      <c r="D512" s="2136" t="s">
        <v>5202</v>
      </c>
      <c r="E512" s="502" t="s">
        <v>5205</v>
      </c>
      <c r="F512" s="502" t="s">
        <v>5203</v>
      </c>
      <c r="G512" s="580" t="s">
        <v>5219</v>
      </c>
      <c r="H512" s="599"/>
      <c r="I512" s="599"/>
      <c r="J512" s="1016"/>
      <c r="K512" s="1094"/>
      <c r="L512" s="599"/>
      <c r="M512" s="599"/>
      <c r="N512" s="599"/>
      <c r="O512" s="599"/>
      <c r="P512" s="599"/>
      <c r="Q512" s="599"/>
      <c r="R512" s="599"/>
      <c r="S512" s="599"/>
      <c r="T512" s="599"/>
      <c r="U512" s="2141"/>
      <c r="V512" s="2141"/>
      <c r="W512" s="2141"/>
      <c r="X512" s="973"/>
      <c r="Y512" s="973"/>
      <c r="Z512" s="973"/>
      <c r="AA512" s="973"/>
      <c r="AB512" s="973"/>
      <c r="AC512" s="973"/>
      <c r="AD512" s="973"/>
      <c r="AE512" s="973"/>
      <c r="AF512" s="973"/>
      <c r="AG512" s="973"/>
      <c r="AH512" s="973"/>
      <c r="AI512" s="973"/>
      <c r="AJ512" s="973"/>
      <c r="AK512" s="973"/>
      <c r="AL512" s="973"/>
      <c r="AM512" s="973"/>
      <c r="AN512" s="973"/>
      <c r="AO512" s="973"/>
      <c r="AP512" s="973"/>
      <c r="AQ512" s="973"/>
      <c r="AR512" s="973"/>
      <c r="AS512" s="973"/>
      <c r="AT512" s="973"/>
      <c r="AU512" s="973"/>
      <c r="AV512" s="973"/>
      <c r="AW512" s="973"/>
      <c r="AX512" s="973"/>
      <c r="AY512" s="973"/>
      <c r="AZ512" s="973"/>
      <c r="BA512" s="973"/>
      <c r="BB512" s="973"/>
      <c r="BC512" s="973"/>
      <c r="BD512" s="973"/>
      <c r="BE512" s="973"/>
      <c r="BF512" s="973"/>
      <c r="BG512" s="973"/>
      <c r="BH512" s="973"/>
      <c r="BI512" s="973"/>
      <c r="BJ512" s="973"/>
      <c r="BK512" s="973"/>
      <c r="BL512" s="973"/>
      <c r="BM512" s="973"/>
      <c r="BN512" s="973"/>
      <c r="BO512" s="973"/>
      <c r="BP512" s="973"/>
      <c r="BQ512" s="973"/>
      <c r="BR512" s="973"/>
      <c r="BS512" s="973"/>
      <c r="BT512" s="973"/>
      <c r="BU512" s="973"/>
      <c r="BV512" s="973"/>
      <c r="BW512" s="973"/>
      <c r="BX512" s="973"/>
      <c r="BY512" s="973"/>
      <c r="BZ512" s="973"/>
      <c r="CA512" s="973"/>
      <c r="CB512" s="973"/>
      <c r="CC512" s="973"/>
      <c r="CD512" s="973"/>
      <c r="CE512" s="973"/>
      <c r="CF512" s="973"/>
      <c r="CG512" s="973"/>
      <c r="CH512" s="973"/>
      <c r="CI512" s="973"/>
      <c r="CJ512" s="973"/>
      <c r="CK512" s="973"/>
      <c r="CL512" s="973"/>
      <c r="CM512" s="973"/>
      <c r="CN512" s="973"/>
      <c r="CO512" s="973"/>
      <c r="CP512" s="973"/>
      <c r="CQ512" s="973"/>
      <c r="CR512" s="973"/>
      <c r="CS512" s="973"/>
      <c r="CT512" s="973"/>
      <c r="CU512" s="973"/>
      <c r="CV512" s="973"/>
      <c r="CW512" s="973"/>
      <c r="CX512" s="973"/>
      <c r="CY512" s="973"/>
      <c r="CZ512" s="973"/>
      <c r="DA512" s="973"/>
      <c r="DB512" s="973"/>
      <c r="DC512" s="973"/>
      <c r="DD512" s="973"/>
      <c r="DE512" s="973"/>
      <c r="DF512" s="973"/>
      <c r="DG512" s="973"/>
      <c r="DH512" s="973"/>
      <c r="DI512" s="973"/>
      <c r="DJ512" s="973"/>
      <c r="DK512" s="973"/>
      <c r="DL512" s="973"/>
      <c r="DM512" s="973"/>
      <c r="DN512" s="973"/>
      <c r="DO512" s="973"/>
      <c r="DP512" s="973"/>
      <c r="DQ512" s="973"/>
      <c r="DR512" s="973"/>
      <c r="DS512" s="973"/>
      <c r="DT512" s="973"/>
      <c r="DU512" s="973"/>
      <c r="DV512" s="973"/>
      <c r="DW512" s="973"/>
      <c r="DX512" s="973"/>
      <c r="DY512" s="973"/>
      <c r="DZ512" s="973"/>
      <c r="EA512" s="973"/>
      <c r="EB512" s="973"/>
      <c r="EC512" s="973"/>
      <c r="ED512" s="973"/>
      <c r="EE512" s="973"/>
      <c r="EF512" s="973"/>
      <c r="EG512" s="973"/>
      <c r="EH512" s="973"/>
      <c r="EI512" s="973"/>
      <c r="EJ512" s="973"/>
      <c r="EK512" s="973"/>
      <c r="EL512" s="973"/>
      <c r="EM512" s="973"/>
      <c r="EN512" s="973"/>
      <c r="EO512" s="973"/>
      <c r="EP512" s="973"/>
      <c r="EQ512" s="973"/>
      <c r="ER512" s="973"/>
      <c r="ES512" s="973"/>
      <c r="ET512" s="973"/>
      <c r="EU512" s="973"/>
      <c r="EV512" s="973"/>
      <c r="EW512" s="973"/>
      <c r="EX512" s="973"/>
      <c r="EY512" s="973"/>
      <c r="EZ512" s="973"/>
      <c r="FA512" s="973"/>
      <c r="FB512" s="973"/>
      <c r="FC512" s="973"/>
      <c r="FD512" s="973"/>
      <c r="FE512" s="973"/>
      <c r="FF512" s="973"/>
      <c r="FG512" s="973"/>
      <c r="FH512" s="973"/>
      <c r="FI512" s="973"/>
      <c r="FJ512" s="973"/>
      <c r="FK512" s="973"/>
      <c r="FL512" s="973"/>
      <c r="FM512" s="973"/>
      <c r="FN512" s="973"/>
      <c r="FO512" s="973"/>
      <c r="FP512" s="973"/>
      <c r="FQ512" s="973"/>
      <c r="FR512" s="973"/>
      <c r="FS512" s="973"/>
      <c r="FT512" s="973"/>
      <c r="FU512" s="973"/>
      <c r="FV512" s="973"/>
      <c r="FW512" s="973"/>
      <c r="FX512" s="973"/>
      <c r="FY512" s="973"/>
      <c r="FZ512" s="973"/>
      <c r="GA512" s="973"/>
      <c r="GB512" s="973"/>
      <c r="GC512" s="973"/>
      <c r="GD512" s="973"/>
      <c r="GE512" s="973"/>
      <c r="GF512" s="973"/>
      <c r="GG512" s="973"/>
      <c r="GH512" s="973"/>
      <c r="GI512" s="973"/>
      <c r="GJ512" s="973"/>
      <c r="GK512" s="973"/>
      <c r="GL512" s="973"/>
      <c r="GM512" s="973"/>
      <c r="GN512" s="973"/>
      <c r="GO512" s="973"/>
      <c r="GP512" s="973"/>
      <c r="GQ512" s="973"/>
      <c r="GR512" s="973"/>
      <c r="GS512" s="973"/>
      <c r="GT512" s="973"/>
      <c r="GU512" s="973"/>
      <c r="GV512" s="973"/>
      <c r="GW512" s="973"/>
      <c r="GX512" s="973"/>
      <c r="GY512" s="973"/>
      <c r="GZ512" s="973"/>
      <c r="HA512" s="973"/>
      <c r="HB512" s="973"/>
      <c r="HC512" s="973"/>
      <c r="HD512" s="973"/>
      <c r="HE512" s="973"/>
      <c r="HF512" s="973"/>
      <c r="HG512" s="973"/>
      <c r="HH512" s="973"/>
      <c r="HI512" s="973"/>
      <c r="HJ512" s="973"/>
      <c r="HK512" s="973"/>
      <c r="HL512" s="973"/>
      <c r="HM512" s="973"/>
      <c r="HN512" s="973"/>
      <c r="HO512" s="973"/>
      <c r="HP512" s="973"/>
      <c r="HQ512" s="973"/>
      <c r="HR512" s="973"/>
      <c r="HS512" s="973"/>
      <c r="HT512" s="973"/>
      <c r="HU512" s="973"/>
      <c r="HV512" s="973"/>
      <c r="HW512" s="973"/>
      <c r="HX512" s="973"/>
      <c r="HY512" s="973"/>
      <c r="HZ512" s="973"/>
      <c r="IA512" s="973"/>
      <c r="IB512" s="973"/>
      <c r="IC512" s="973"/>
      <c r="ID512" s="973"/>
      <c r="IE512" s="973"/>
      <c r="IF512" s="973"/>
      <c r="IG512" s="973"/>
      <c r="IH512" s="973"/>
      <c r="II512" s="973"/>
      <c r="IJ512" s="973"/>
      <c r="IK512" s="973"/>
      <c r="IL512" s="973"/>
      <c r="IM512" s="973"/>
      <c r="IN512" s="973"/>
      <c r="IO512" s="973"/>
      <c r="IP512" s="973"/>
      <c r="IQ512" s="973"/>
      <c r="IR512" s="973"/>
      <c r="IS512" s="973"/>
      <c r="IT512" s="973"/>
      <c r="IU512" s="973"/>
      <c r="IV512" s="973"/>
    </row>
    <row r="513" spans="1:261" s="1" customFormat="1" ht="93.75" customHeight="1">
      <c r="A513" s="340">
        <v>6</v>
      </c>
      <c r="B513" s="2037"/>
      <c r="C513" s="390" t="s">
        <v>5077</v>
      </c>
      <c r="D513" s="207" t="s">
        <v>5461</v>
      </c>
      <c r="E513" s="119" t="s">
        <v>4809</v>
      </c>
      <c r="F513" s="1930" t="s">
        <v>4812</v>
      </c>
      <c r="G513" s="672" t="s">
        <v>4447</v>
      </c>
      <c r="H513" s="672" t="s">
        <v>5034</v>
      </c>
      <c r="I513" s="672"/>
      <c r="J513" s="2027" t="s">
        <v>5395</v>
      </c>
      <c r="K513" s="874"/>
      <c r="L513" s="45"/>
      <c r="M513" s="44"/>
      <c r="N513" s="812"/>
      <c r="O513" s="812"/>
      <c r="P513" s="760"/>
      <c r="Q513" s="1933"/>
      <c r="R513" s="510"/>
      <c r="S513" s="510"/>
      <c r="T513" s="510"/>
      <c r="U513" s="2"/>
      <c r="V513" s="659"/>
      <c r="W513" s="680"/>
    </row>
    <row r="514" spans="1:261" s="1" customFormat="1" ht="105.75" customHeight="1">
      <c r="A514" s="340">
        <v>7</v>
      </c>
      <c r="B514" s="872" t="s">
        <v>4796</v>
      </c>
      <c r="C514" s="497" t="s">
        <v>5078</v>
      </c>
      <c r="D514" s="207" t="s">
        <v>5462</v>
      </c>
      <c r="E514" s="119" t="s">
        <v>3263</v>
      </c>
      <c r="F514" s="1919" t="s">
        <v>4543</v>
      </c>
      <c r="G514" s="672" t="s">
        <v>4448</v>
      </c>
      <c r="H514" s="672" t="s">
        <v>5240</v>
      </c>
      <c r="I514" s="672"/>
      <c r="J514" s="2027" t="s">
        <v>5396</v>
      </c>
      <c r="K514" s="690"/>
      <c r="L514" s="45"/>
      <c r="M514" s="2170"/>
      <c r="N514" s="2171"/>
      <c r="O514" s="2171"/>
      <c r="P514" s="2172"/>
      <c r="Q514" s="2173"/>
      <c r="R514" s="2174"/>
      <c r="S514" s="510"/>
      <c r="T514" s="510"/>
      <c r="U514" s="2"/>
      <c r="V514" s="659"/>
      <c r="W514" s="680"/>
    </row>
    <row r="515" spans="1:261" s="1" customFormat="1" ht="110.25" customHeight="1">
      <c r="A515" s="340">
        <v>8</v>
      </c>
      <c r="B515" s="872"/>
      <c r="C515" s="497" t="s">
        <v>4446</v>
      </c>
      <c r="D515" s="398" t="s">
        <v>5355</v>
      </c>
      <c r="E515" s="119" t="s">
        <v>4775</v>
      </c>
      <c r="F515" s="1957" t="s">
        <v>4811</v>
      </c>
      <c r="G515" s="672"/>
      <c r="H515" s="672" t="s">
        <v>5412</v>
      </c>
      <c r="I515" s="963" t="s">
        <v>5459</v>
      </c>
      <c r="J515" s="2027" t="s">
        <v>5413</v>
      </c>
      <c r="K515" s="690"/>
      <c r="L515" s="45"/>
      <c r="M515" s="44"/>
      <c r="N515" s="812"/>
      <c r="O515" s="599"/>
      <c r="P515" s="760"/>
      <c r="Q515" s="1961"/>
      <c r="R515" s="510"/>
      <c r="S515" s="510"/>
      <c r="T515" s="510"/>
      <c r="U515" s="2"/>
      <c r="V515" s="659"/>
      <c r="W515" s="680"/>
    </row>
    <row r="516" spans="1:261" s="1" customFormat="1" ht="141" customHeight="1">
      <c r="A516" s="340">
        <v>9</v>
      </c>
      <c r="B516" s="639" t="s">
        <v>4865</v>
      </c>
      <c r="C516" s="2044" t="s">
        <v>4952</v>
      </c>
      <c r="D516" s="467" t="s">
        <v>4866</v>
      </c>
      <c r="E516" s="2060" t="s">
        <v>4867</v>
      </c>
      <c r="F516" s="1908" t="s">
        <v>4868</v>
      </c>
      <c r="G516" s="672"/>
      <c r="H516" s="2214" t="s">
        <v>4921</v>
      </c>
      <c r="I516" s="2215" t="s">
        <v>4897</v>
      </c>
      <c r="J516" s="2216" t="s">
        <v>2507</v>
      </c>
      <c r="K516" s="690"/>
      <c r="L516" s="45"/>
      <c r="M516" s="44"/>
      <c r="N516" s="812"/>
      <c r="O516" s="599"/>
      <c r="P516" s="1962"/>
      <c r="Q516" s="1963"/>
      <c r="R516" s="510"/>
      <c r="S516" s="510"/>
      <c r="T516" s="510"/>
      <c r="U516" s="2"/>
      <c r="V516" s="659"/>
      <c r="W516" s="680"/>
    </row>
    <row r="517" spans="1:261" s="773" customFormat="1" ht="57" customHeight="1">
      <c r="A517" s="340">
        <v>10</v>
      </c>
      <c r="B517" s="336" t="s">
        <v>5131</v>
      </c>
      <c r="C517" s="502" t="s">
        <v>4340</v>
      </c>
      <c r="D517" s="502" t="s">
        <v>5356</v>
      </c>
      <c r="E517" s="2092" t="s">
        <v>4357</v>
      </c>
      <c r="F517" s="1959">
        <v>15000</v>
      </c>
      <c r="G517" s="1918" t="s">
        <v>5130</v>
      </c>
      <c r="H517" s="1994" t="s">
        <v>4842</v>
      </c>
      <c r="I517" s="963" t="s">
        <v>5459</v>
      </c>
      <c r="J517" s="66"/>
      <c r="K517" s="340"/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</row>
    <row r="518" spans="1:261" s="1" customFormat="1" ht="105.75" customHeight="1">
      <c r="A518" s="249">
        <v>11</v>
      </c>
      <c r="B518" s="639" t="s">
        <v>4956</v>
      </c>
      <c r="C518" s="502" t="s">
        <v>4742</v>
      </c>
      <c r="D518" s="502" t="s">
        <v>4876</v>
      </c>
      <c r="E518" s="2092" t="s">
        <v>4623</v>
      </c>
      <c r="F518" s="502" t="s">
        <v>4624</v>
      </c>
      <c r="G518" s="2093" t="s">
        <v>5009</v>
      </c>
      <c r="H518" s="28" t="s">
        <v>5100</v>
      </c>
      <c r="I518" s="400"/>
      <c r="J518" s="792"/>
      <c r="K518" s="2"/>
      <c r="L518" s="172"/>
      <c r="M518" s="562"/>
      <c r="N518" s="681"/>
      <c r="O518" s="2"/>
      <c r="P518" s="918"/>
      <c r="Q518" s="919"/>
      <c r="R518" s="839"/>
      <c r="S518" s="839"/>
      <c r="T518" s="679"/>
      <c r="U518" s="2"/>
      <c r="V518" s="2"/>
    </row>
    <row r="519" spans="1:261" s="340" customFormat="1" ht="81.75" customHeight="1">
      <c r="A519" s="340">
        <v>12</v>
      </c>
      <c r="B519" s="639" t="s">
        <v>4626</v>
      </c>
      <c r="C519" s="502" t="s">
        <v>4922</v>
      </c>
      <c r="D519" s="502" t="s">
        <v>4769</v>
      </c>
      <c r="E519" s="502" t="s">
        <v>4623</v>
      </c>
      <c r="F519" s="502" t="s">
        <v>4627</v>
      </c>
      <c r="G519" s="672" t="s">
        <v>5009</v>
      </c>
      <c r="H519" s="339" t="s">
        <v>5102</v>
      </c>
      <c r="I519" s="2022"/>
      <c r="J519" s="792"/>
    </row>
    <row r="520" spans="1:261" s="340" customFormat="1" ht="94.5" customHeight="1">
      <c r="A520" s="340">
        <v>13</v>
      </c>
      <c r="B520" s="639" t="s">
        <v>4954</v>
      </c>
      <c r="C520" s="502" t="s">
        <v>4486</v>
      </c>
      <c r="D520" s="502" t="s">
        <v>4629</v>
      </c>
      <c r="E520" s="502" t="s">
        <v>4623</v>
      </c>
      <c r="F520" s="45" t="s">
        <v>4741</v>
      </c>
      <c r="G520" s="340" t="s">
        <v>5009</v>
      </c>
      <c r="H520" s="28" t="s">
        <v>5101</v>
      </c>
    </row>
    <row r="521" spans="1:261" s="1" customFormat="1" ht="71.25" customHeight="1">
      <c r="A521" s="1918">
        <v>14</v>
      </c>
      <c r="B521" s="639" t="s">
        <v>4932</v>
      </c>
      <c r="C521" s="502" t="s">
        <v>4935</v>
      </c>
      <c r="D521" s="502" t="s">
        <v>4933</v>
      </c>
      <c r="E521" s="502" t="s">
        <v>5453</v>
      </c>
      <c r="F521" s="610" t="s">
        <v>4934</v>
      </c>
      <c r="G521" s="1931" t="s">
        <v>5009</v>
      </c>
      <c r="H521" s="1931"/>
      <c r="I521" s="400"/>
      <c r="J521" s="884"/>
      <c r="K521" s="2041"/>
      <c r="L521" s="172"/>
      <c r="M521" s="562"/>
      <c r="N521" s="681"/>
      <c r="O521" s="2"/>
      <c r="P521" s="918"/>
      <c r="Q521" s="919"/>
      <c r="R521" s="839"/>
      <c r="S521" s="839"/>
      <c r="T521" s="679"/>
      <c r="U521" s="2"/>
      <c r="V521" s="2"/>
    </row>
    <row r="522" spans="1:261" s="1" customFormat="1" ht="78.75" customHeight="1">
      <c r="A522" s="1918">
        <v>15</v>
      </c>
      <c r="B522" s="639" t="s">
        <v>4929</v>
      </c>
      <c r="C522" s="502" t="s">
        <v>4927</v>
      </c>
      <c r="D522" s="502" t="s">
        <v>4930</v>
      </c>
      <c r="E522" s="502" t="s">
        <v>5096</v>
      </c>
      <c r="F522" s="610" t="s">
        <v>4931</v>
      </c>
      <c r="G522" s="1931" t="s">
        <v>5009</v>
      </c>
      <c r="H522" s="1931"/>
      <c r="I522" s="400"/>
      <c r="J522" s="884"/>
      <c r="K522" s="2041"/>
      <c r="L522" s="172"/>
      <c r="M522" s="562"/>
      <c r="N522" s="681"/>
      <c r="O522" s="2"/>
      <c r="P522" s="918"/>
      <c r="Q522" s="919"/>
      <c r="R522" s="839"/>
      <c r="S522" s="839"/>
      <c r="T522" s="679"/>
      <c r="U522" s="2"/>
      <c r="V522" s="2"/>
    </row>
    <row r="523" spans="1:261" s="1" customFormat="1" ht="77.25" customHeight="1">
      <c r="A523" s="1918">
        <v>16</v>
      </c>
      <c r="B523" s="2364" t="s">
        <v>4923</v>
      </c>
      <c r="C523" s="502" t="s">
        <v>5155</v>
      </c>
      <c r="D523" s="2148" t="s">
        <v>5156</v>
      </c>
      <c r="E523" s="502"/>
      <c r="F523" s="2061">
        <v>217608</v>
      </c>
      <c r="G523" s="1931"/>
      <c r="H523" s="1931"/>
      <c r="I523" s="2158">
        <v>217608</v>
      </c>
      <c r="J523" s="1931" t="s">
        <v>5157</v>
      </c>
      <c r="K523" s="2041"/>
      <c r="L523" s="172"/>
      <c r="M523" s="562"/>
      <c r="N523" s="681"/>
      <c r="O523" s="2"/>
      <c r="P523" s="918"/>
      <c r="Q523" s="919"/>
      <c r="R523" s="839"/>
      <c r="S523" s="839"/>
      <c r="T523" s="679"/>
      <c r="U523" s="2"/>
      <c r="V523" s="2"/>
    </row>
    <row r="524" spans="1:261" s="1" customFormat="1" ht="80.25" customHeight="1">
      <c r="A524" s="1918">
        <v>17</v>
      </c>
      <c r="B524" s="2365"/>
      <c r="C524" s="2148" t="s">
        <v>5194</v>
      </c>
      <c r="D524" s="2149" t="s">
        <v>5196</v>
      </c>
      <c r="E524" s="2149"/>
      <c r="F524" s="2061">
        <v>378000</v>
      </c>
      <c r="G524" s="1931"/>
      <c r="H524" s="1931"/>
      <c r="I524" s="2133" t="s">
        <v>65</v>
      </c>
      <c r="J524" s="2134" t="s">
        <v>5195</v>
      </c>
      <c r="K524" s="2041"/>
      <c r="L524" s="172"/>
      <c r="M524" s="562"/>
      <c r="N524" s="681"/>
      <c r="O524" s="2"/>
      <c r="P524" s="918"/>
      <c r="Q524" s="919"/>
      <c r="R524" s="839"/>
      <c r="S524" s="839"/>
      <c r="T524" s="679"/>
      <c r="U524" s="2"/>
      <c r="V524" s="2"/>
    </row>
    <row r="525" spans="1:261" s="1" customFormat="1" ht="58.5" customHeight="1">
      <c r="A525" s="1918">
        <v>18</v>
      </c>
      <c r="B525" s="2366"/>
      <c r="C525" s="502" t="s">
        <v>4965</v>
      </c>
      <c r="D525" s="502" t="s">
        <v>4924</v>
      </c>
      <c r="E525" s="502" t="s">
        <v>5096</v>
      </c>
      <c r="F525" s="610" t="s">
        <v>4925</v>
      </c>
      <c r="G525" s="1931" t="s">
        <v>5009</v>
      </c>
      <c r="H525" s="1931"/>
      <c r="I525" s="2165"/>
      <c r="J525" s="884"/>
      <c r="K525" s="2041"/>
      <c r="L525" s="172"/>
      <c r="M525" s="562"/>
      <c r="N525" s="681"/>
      <c r="O525" s="2"/>
      <c r="P525" s="918"/>
      <c r="Q525" s="919"/>
      <c r="R525" s="839"/>
      <c r="S525" s="839"/>
      <c r="T525" s="679"/>
      <c r="U525" s="2"/>
      <c r="V525" s="2"/>
    </row>
    <row r="526" spans="1:261" s="340" customFormat="1" ht="51.75">
      <c r="A526" s="340">
        <v>19</v>
      </c>
      <c r="B526" s="1919" t="s">
        <v>4936</v>
      </c>
      <c r="C526" s="502" t="s">
        <v>4937</v>
      </c>
      <c r="D526" s="502" t="s">
        <v>4939</v>
      </c>
      <c r="E526" s="502" t="s">
        <v>5096</v>
      </c>
      <c r="F526" s="610" t="s">
        <v>4938</v>
      </c>
      <c r="G526" s="340" t="s">
        <v>5009</v>
      </c>
    </row>
    <row r="527" spans="1:261" s="2147" customFormat="1" ht="63" customHeight="1">
      <c r="A527" s="2144">
        <v>20</v>
      </c>
      <c r="B527" s="2156" t="s">
        <v>4936</v>
      </c>
      <c r="C527" s="502" t="s">
        <v>5188</v>
      </c>
      <c r="D527" s="502" t="s">
        <v>5192</v>
      </c>
      <c r="E527" s="29"/>
      <c r="F527" s="502" t="s">
        <v>5191</v>
      </c>
      <c r="G527" s="29"/>
      <c r="H527" s="29"/>
      <c r="I527" s="2263">
        <v>90900.72</v>
      </c>
      <c r="J527" s="2194" t="s">
        <v>5158</v>
      </c>
      <c r="K527" s="445" t="s">
        <v>5288</v>
      </c>
      <c r="L527" s="445"/>
      <c r="M527" s="445"/>
      <c r="N527" s="445"/>
      <c r="O527" s="445"/>
      <c r="P527" s="445"/>
      <c r="Q527" s="445"/>
      <c r="R527" s="445"/>
      <c r="S527" s="445"/>
      <c r="T527" s="445"/>
      <c r="U527" s="2145"/>
      <c r="V527" s="2146"/>
      <c r="W527" s="2146"/>
      <c r="X527" s="2145"/>
      <c r="Y527" s="2145"/>
      <c r="Z527" s="2145"/>
      <c r="AA527" s="2145"/>
      <c r="AB527" s="2145"/>
      <c r="AC527" s="2145"/>
      <c r="AD527" s="2145"/>
      <c r="AE527" s="2145"/>
      <c r="AF527" s="2145"/>
      <c r="AG527" s="2145"/>
      <c r="AH527" s="2145"/>
      <c r="AI527" s="2145"/>
      <c r="AJ527" s="2145"/>
      <c r="AK527" s="2145"/>
      <c r="AL527" s="2145"/>
      <c r="AM527" s="2145"/>
      <c r="AN527" s="2145"/>
      <c r="AO527" s="2145"/>
      <c r="AP527" s="2145"/>
      <c r="AQ527" s="2145"/>
      <c r="AR527" s="2145"/>
      <c r="AS527" s="2145"/>
      <c r="AT527" s="2145"/>
      <c r="AU527" s="2145"/>
      <c r="AV527" s="2145"/>
      <c r="AW527" s="2145"/>
      <c r="AX527" s="2145"/>
      <c r="AY527" s="2145"/>
      <c r="AZ527" s="2145"/>
      <c r="BA527" s="2145"/>
      <c r="BB527" s="2145"/>
      <c r="BC527" s="2145"/>
      <c r="BD527" s="2145"/>
      <c r="BE527" s="2145"/>
      <c r="BF527" s="2145"/>
      <c r="BG527" s="2145"/>
      <c r="BH527" s="2145"/>
      <c r="BI527" s="2145"/>
      <c r="BJ527" s="2145"/>
      <c r="BK527" s="2145"/>
      <c r="BL527" s="2145"/>
      <c r="BM527" s="2145"/>
      <c r="BN527" s="2145"/>
      <c r="BO527" s="2145"/>
      <c r="BP527" s="2145"/>
      <c r="BQ527" s="2145"/>
      <c r="BR527" s="2145"/>
      <c r="BS527" s="2145"/>
      <c r="BT527" s="2145"/>
      <c r="BU527" s="2145"/>
      <c r="BV527" s="2145"/>
      <c r="BW527" s="2145"/>
      <c r="BX527" s="2145"/>
      <c r="BY527" s="2145"/>
      <c r="BZ527" s="2145"/>
      <c r="CA527" s="2145"/>
      <c r="CB527" s="2145"/>
      <c r="CC527" s="2145"/>
      <c r="CD527" s="2145"/>
      <c r="CE527" s="2145"/>
      <c r="CF527" s="2145"/>
      <c r="CG527" s="2145"/>
      <c r="CH527" s="2145"/>
      <c r="CI527" s="2145"/>
      <c r="CJ527" s="2145"/>
      <c r="CK527" s="2145"/>
      <c r="CL527" s="2145"/>
      <c r="CM527" s="2145"/>
      <c r="CN527" s="2145"/>
      <c r="CO527" s="2145"/>
      <c r="CP527" s="2145"/>
      <c r="CQ527" s="2145"/>
      <c r="CR527" s="2145"/>
      <c r="CS527" s="2145"/>
      <c r="CT527" s="2145"/>
      <c r="CU527" s="2145"/>
      <c r="CV527" s="2145"/>
      <c r="CW527" s="2145"/>
      <c r="CX527" s="2145"/>
      <c r="CY527" s="2145"/>
      <c r="CZ527" s="2145"/>
      <c r="DA527" s="2145"/>
      <c r="DB527" s="2145"/>
      <c r="DC527" s="2145"/>
      <c r="DD527" s="2145"/>
      <c r="DE527" s="2145"/>
      <c r="DF527" s="2145"/>
      <c r="DG527" s="2145"/>
      <c r="DH527" s="2145"/>
      <c r="DI527" s="2145"/>
      <c r="DJ527" s="2145"/>
      <c r="DK527" s="2145"/>
      <c r="DL527" s="2145"/>
      <c r="DM527" s="2145"/>
      <c r="DN527" s="2145"/>
      <c r="DO527" s="2145"/>
      <c r="DP527" s="2145"/>
      <c r="DQ527" s="2145"/>
      <c r="DR527" s="2145"/>
      <c r="DS527" s="2145"/>
      <c r="DT527" s="2145"/>
      <c r="DU527" s="2145"/>
      <c r="DV527" s="2145"/>
      <c r="DW527" s="2145"/>
      <c r="DX527" s="2145"/>
      <c r="DY527" s="2145"/>
      <c r="DZ527" s="2145"/>
      <c r="EA527" s="2145"/>
      <c r="EB527" s="2145"/>
      <c r="EC527" s="2145"/>
      <c r="ED527" s="2145"/>
      <c r="EE527" s="2145"/>
      <c r="EF527" s="2145"/>
      <c r="EG527" s="2145"/>
      <c r="EH527" s="2145"/>
      <c r="EI527" s="2145"/>
      <c r="EJ527" s="2145"/>
      <c r="EK527" s="2145"/>
      <c r="EL527" s="2145"/>
      <c r="EM527" s="2145"/>
      <c r="EN527" s="2145"/>
      <c r="EO527" s="2145"/>
      <c r="EP527" s="2145"/>
      <c r="EQ527" s="2145"/>
      <c r="ER527" s="2145"/>
      <c r="ES527" s="2145"/>
      <c r="ET527" s="2145"/>
      <c r="EU527" s="2145"/>
      <c r="EV527" s="2145"/>
      <c r="EW527" s="2145"/>
      <c r="EX527" s="2145"/>
      <c r="EY527" s="2145"/>
      <c r="EZ527" s="2145"/>
      <c r="FA527" s="2145"/>
      <c r="FB527" s="2145"/>
      <c r="FC527" s="2145"/>
      <c r="FD527" s="2145"/>
      <c r="FE527" s="2145"/>
      <c r="FF527" s="2145"/>
      <c r="FG527" s="2145"/>
      <c r="FH527" s="2145"/>
      <c r="FI527" s="2145"/>
      <c r="FJ527" s="2145"/>
      <c r="FK527" s="2145"/>
      <c r="FL527" s="2145"/>
      <c r="FM527" s="2145"/>
      <c r="FN527" s="2145"/>
      <c r="FO527" s="2145"/>
      <c r="FP527" s="2145"/>
      <c r="FQ527" s="2145"/>
      <c r="FR527" s="2145"/>
      <c r="FS527" s="2145"/>
      <c r="FT527" s="2145"/>
      <c r="FU527" s="2145"/>
      <c r="FV527" s="2145"/>
      <c r="FW527" s="2145"/>
      <c r="FX527" s="2145"/>
      <c r="FY527" s="2145"/>
      <c r="FZ527" s="2145"/>
      <c r="GA527" s="2145"/>
      <c r="GB527" s="2145"/>
      <c r="GC527" s="2145"/>
      <c r="GD527" s="2145"/>
      <c r="GE527" s="2145"/>
      <c r="GF527" s="2145"/>
      <c r="GG527" s="2145"/>
      <c r="GH527" s="2145"/>
      <c r="GI527" s="2145"/>
      <c r="GJ527" s="2145"/>
      <c r="GK527" s="2145"/>
      <c r="GL527" s="2145"/>
      <c r="GM527" s="2145"/>
      <c r="GN527" s="2145"/>
      <c r="GO527" s="2145"/>
      <c r="GP527" s="2145"/>
      <c r="GQ527" s="2145"/>
      <c r="GR527" s="2145"/>
      <c r="GS527" s="2145"/>
      <c r="GT527" s="2145"/>
      <c r="GU527" s="2145"/>
      <c r="GV527" s="2145"/>
      <c r="GW527" s="2145"/>
      <c r="GX527" s="2145"/>
      <c r="GY527" s="2145"/>
      <c r="GZ527" s="2145"/>
      <c r="HA527" s="2145"/>
      <c r="HB527" s="2145"/>
      <c r="HC527" s="2145"/>
      <c r="HD527" s="2145"/>
      <c r="HE527" s="2145"/>
      <c r="HF527" s="2145"/>
      <c r="HG527" s="2145"/>
      <c r="HH527" s="2145"/>
      <c r="HI527" s="2145"/>
      <c r="HJ527" s="2145"/>
      <c r="HK527" s="2145"/>
      <c r="HL527" s="2145"/>
      <c r="HM527" s="2145"/>
      <c r="HN527" s="2145"/>
      <c r="HO527" s="2145"/>
      <c r="HP527" s="2145"/>
      <c r="HQ527" s="2145"/>
      <c r="HR527" s="2145"/>
      <c r="HS527" s="2145"/>
      <c r="HT527" s="2145"/>
      <c r="HU527" s="2145"/>
      <c r="HV527" s="2145"/>
      <c r="HW527" s="2145"/>
      <c r="HX527" s="2145"/>
      <c r="HY527" s="2145"/>
      <c r="HZ527" s="2145"/>
      <c r="IA527" s="2145"/>
      <c r="IB527" s="2145"/>
      <c r="IC527" s="2145"/>
      <c r="ID527" s="2145"/>
      <c r="IE527" s="2145"/>
      <c r="IF527" s="2145"/>
      <c r="IG527" s="2145"/>
      <c r="IH527" s="2145"/>
      <c r="II527" s="2145"/>
      <c r="IJ527" s="2145"/>
      <c r="IK527" s="2145"/>
      <c r="IL527" s="2145"/>
      <c r="IM527" s="2145"/>
      <c r="IN527" s="2145"/>
      <c r="IO527" s="2145"/>
      <c r="IP527" s="2145"/>
      <c r="IQ527" s="2145"/>
      <c r="IR527" s="2145"/>
      <c r="IS527" s="2145"/>
      <c r="IT527" s="2145"/>
      <c r="IU527" s="2145"/>
      <c r="IV527" s="2145"/>
      <c r="IW527" s="2145"/>
      <c r="IX527" s="2145"/>
      <c r="IY527" s="2145"/>
      <c r="IZ527" s="2145"/>
      <c r="JA527" s="2145"/>
    </row>
    <row r="528" spans="1:261" s="340" customFormat="1" ht="66.75" customHeight="1">
      <c r="A528" s="340">
        <v>21</v>
      </c>
      <c r="B528" s="2300" t="s">
        <v>4904</v>
      </c>
      <c r="C528" s="502" t="s">
        <v>5139</v>
      </c>
      <c r="D528" s="502" t="s">
        <v>5138</v>
      </c>
      <c r="E528" s="502"/>
      <c r="F528" s="610">
        <v>54000</v>
      </c>
      <c r="I528" s="2267">
        <v>54000</v>
      </c>
      <c r="J528" s="2193" t="s">
        <v>5287</v>
      </c>
      <c r="K528" s="340" t="s">
        <v>5286</v>
      </c>
    </row>
    <row r="529" spans="1:262" s="340" customFormat="1" ht="80.25" customHeight="1">
      <c r="A529" s="340">
        <v>22</v>
      </c>
      <c r="B529" s="2301"/>
      <c r="C529" s="502" t="s">
        <v>4920</v>
      </c>
      <c r="D529" s="502" t="s">
        <v>5591</v>
      </c>
      <c r="E529" s="502" t="s">
        <v>5592</v>
      </c>
      <c r="F529" s="502" t="s">
        <v>5593</v>
      </c>
      <c r="G529" s="340" t="s">
        <v>5009</v>
      </c>
      <c r="I529" s="338"/>
    </row>
    <row r="530" spans="1:262" s="2297" customFormat="1" ht="79.5" customHeight="1">
      <c r="B530" s="686"/>
      <c r="C530" s="2298" t="s">
        <v>5526</v>
      </c>
      <c r="D530" s="2298" t="s">
        <v>5527</v>
      </c>
      <c r="E530" s="2298"/>
      <c r="F530" s="2299"/>
      <c r="I530" s="2342">
        <v>331320</v>
      </c>
      <c r="J530" s="2343" t="s">
        <v>5528</v>
      </c>
    </row>
    <row r="531" spans="1:262" s="340" customFormat="1" ht="70.5" customHeight="1">
      <c r="A531" s="340">
        <v>23</v>
      </c>
      <c r="B531" s="1919" t="s">
        <v>4908</v>
      </c>
      <c r="C531" s="502" t="s">
        <v>4940</v>
      </c>
      <c r="D531" s="502" t="s">
        <v>4941</v>
      </c>
      <c r="E531" s="502" t="s">
        <v>5096</v>
      </c>
      <c r="F531" s="610" t="s">
        <v>4938</v>
      </c>
      <c r="G531" s="340" t="s">
        <v>5009</v>
      </c>
      <c r="I531" s="338"/>
    </row>
    <row r="532" spans="1:262" ht="102.75">
      <c r="A532" s="2">
        <v>24</v>
      </c>
      <c r="B532" s="2213" t="s">
        <v>5132</v>
      </c>
      <c r="C532" s="2077" t="s">
        <v>5024</v>
      </c>
      <c r="D532" s="2077" t="s">
        <v>5439</v>
      </c>
      <c r="E532" s="139" t="s">
        <v>5440</v>
      </c>
      <c r="F532" s="2078" t="s">
        <v>5021</v>
      </c>
      <c r="G532" s="139" t="s">
        <v>5441</v>
      </c>
      <c r="H532" s="139" t="s">
        <v>5031</v>
      </c>
      <c r="I532" s="203" t="s">
        <v>5460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62" s="340" customFormat="1" ht="64.5" customHeight="1">
      <c r="A533" s="340">
        <v>25</v>
      </c>
      <c r="B533" s="1919" t="s">
        <v>5187</v>
      </c>
      <c r="C533" s="502" t="s">
        <v>4973</v>
      </c>
      <c r="D533" s="502" t="s">
        <v>4974</v>
      </c>
      <c r="E533" s="502" t="s">
        <v>5095</v>
      </c>
      <c r="F533" s="610" t="s">
        <v>4975</v>
      </c>
      <c r="G533" s="340" t="s">
        <v>5009</v>
      </c>
      <c r="L533" s="340" t="s">
        <v>65</v>
      </c>
    </row>
    <row r="534" spans="1:262" s="773" customFormat="1" ht="108" customHeight="1">
      <c r="A534" s="340">
        <v>26</v>
      </c>
      <c r="B534" s="446" t="s">
        <v>4986</v>
      </c>
      <c r="C534" s="502" t="s">
        <v>5294</v>
      </c>
      <c r="D534" s="502" t="s">
        <v>4987</v>
      </c>
      <c r="E534" s="502" t="s">
        <v>5094</v>
      </c>
      <c r="F534" s="2062" t="s">
        <v>4990</v>
      </c>
      <c r="G534" s="340" t="s">
        <v>5009</v>
      </c>
      <c r="H534" s="502" t="s">
        <v>5098</v>
      </c>
      <c r="I534" s="340"/>
      <c r="J534" s="340"/>
      <c r="K534" s="340"/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</row>
    <row r="535" spans="1:262" s="773" customFormat="1" ht="36.75" customHeight="1">
      <c r="A535" s="2095">
        <v>27</v>
      </c>
      <c r="B535" s="2166" t="s">
        <v>5176</v>
      </c>
      <c r="C535" s="502" t="s">
        <v>4988</v>
      </c>
      <c r="D535" s="502" t="s">
        <v>5211</v>
      </c>
      <c r="E535" s="564" t="s">
        <v>5212</v>
      </c>
      <c r="F535" s="337" t="s">
        <v>5213</v>
      </c>
      <c r="G535" s="340" t="s">
        <v>5009</v>
      </c>
      <c r="H535" s="502"/>
      <c r="I535" s="340"/>
      <c r="J535" s="340"/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2095"/>
    </row>
    <row r="536" spans="1:262" ht="118.5" customHeight="1">
      <c r="A536" s="1">
        <v>28</v>
      </c>
      <c r="B536" s="381" t="s">
        <v>5176</v>
      </c>
      <c r="C536" s="2077" t="s">
        <v>5178</v>
      </c>
      <c r="D536" s="2077" t="s">
        <v>5177</v>
      </c>
      <c r="E536" s="2">
        <v>41940</v>
      </c>
      <c r="F536" s="2"/>
      <c r="G536" s="2"/>
      <c r="H536" s="2"/>
      <c r="I536" s="2265">
        <v>41940</v>
      </c>
      <c r="J536" s="2157">
        <v>45742</v>
      </c>
      <c r="K536" s="2" t="s">
        <v>5216</v>
      </c>
      <c r="L536" s="2"/>
      <c r="M536" s="2"/>
      <c r="N536" s="2"/>
      <c r="O536" s="2"/>
      <c r="P536" s="2"/>
      <c r="Q536" s="2"/>
      <c r="R536" s="2"/>
      <c r="S536" s="2"/>
      <c r="T536" s="2"/>
    </row>
    <row r="537" spans="1:262" s="2142" customFormat="1" ht="115.5">
      <c r="A537" s="379">
        <v>29</v>
      </c>
      <c r="B537" s="2143" t="s">
        <v>5176</v>
      </c>
      <c r="C537" s="2221" t="s">
        <v>5190</v>
      </c>
      <c r="D537" s="2077" t="s">
        <v>5185</v>
      </c>
      <c r="E537" s="2">
        <v>337842</v>
      </c>
      <c r="F537" s="141"/>
      <c r="G537" s="141"/>
      <c r="H537" s="141"/>
      <c r="I537" s="249">
        <v>337842</v>
      </c>
      <c r="J537" s="148">
        <v>45826</v>
      </c>
      <c r="K537" s="141" t="s">
        <v>5302</v>
      </c>
      <c r="L537" s="141"/>
      <c r="M537" s="141"/>
      <c r="N537" s="141"/>
      <c r="O537" s="141"/>
      <c r="P537" s="141"/>
      <c r="Q537" s="141"/>
      <c r="R537" s="141"/>
      <c r="S537" s="141"/>
      <c r="T537" s="141"/>
      <c r="U537" s="379"/>
      <c r="V537" s="697"/>
      <c r="W537" s="697"/>
      <c r="X537" s="379"/>
      <c r="Y537" s="379"/>
      <c r="Z537" s="379"/>
      <c r="AA537" s="379"/>
      <c r="AB537" s="379"/>
      <c r="AC537" s="379"/>
      <c r="AD537" s="379"/>
      <c r="AE537" s="379"/>
      <c r="AF537" s="379"/>
      <c r="AG537" s="379"/>
      <c r="AH537" s="379"/>
      <c r="AI537" s="379"/>
      <c r="AJ537" s="379"/>
      <c r="AK537" s="379"/>
      <c r="AL537" s="379"/>
      <c r="AM537" s="379"/>
      <c r="AN537" s="379"/>
      <c r="AO537" s="379"/>
      <c r="AP537" s="379"/>
      <c r="AQ537" s="379"/>
      <c r="AR537" s="379"/>
      <c r="AS537" s="379"/>
      <c r="AT537" s="379"/>
      <c r="AU537" s="379"/>
      <c r="AV537" s="379"/>
      <c r="AW537" s="379"/>
      <c r="AX537" s="379"/>
      <c r="AY537" s="379"/>
      <c r="AZ537" s="379"/>
      <c r="BA537" s="379"/>
      <c r="BB537" s="379"/>
      <c r="BC537" s="379"/>
      <c r="BD537" s="379"/>
      <c r="BE537" s="379"/>
      <c r="BF537" s="379"/>
      <c r="BG537" s="379"/>
      <c r="BH537" s="379"/>
      <c r="BI537" s="379"/>
      <c r="BJ537" s="379"/>
      <c r="BK537" s="379"/>
      <c r="BL537" s="379"/>
      <c r="BM537" s="379"/>
      <c r="BN537" s="379"/>
      <c r="BO537" s="379"/>
      <c r="BP537" s="379"/>
      <c r="BQ537" s="379"/>
      <c r="BR537" s="379"/>
      <c r="BS537" s="379"/>
      <c r="BT537" s="379"/>
      <c r="BU537" s="379"/>
      <c r="BV537" s="379"/>
      <c r="BW537" s="379"/>
      <c r="BX537" s="379"/>
      <c r="BY537" s="379"/>
      <c r="BZ537" s="379"/>
      <c r="CA537" s="379"/>
      <c r="CB537" s="379"/>
      <c r="CC537" s="379"/>
      <c r="CD537" s="379"/>
      <c r="CE537" s="379"/>
      <c r="CF537" s="379"/>
      <c r="CG537" s="379"/>
      <c r="CH537" s="379"/>
      <c r="CI537" s="379"/>
      <c r="CJ537" s="379"/>
      <c r="CK537" s="379"/>
      <c r="CL537" s="379"/>
      <c r="CM537" s="379"/>
      <c r="CN537" s="379"/>
      <c r="CO537" s="379"/>
      <c r="CP537" s="379"/>
      <c r="CQ537" s="379"/>
      <c r="CR537" s="379"/>
      <c r="CS537" s="379"/>
      <c r="CT537" s="379"/>
      <c r="CU537" s="379"/>
      <c r="CV537" s="379"/>
      <c r="CW537" s="379"/>
      <c r="CX537" s="379"/>
      <c r="CY537" s="379"/>
      <c r="CZ537" s="379"/>
      <c r="DA537" s="379"/>
      <c r="DB537" s="379"/>
      <c r="DC537" s="379"/>
      <c r="DD537" s="379"/>
      <c r="DE537" s="379"/>
      <c r="DF537" s="379"/>
      <c r="DG537" s="379"/>
      <c r="DH537" s="379"/>
      <c r="DI537" s="379"/>
      <c r="DJ537" s="379"/>
      <c r="DK537" s="379"/>
      <c r="DL537" s="379"/>
      <c r="DM537" s="379"/>
      <c r="DN537" s="379"/>
      <c r="DO537" s="379"/>
      <c r="DP537" s="379"/>
      <c r="DQ537" s="379"/>
      <c r="DR537" s="379"/>
      <c r="DS537" s="379"/>
      <c r="DT537" s="379"/>
      <c r="DU537" s="379"/>
      <c r="DV537" s="379"/>
      <c r="DW537" s="379"/>
      <c r="DX537" s="379"/>
      <c r="DY537" s="379"/>
      <c r="DZ537" s="379"/>
      <c r="EA537" s="379"/>
      <c r="EB537" s="379"/>
      <c r="EC537" s="379"/>
      <c r="ED537" s="379"/>
      <c r="EE537" s="379"/>
      <c r="EF537" s="379"/>
      <c r="EG537" s="379"/>
      <c r="EH537" s="379"/>
      <c r="EI537" s="379"/>
      <c r="EJ537" s="379"/>
      <c r="EK537" s="379"/>
      <c r="EL537" s="379"/>
      <c r="EM537" s="379"/>
      <c r="EN537" s="379"/>
      <c r="EO537" s="379"/>
      <c r="EP537" s="379"/>
      <c r="EQ537" s="379"/>
      <c r="ER537" s="379"/>
      <c r="ES537" s="379"/>
      <c r="ET537" s="379"/>
      <c r="EU537" s="379"/>
      <c r="EV537" s="379"/>
      <c r="EW537" s="379"/>
      <c r="EX537" s="379"/>
      <c r="EY537" s="379"/>
      <c r="EZ537" s="379"/>
      <c r="FA537" s="379"/>
      <c r="FB537" s="379"/>
      <c r="FC537" s="379"/>
      <c r="FD537" s="379"/>
      <c r="FE537" s="379"/>
      <c r="FF537" s="379"/>
      <c r="FG537" s="379"/>
      <c r="FH537" s="379"/>
      <c r="FI537" s="379"/>
      <c r="FJ537" s="379"/>
      <c r="FK537" s="379"/>
      <c r="FL537" s="379"/>
      <c r="FM537" s="379"/>
      <c r="FN537" s="379"/>
      <c r="FO537" s="379"/>
      <c r="FP537" s="379"/>
      <c r="FQ537" s="379"/>
      <c r="FR537" s="379"/>
      <c r="FS537" s="379"/>
      <c r="FT537" s="379"/>
      <c r="FU537" s="379"/>
      <c r="FV537" s="379"/>
      <c r="FW537" s="379"/>
      <c r="FX537" s="379"/>
      <c r="FY537" s="379"/>
      <c r="FZ537" s="379"/>
      <c r="GA537" s="379"/>
      <c r="GB537" s="379"/>
      <c r="GC537" s="379"/>
      <c r="GD537" s="379"/>
      <c r="GE537" s="379"/>
      <c r="GF537" s="379"/>
      <c r="GG537" s="379"/>
      <c r="GH537" s="379"/>
      <c r="GI537" s="379"/>
      <c r="GJ537" s="379"/>
      <c r="GK537" s="379"/>
      <c r="GL537" s="379"/>
      <c r="GM537" s="379"/>
      <c r="GN537" s="379"/>
      <c r="GO537" s="379"/>
      <c r="GP537" s="379"/>
      <c r="GQ537" s="379"/>
      <c r="GR537" s="379"/>
      <c r="GS537" s="379"/>
      <c r="GT537" s="379"/>
      <c r="GU537" s="379"/>
      <c r="GV537" s="379"/>
      <c r="GW537" s="379"/>
      <c r="GX537" s="379"/>
      <c r="GY537" s="379"/>
      <c r="GZ537" s="379"/>
      <c r="HA537" s="379"/>
      <c r="HB537" s="379"/>
      <c r="HC537" s="379"/>
      <c r="HD537" s="379"/>
      <c r="HE537" s="379"/>
      <c r="HF537" s="379"/>
      <c r="HG537" s="379"/>
      <c r="HH537" s="379"/>
      <c r="HI537" s="379"/>
      <c r="HJ537" s="379"/>
      <c r="HK537" s="379"/>
      <c r="HL537" s="379"/>
      <c r="HM537" s="379"/>
      <c r="HN537" s="379"/>
      <c r="HO537" s="379"/>
      <c r="HP537" s="379"/>
      <c r="HQ537" s="379"/>
      <c r="HR537" s="379"/>
      <c r="HS537" s="379"/>
      <c r="HT537" s="379"/>
      <c r="HU537" s="379"/>
      <c r="HV537" s="379"/>
      <c r="HW537" s="379"/>
      <c r="HX537" s="379"/>
      <c r="HY537" s="379"/>
      <c r="HZ537" s="379"/>
      <c r="IA537" s="379"/>
      <c r="IB537" s="379"/>
      <c r="IC537" s="379"/>
      <c r="ID537" s="379"/>
      <c r="IE537" s="379"/>
      <c r="IF537" s="379"/>
      <c r="IG537" s="379"/>
      <c r="IH537" s="379"/>
      <c r="II537" s="379"/>
      <c r="IJ537" s="379"/>
      <c r="IK537" s="379"/>
      <c r="IL537" s="379"/>
      <c r="IM537" s="379"/>
      <c r="IN537" s="379"/>
      <c r="IO537" s="379"/>
      <c r="IP537" s="379"/>
      <c r="IQ537" s="379"/>
      <c r="IR537" s="379"/>
      <c r="IS537" s="379"/>
      <c r="IT537" s="379"/>
      <c r="IU537" s="379"/>
      <c r="IV537" s="379"/>
      <c r="IW537" s="379"/>
      <c r="IX537" s="379"/>
      <c r="IY537" s="379"/>
      <c r="IZ537" s="379"/>
      <c r="JA537" s="379"/>
    </row>
    <row r="538" spans="1:262" s="2142" customFormat="1" ht="87.75" customHeight="1">
      <c r="A538" s="379">
        <v>30</v>
      </c>
      <c r="B538" s="381" t="s">
        <v>5176</v>
      </c>
      <c r="C538" s="2077" t="s">
        <v>5178</v>
      </c>
      <c r="D538" s="2077" t="s">
        <v>5235</v>
      </c>
      <c r="E538" s="2">
        <v>74820</v>
      </c>
      <c r="F538" s="141"/>
      <c r="G538" s="141"/>
      <c r="H538" s="141"/>
      <c r="I538" s="2266">
        <v>74820</v>
      </c>
      <c r="J538" s="2195" t="s">
        <v>5236</v>
      </c>
      <c r="K538" s="141" t="s">
        <v>5289</v>
      </c>
      <c r="L538" s="141"/>
      <c r="M538" s="141"/>
      <c r="N538" s="141"/>
      <c r="O538" s="141"/>
      <c r="P538" s="141"/>
      <c r="Q538" s="141"/>
      <c r="R538" s="141"/>
      <c r="S538" s="141"/>
      <c r="T538" s="141"/>
      <c r="U538" s="379"/>
      <c r="V538" s="697"/>
      <c r="W538" s="697"/>
      <c r="X538" s="379"/>
      <c r="Y538" s="379"/>
      <c r="Z538" s="379"/>
      <c r="AA538" s="379"/>
      <c r="AB538" s="379"/>
      <c r="AC538" s="379"/>
      <c r="AD538" s="379"/>
      <c r="AE538" s="379"/>
      <c r="AF538" s="379"/>
      <c r="AG538" s="379"/>
      <c r="AH538" s="379"/>
      <c r="AI538" s="379"/>
      <c r="AJ538" s="379"/>
      <c r="AK538" s="379"/>
      <c r="AL538" s="379"/>
      <c r="AM538" s="379"/>
      <c r="AN538" s="379"/>
      <c r="AO538" s="379"/>
      <c r="AP538" s="379"/>
      <c r="AQ538" s="379"/>
      <c r="AR538" s="379"/>
      <c r="AS538" s="379"/>
      <c r="AT538" s="379"/>
      <c r="AU538" s="379"/>
      <c r="AV538" s="379"/>
      <c r="AW538" s="379"/>
      <c r="AX538" s="379"/>
      <c r="AY538" s="379"/>
      <c r="AZ538" s="379"/>
      <c r="BA538" s="379"/>
      <c r="BB538" s="379"/>
      <c r="BC538" s="379"/>
      <c r="BD538" s="379"/>
      <c r="BE538" s="379"/>
      <c r="BF538" s="379"/>
      <c r="BG538" s="379"/>
      <c r="BH538" s="379"/>
      <c r="BI538" s="379"/>
      <c r="BJ538" s="379"/>
      <c r="BK538" s="379"/>
      <c r="BL538" s="379"/>
      <c r="BM538" s="379"/>
      <c r="BN538" s="379"/>
      <c r="BO538" s="379"/>
      <c r="BP538" s="379"/>
      <c r="BQ538" s="379"/>
      <c r="BR538" s="379"/>
      <c r="BS538" s="379"/>
      <c r="BT538" s="379"/>
      <c r="BU538" s="379"/>
      <c r="BV538" s="379"/>
      <c r="BW538" s="379"/>
      <c r="BX538" s="379"/>
      <c r="BY538" s="379"/>
      <c r="BZ538" s="379"/>
      <c r="CA538" s="379"/>
      <c r="CB538" s="379"/>
      <c r="CC538" s="379"/>
      <c r="CD538" s="379"/>
      <c r="CE538" s="379"/>
      <c r="CF538" s="379"/>
      <c r="CG538" s="379"/>
      <c r="CH538" s="379"/>
      <c r="CI538" s="379"/>
      <c r="CJ538" s="379"/>
      <c r="CK538" s="379"/>
      <c r="CL538" s="379"/>
      <c r="CM538" s="379"/>
      <c r="CN538" s="379"/>
      <c r="CO538" s="379"/>
      <c r="CP538" s="379"/>
      <c r="CQ538" s="379"/>
      <c r="CR538" s="379"/>
      <c r="CS538" s="379"/>
      <c r="CT538" s="379"/>
      <c r="CU538" s="379"/>
      <c r="CV538" s="379"/>
      <c r="CW538" s="379"/>
      <c r="CX538" s="379"/>
      <c r="CY538" s="379"/>
      <c r="CZ538" s="379"/>
      <c r="DA538" s="379"/>
      <c r="DB538" s="379"/>
      <c r="DC538" s="379"/>
      <c r="DD538" s="379"/>
      <c r="DE538" s="379"/>
      <c r="DF538" s="379"/>
      <c r="DG538" s="379"/>
      <c r="DH538" s="379"/>
      <c r="DI538" s="379"/>
      <c r="DJ538" s="379"/>
      <c r="DK538" s="379"/>
      <c r="DL538" s="379"/>
      <c r="DM538" s="379"/>
      <c r="DN538" s="379"/>
      <c r="DO538" s="379"/>
      <c r="DP538" s="379"/>
      <c r="DQ538" s="379"/>
      <c r="DR538" s="379"/>
      <c r="DS538" s="379"/>
      <c r="DT538" s="379"/>
      <c r="DU538" s="379"/>
      <c r="DV538" s="379"/>
      <c r="DW538" s="379"/>
      <c r="DX538" s="379"/>
      <c r="DY538" s="379"/>
      <c r="DZ538" s="379"/>
      <c r="EA538" s="379"/>
      <c r="EB538" s="379"/>
      <c r="EC538" s="379"/>
      <c r="ED538" s="379"/>
      <c r="EE538" s="379"/>
      <c r="EF538" s="379"/>
      <c r="EG538" s="379"/>
      <c r="EH538" s="379"/>
      <c r="EI538" s="379"/>
      <c r="EJ538" s="379"/>
      <c r="EK538" s="379"/>
      <c r="EL538" s="379"/>
      <c r="EM538" s="379"/>
      <c r="EN538" s="379"/>
      <c r="EO538" s="379"/>
      <c r="EP538" s="379"/>
      <c r="EQ538" s="379"/>
      <c r="ER538" s="379"/>
      <c r="ES538" s="379"/>
      <c r="ET538" s="379"/>
      <c r="EU538" s="379"/>
      <c r="EV538" s="379"/>
      <c r="EW538" s="379"/>
      <c r="EX538" s="379"/>
      <c r="EY538" s="379"/>
      <c r="EZ538" s="379"/>
      <c r="FA538" s="379"/>
      <c r="FB538" s="379"/>
      <c r="FC538" s="379"/>
      <c r="FD538" s="379"/>
      <c r="FE538" s="379"/>
      <c r="FF538" s="379"/>
      <c r="FG538" s="379"/>
      <c r="FH538" s="379"/>
      <c r="FI538" s="379"/>
      <c r="FJ538" s="379"/>
      <c r="FK538" s="379"/>
      <c r="FL538" s="379"/>
      <c r="FM538" s="379"/>
      <c r="FN538" s="379"/>
      <c r="FO538" s="379"/>
      <c r="FP538" s="379"/>
      <c r="FQ538" s="379"/>
      <c r="FR538" s="379"/>
      <c r="FS538" s="379"/>
      <c r="FT538" s="379"/>
      <c r="FU538" s="379"/>
      <c r="FV538" s="379"/>
      <c r="FW538" s="379"/>
      <c r="FX538" s="379"/>
      <c r="FY538" s="379"/>
      <c r="FZ538" s="379"/>
      <c r="GA538" s="379"/>
      <c r="GB538" s="379"/>
      <c r="GC538" s="379"/>
      <c r="GD538" s="379"/>
      <c r="GE538" s="379"/>
      <c r="GF538" s="379"/>
      <c r="GG538" s="379"/>
      <c r="GH538" s="379"/>
      <c r="GI538" s="379"/>
      <c r="GJ538" s="379"/>
      <c r="GK538" s="379"/>
      <c r="GL538" s="379"/>
      <c r="GM538" s="379"/>
      <c r="GN538" s="379"/>
      <c r="GO538" s="379"/>
      <c r="GP538" s="379"/>
      <c r="GQ538" s="379"/>
      <c r="GR538" s="379"/>
      <c r="GS538" s="379"/>
      <c r="GT538" s="379"/>
      <c r="GU538" s="379"/>
      <c r="GV538" s="379"/>
      <c r="GW538" s="379"/>
      <c r="GX538" s="379"/>
      <c r="GY538" s="379"/>
      <c r="GZ538" s="379"/>
      <c r="HA538" s="379"/>
      <c r="HB538" s="379"/>
      <c r="HC538" s="379"/>
      <c r="HD538" s="379"/>
      <c r="HE538" s="379"/>
      <c r="HF538" s="379"/>
      <c r="HG538" s="379"/>
      <c r="HH538" s="379"/>
      <c r="HI538" s="379"/>
      <c r="HJ538" s="379"/>
      <c r="HK538" s="379"/>
      <c r="HL538" s="379"/>
      <c r="HM538" s="379"/>
      <c r="HN538" s="379"/>
      <c r="HO538" s="379"/>
      <c r="HP538" s="379"/>
      <c r="HQ538" s="379"/>
      <c r="HR538" s="379"/>
      <c r="HS538" s="379"/>
      <c r="HT538" s="379"/>
      <c r="HU538" s="379"/>
      <c r="HV538" s="379"/>
      <c r="HW538" s="379"/>
      <c r="HX538" s="379"/>
      <c r="HY538" s="379"/>
      <c r="HZ538" s="379"/>
      <c r="IA538" s="379"/>
      <c r="IB538" s="379"/>
      <c r="IC538" s="379"/>
      <c r="ID538" s="379"/>
      <c r="IE538" s="379"/>
      <c r="IF538" s="379"/>
      <c r="IG538" s="379"/>
      <c r="IH538" s="379"/>
      <c r="II538" s="379"/>
      <c r="IJ538" s="379"/>
      <c r="IK538" s="379"/>
      <c r="IL538" s="379"/>
      <c r="IM538" s="379"/>
      <c r="IN538" s="379"/>
      <c r="IO538" s="379"/>
      <c r="IP538" s="379"/>
      <c r="IQ538" s="379"/>
      <c r="IR538" s="379"/>
      <c r="IS538" s="379"/>
      <c r="IT538" s="379"/>
      <c r="IU538" s="379"/>
      <c r="IV538" s="379"/>
      <c r="IW538" s="379"/>
      <c r="IX538" s="379"/>
      <c r="IY538" s="379"/>
      <c r="IZ538" s="379"/>
      <c r="JA538" s="379"/>
    </row>
    <row r="539" spans="1:262" ht="64.5">
      <c r="A539" s="2076">
        <v>31</v>
      </c>
      <c r="B539" s="213" t="s">
        <v>5047</v>
      </c>
      <c r="C539" s="2077" t="s">
        <v>5048</v>
      </c>
      <c r="D539" s="2077" t="s">
        <v>5049</v>
      </c>
      <c r="E539" s="139" t="s">
        <v>5214</v>
      </c>
      <c r="F539" s="2079">
        <v>489168</v>
      </c>
      <c r="G539" s="340" t="s">
        <v>5009</v>
      </c>
      <c r="H539" s="139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62" ht="141">
      <c r="A540" s="2076">
        <v>32</v>
      </c>
      <c r="B540" s="2155" t="s">
        <v>5047</v>
      </c>
      <c r="C540" s="2077" t="s">
        <v>5227</v>
      </c>
      <c r="D540" s="2077" t="s">
        <v>5154</v>
      </c>
      <c r="E540" s="139"/>
      <c r="F540" s="2078">
        <v>144000</v>
      </c>
      <c r="G540" s="139"/>
      <c r="H540" s="139"/>
      <c r="I540" s="2258">
        <v>144000</v>
      </c>
      <c r="J540" s="2" t="s">
        <v>5208</v>
      </c>
      <c r="K540" s="2" t="s">
        <v>5216</v>
      </c>
      <c r="L540" s="2"/>
      <c r="M540" s="2"/>
      <c r="N540" s="2"/>
      <c r="O540" s="2"/>
      <c r="P540" s="2"/>
      <c r="Q540" s="2"/>
      <c r="R540" s="2"/>
      <c r="S540" s="2"/>
      <c r="T540" s="2"/>
    </row>
    <row r="541" spans="1:262" ht="102" customHeight="1">
      <c r="A541" s="2"/>
      <c r="B541" s="2150" t="s">
        <v>5047</v>
      </c>
      <c r="C541" s="2077" t="s">
        <v>5346</v>
      </c>
      <c r="D541" s="2077" t="s">
        <v>5347</v>
      </c>
      <c r="E541" s="139"/>
      <c r="F541" s="2210">
        <v>32160</v>
      </c>
      <c r="G541" s="139"/>
      <c r="H541" s="139"/>
      <c r="I541" s="2253">
        <v>32160</v>
      </c>
      <c r="J541" s="2" t="s">
        <v>5345</v>
      </c>
      <c r="K541" s="2" t="s">
        <v>5216</v>
      </c>
      <c r="L541" s="2"/>
      <c r="M541" s="2211"/>
      <c r="N541" s="2"/>
      <c r="O541" s="2"/>
      <c r="P541" s="2"/>
      <c r="Q541" s="2"/>
      <c r="R541" s="2"/>
      <c r="S541" s="2"/>
      <c r="T541" s="2"/>
      <c r="U541" s="2"/>
      <c r="V541" s="2"/>
      <c r="W541" s="2212"/>
      <c r="X541" s="2099"/>
      <c r="JB541" s="1"/>
    </row>
    <row r="542" spans="1:262" ht="102" customHeight="1">
      <c r="A542" s="2076"/>
      <c r="B542" s="2150" t="s">
        <v>5047</v>
      </c>
      <c r="C542" s="2077" t="s">
        <v>5368</v>
      </c>
      <c r="D542" s="2077" t="s">
        <v>5366</v>
      </c>
      <c r="E542" s="139"/>
      <c r="F542" s="2210">
        <v>75168</v>
      </c>
      <c r="G542" s="139"/>
      <c r="H542" s="139"/>
      <c r="I542" s="2253">
        <v>75168</v>
      </c>
      <c r="J542" s="2" t="s">
        <v>5367</v>
      </c>
      <c r="K542" s="2" t="s">
        <v>5216</v>
      </c>
      <c r="L542" s="2"/>
      <c r="M542" s="2211"/>
      <c r="N542" s="2"/>
      <c r="O542" s="2"/>
      <c r="P542" s="2"/>
      <c r="Q542" s="2"/>
      <c r="R542" s="2"/>
      <c r="S542" s="2"/>
      <c r="T542" s="2"/>
      <c r="U542" s="2076"/>
      <c r="V542" s="2076"/>
      <c r="W542" s="2105"/>
      <c r="X542" s="2099"/>
      <c r="JB542" s="1"/>
    </row>
    <row r="543" spans="1:262" ht="64.5">
      <c r="A543" s="2076">
        <v>33</v>
      </c>
      <c r="B543" s="2155" t="s">
        <v>4959</v>
      </c>
      <c r="C543" s="2077" t="s">
        <v>5048</v>
      </c>
      <c r="D543" s="2077" t="s">
        <v>5186</v>
      </c>
      <c r="E543" s="139" t="s">
        <v>5215</v>
      </c>
      <c r="F543" s="2079">
        <v>489168</v>
      </c>
      <c r="G543" s="340" t="s">
        <v>5009</v>
      </c>
      <c r="H543" s="139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62" ht="77.25">
      <c r="A544" s="2076">
        <v>34</v>
      </c>
      <c r="B544" s="381" t="s">
        <v>5054</v>
      </c>
      <c r="C544" s="2077" t="s">
        <v>5050</v>
      </c>
      <c r="D544" s="2077" t="s">
        <v>5051</v>
      </c>
      <c r="E544" s="139" t="s">
        <v>5097</v>
      </c>
      <c r="F544" s="2077" t="s">
        <v>5052</v>
      </c>
      <c r="G544" s="340" t="s">
        <v>5009</v>
      </c>
      <c r="H544" s="139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62" ht="88.5" customHeight="1">
      <c r="A545" s="1">
        <v>35</v>
      </c>
      <c r="B545" s="2150" t="s">
        <v>5133</v>
      </c>
      <c r="C545" s="2077" t="s">
        <v>5137</v>
      </c>
      <c r="D545" s="2077" t="s">
        <v>5134</v>
      </c>
      <c r="E545" s="139" t="s">
        <v>5135</v>
      </c>
      <c r="F545" s="139" t="s">
        <v>5136</v>
      </c>
      <c r="G545" s="2"/>
      <c r="H545" s="401"/>
      <c r="I545" s="2257" t="s">
        <v>5522</v>
      </c>
      <c r="J545" s="172" t="s">
        <v>5523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62" ht="77.25">
      <c r="A546" s="2076">
        <v>36</v>
      </c>
      <c r="B546" s="1919" t="s">
        <v>5197</v>
      </c>
      <c r="C546" s="2077" t="s">
        <v>5059</v>
      </c>
      <c r="D546" s="2077" t="s">
        <v>5060</v>
      </c>
      <c r="E546" s="454" t="s">
        <v>5061</v>
      </c>
      <c r="F546" s="2077" t="s">
        <v>5062</v>
      </c>
      <c r="G546" s="340" t="s">
        <v>5009</v>
      </c>
      <c r="H546" s="139"/>
      <c r="I546" s="4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62" s="975" customFormat="1" ht="84" customHeight="1">
      <c r="A547" s="2141">
        <v>37</v>
      </c>
      <c r="B547" s="2168" t="s">
        <v>5058</v>
      </c>
      <c r="C547" s="502" t="s">
        <v>5206</v>
      </c>
      <c r="D547" s="2136" t="s">
        <v>5207</v>
      </c>
      <c r="E547" s="502"/>
      <c r="F547" s="2062">
        <v>1958592</v>
      </c>
      <c r="G547" s="599"/>
      <c r="H547" s="599"/>
      <c r="I547" s="2262" t="s">
        <v>5296</v>
      </c>
      <c r="J547" s="2199" t="s">
        <v>5237</v>
      </c>
      <c r="K547" s="1094"/>
      <c r="L547" s="599"/>
      <c r="M547" s="599"/>
      <c r="N547" s="599"/>
      <c r="O547" s="599"/>
      <c r="P547" s="599"/>
      <c r="Q547" s="599"/>
      <c r="R547" s="599"/>
      <c r="S547" s="599"/>
      <c r="T547" s="599"/>
      <c r="U547" s="2141"/>
      <c r="V547" s="2141"/>
      <c r="W547" s="2141"/>
      <c r="X547" s="973"/>
      <c r="Y547" s="973"/>
      <c r="Z547" s="973"/>
      <c r="AA547" s="973"/>
      <c r="AB547" s="973"/>
      <c r="AC547" s="973"/>
      <c r="AD547" s="973"/>
      <c r="AE547" s="973"/>
      <c r="AF547" s="973"/>
      <c r="AG547" s="973"/>
      <c r="AH547" s="973"/>
      <c r="AI547" s="973"/>
      <c r="AJ547" s="973"/>
      <c r="AK547" s="973"/>
      <c r="AL547" s="973"/>
      <c r="AM547" s="973"/>
      <c r="AN547" s="973"/>
      <c r="AO547" s="973"/>
      <c r="AP547" s="973"/>
      <c r="AQ547" s="973"/>
      <c r="AR547" s="973"/>
      <c r="AS547" s="973"/>
      <c r="AT547" s="973"/>
      <c r="AU547" s="973"/>
      <c r="AV547" s="973"/>
      <c r="AW547" s="973"/>
      <c r="AX547" s="973"/>
      <c r="AY547" s="973"/>
      <c r="AZ547" s="973"/>
      <c r="BA547" s="973"/>
      <c r="BB547" s="973"/>
      <c r="BC547" s="973"/>
      <c r="BD547" s="973"/>
      <c r="BE547" s="973"/>
      <c r="BF547" s="973"/>
      <c r="BG547" s="973"/>
      <c r="BH547" s="973"/>
      <c r="BI547" s="973"/>
      <c r="BJ547" s="973"/>
      <c r="BK547" s="973"/>
      <c r="BL547" s="973"/>
      <c r="BM547" s="973"/>
      <c r="BN547" s="973"/>
      <c r="BO547" s="973"/>
      <c r="BP547" s="973"/>
      <c r="BQ547" s="973"/>
      <c r="BR547" s="973"/>
      <c r="BS547" s="973"/>
      <c r="BT547" s="973"/>
      <c r="BU547" s="973"/>
      <c r="BV547" s="973"/>
      <c r="BW547" s="973"/>
      <c r="BX547" s="973"/>
      <c r="BY547" s="973"/>
      <c r="BZ547" s="973"/>
      <c r="CA547" s="973"/>
      <c r="CB547" s="973"/>
      <c r="CC547" s="973"/>
      <c r="CD547" s="973"/>
      <c r="CE547" s="973"/>
      <c r="CF547" s="973"/>
      <c r="CG547" s="973"/>
      <c r="CH547" s="973"/>
      <c r="CI547" s="973"/>
      <c r="CJ547" s="973"/>
      <c r="CK547" s="973"/>
      <c r="CL547" s="973"/>
      <c r="CM547" s="973"/>
      <c r="CN547" s="973"/>
      <c r="CO547" s="973"/>
      <c r="CP547" s="973"/>
      <c r="CQ547" s="973"/>
      <c r="CR547" s="973"/>
      <c r="CS547" s="973"/>
      <c r="CT547" s="973"/>
      <c r="CU547" s="973"/>
      <c r="CV547" s="973"/>
      <c r="CW547" s="973"/>
      <c r="CX547" s="973"/>
      <c r="CY547" s="973"/>
      <c r="CZ547" s="973"/>
      <c r="DA547" s="973"/>
      <c r="DB547" s="973"/>
      <c r="DC547" s="973"/>
      <c r="DD547" s="973"/>
      <c r="DE547" s="973"/>
      <c r="DF547" s="973"/>
      <c r="DG547" s="973"/>
      <c r="DH547" s="973"/>
      <c r="DI547" s="973"/>
      <c r="DJ547" s="973"/>
      <c r="DK547" s="973"/>
      <c r="DL547" s="973"/>
      <c r="DM547" s="973"/>
      <c r="DN547" s="973"/>
      <c r="DO547" s="973"/>
      <c r="DP547" s="973"/>
      <c r="DQ547" s="973"/>
      <c r="DR547" s="973"/>
      <c r="DS547" s="973"/>
      <c r="DT547" s="973"/>
      <c r="DU547" s="973"/>
      <c r="DV547" s="973"/>
      <c r="DW547" s="973"/>
      <c r="DX547" s="973"/>
      <c r="DY547" s="973"/>
      <c r="DZ547" s="973"/>
      <c r="EA547" s="973"/>
      <c r="EB547" s="973"/>
      <c r="EC547" s="973"/>
      <c r="ED547" s="973"/>
      <c r="EE547" s="973"/>
      <c r="EF547" s="973"/>
      <c r="EG547" s="973"/>
      <c r="EH547" s="973"/>
      <c r="EI547" s="973"/>
      <c r="EJ547" s="973"/>
      <c r="EK547" s="973"/>
      <c r="EL547" s="973"/>
      <c r="EM547" s="973"/>
      <c r="EN547" s="973"/>
      <c r="EO547" s="973"/>
      <c r="EP547" s="973"/>
      <c r="EQ547" s="973"/>
      <c r="ER547" s="973"/>
      <c r="ES547" s="973"/>
      <c r="ET547" s="973"/>
      <c r="EU547" s="973"/>
      <c r="EV547" s="973"/>
      <c r="EW547" s="973"/>
      <c r="EX547" s="973"/>
      <c r="EY547" s="973"/>
      <c r="EZ547" s="973"/>
      <c r="FA547" s="973"/>
      <c r="FB547" s="973"/>
      <c r="FC547" s="973"/>
      <c r="FD547" s="973"/>
      <c r="FE547" s="973"/>
      <c r="FF547" s="973"/>
      <c r="FG547" s="973"/>
      <c r="FH547" s="973"/>
      <c r="FI547" s="973"/>
      <c r="FJ547" s="973"/>
      <c r="FK547" s="973"/>
      <c r="FL547" s="973"/>
      <c r="FM547" s="973"/>
      <c r="FN547" s="973"/>
      <c r="FO547" s="973"/>
      <c r="FP547" s="973"/>
      <c r="FQ547" s="973"/>
      <c r="FR547" s="973"/>
      <c r="FS547" s="973"/>
      <c r="FT547" s="973"/>
      <c r="FU547" s="973"/>
      <c r="FV547" s="973"/>
      <c r="FW547" s="973"/>
      <c r="FX547" s="973"/>
      <c r="FY547" s="973"/>
      <c r="FZ547" s="973"/>
      <c r="GA547" s="973"/>
      <c r="GB547" s="973"/>
      <c r="GC547" s="973"/>
      <c r="GD547" s="973"/>
      <c r="GE547" s="973"/>
      <c r="GF547" s="973"/>
      <c r="GG547" s="973"/>
      <c r="GH547" s="973"/>
      <c r="GI547" s="973"/>
      <c r="GJ547" s="973"/>
      <c r="GK547" s="973"/>
      <c r="GL547" s="973"/>
      <c r="GM547" s="973"/>
      <c r="GN547" s="973"/>
      <c r="GO547" s="973"/>
      <c r="GP547" s="973"/>
      <c r="GQ547" s="973"/>
      <c r="GR547" s="973"/>
      <c r="GS547" s="973"/>
      <c r="GT547" s="973"/>
      <c r="GU547" s="973"/>
      <c r="GV547" s="973"/>
      <c r="GW547" s="973"/>
      <c r="GX547" s="973"/>
      <c r="GY547" s="973"/>
      <c r="GZ547" s="973"/>
      <c r="HA547" s="973"/>
      <c r="HB547" s="973"/>
      <c r="HC547" s="973"/>
      <c r="HD547" s="973"/>
      <c r="HE547" s="973"/>
      <c r="HF547" s="973"/>
      <c r="HG547" s="973"/>
      <c r="HH547" s="973"/>
      <c r="HI547" s="973"/>
      <c r="HJ547" s="973"/>
      <c r="HK547" s="973"/>
      <c r="HL547" s="973"/>
      <c r="HM547" s="973"/>
      <c r="HN547" s="973"/>
      <c r="HO547" s="973"/>
      <c r="HP547" s="973"/>
      <c r="HQ547" s="973"/>
      <c r="HR547" s="973"/>
      <c r="HS547" s="973"/>
      <c r="HT547" s="973"/>
      <c r="HU547" s="973"/>
      <c r="HV547" s="973"/>
      <c r="HW547" s="973"/>
      <c r="HX547" s="973"/>
      <c r="HY547" s="973"/>
      <c r="HZ547" s="973"/>
      <c r="IA547" s="973"/>
      <c r="IB547" s="973"/>
      <c r="IC547" s="973"/>
      <c r="ID547" s="973"/>
      <c r="IE547" s="973"/>
      <c r="IF547" s="973"/>
      <c r="IG547" s="973"/>
      <c r="IH547" s="973"/>
      <c r="II547" s="973"/>
      <c r="IJ547" s="973"/>
      <c r="IK547" s="973"/>
      <c r="IL547" s="973"/>
      <c r="IM547" s="973"/>
      <c r="IN547" s="973"/>
      <c r="IO547" s="973"/>
      <c r="IP547" s="973"/>
      <c r="IQ547" s="973"/>
      <c r="IR547" s="973"/>
      <c r="IS547" s="973"/>
      <c r="IT547" s="973"/>
      <c r="IU547" s="973"/>
      <c r="IV547" s="973"/>
    </row>
    <row r="548" spans="1:262" s="975" customFormat="1" ht="57" customHeight="1">
      <c r="A548" s="599">
        <v>38</v>
      </c>
      <c r="B548" s="335" t="s">
        <v>5535</v>
      </c>
      <c r="C548" s="502" t="s">
        <v>5172</v>
      </c>
      <c r="D548" s="2136" t="s">
        <v>5159</v>
      </c>
      <c r="E548" s="502" t="s">
        <v>5160</v>
      </c>
      <c r="F548" s="502" t="s">
        <v>5161</v>
      </c>
      <c r="G548" s="599" t="s">
        <v>5210</v>
      </c>
      <c r="H548" s="599"/>
      <c r="I548" s="2259"/>
      <c r="J548" s="1016"/>
      <c r="K548" s="1094"/>
      <c r="L548" s="599"/>
      <c r="M548" s="599"/>
      <c r="N548" s="599"/>
      <c r="O548" s="599"/>
      <c r="P548" s="599"/>
      <c r="Q548" s="599"/>
      <c r="R548" s="599"/>
      <c r="S548" s="599"/>
      <c r="T548" s="599"/>
      <c r="U548" s="599"/>
      <c r="V548" s="599"/>
      <c r="W548" s="599"/>
      <c r="X548" s="973"/>
      <c r="Y548" s="973"/>
      <c r="Z548" s="973"/>
      <c r="AA548" s="973"/>
      <c r="AB548" s="973"/>
      <c r="AC548" s="973"/>
      <c r="AD548" s="973"/>
      <c r="AE548" s="973"/>
      <c r="AF548" s="973"/>
      <c r="AG548" s="973"/>
      <c r="AH548" s="973"/>
      <c r="AI548" s="973"/>
      <c r="AJ548" s="973"/>
      <c r="AK548" s="973"/>
      <c r="AL548" s="973"/>
      <c r="AM548" s="973"/>
      <c r="AN548" s="973"/>
      <c r="AO548" s="973"/>
      <c r="AP548" s="973"/>
      <c r="AQ548" s="973"/>
      <c r="AR548" s="973"/>
      <c r="AS548" s="973"/>
      <c r="AT548" s="973"/>
      <c r="AU548" s="973"/>
      <c r="AV548" s="973"/>
      <c r="AW548" s="973"/>
      <c r="AX548" s="973"/>
      <c r="AY548" s="973"/>
      <c r="AZ548" s="973"/>
      <c r="BA548" s="973"/>
      <c r="BB548" s="973"/>
      <c r="BC548" s="973"/>
      <c r="BD548" s="973"/>
      <c r="BE548" s="973"/>
      <c r="BF548" s="973"/>
      <c r="BG548" s="973"/>
      <c r="BH548" s="973"/>
      <c r="BI548" s="973"/>
      <c r="BJ548" s="973"/>
      <c r="BK548" s="973"/>
      <c r="BL548" s="973"/>
      <c r="BM548" s="973"/>
      <c r="BN548" s="973"/>
      <c r="BO548" s="973"/>
      <c r="BP548" s="973"/>
      <c r="BQ548" s="973"/>
      <c r="BR548" s="973"/>
      <c r="BS548" s="973"/>
      <c r="BT548" s="973"/>
      <c r="BU548" s="973"/>
      <c r="BV548" s="973"/>
      <c r="BW548" s="973"/>
      <c r="BX548" s="973"/>
      <c r="BY548" s="973"/>
      <c r="BZ548" s="973"/>
      <c r="CA548" s="973"/>
      <c r="CB548" s="973"/>
      <c r="CC548" s="973"/>
      <c r="CD548" s="973"/>
      <c r="CE548" s="973"/>
      <c r="CF548" s="973"/>
      <c r="CG548" s="973"/>
      <c r="CH548" s="973"/>
      <c r="CI548" s="973"/>
      <c r="CJ548" s="973"/>
      <c r="CK548" s="973"/>
      <c r="CL548" s="973"/>
      <c r="CM548" s="973"/>
      <c r="CN548" s="973"/>
      <c r="CO548" s="973"/>
      <c r="CP548" s="973"/>
      <c r="CQ548" s="973"/>
      <c r="CR548" s="973"/>
      <c r="CS548" s="973"/>
      <c r="CT548" s="973"/>
      <c r="CU548" s="973"/>
      <c r="CV548" s="973"/>
      <c r="CW548" s="973"/>
      <c r="CX548" s="973"/>
      <c r="CY548" s="973"/>
      <c r="CZ548" s="973"/>
      <c r="DA548" s="973"/>
      <c r="DB548" s="973"/>
      <c r="DC548" s="973"/>
      <c r="DD548" s="973"/>
      <c r="DE548" s="973"/>
      <c r="DF548" s="973"/>
      <c r="DG548" s="973"/>
      <c r="DH548" s="973"/>
      <c r="DI548" s="973"/>
      <c r="DJ548" s="973"/>
      <c r="DK548" s="973"/>
      <c r="DL548" s="973"/>
      <c r="DM548" s="973"/>
      <c r="DN548" s="973"/>
      <c r="DO548" s="973"/>
      <c r="DP548" s="973"/>
      <c r="DQ548" s="973"/>
      <c r="DR548" s="973"/>
      <c r="DS548" s="973"/>
      <c r="DT548" s="973"/>
      <c r="DU548" s="973"/>
      <c r="DV548" s="973"/>
      <c r="DW548" s="973"/>
      <c r="DX548" s="973"/>
      <c r="DY548" s="973"/>
      <c r="DZ548" s="973"/>
      <c r="EA548" s="973"/>
      <c r="EB548" s="973"/>
      <c r="EC548" s="973"/>
      <c r="ED548" s="973"/>
      <c r="EE548" s="973"/>
      <c r="EF548" s="973"/>
      <c r="EG548" s="973"/>
      <c r="EH548" s="973"/>
      <c r="EI548" s="973"/>
      <c r="EJ548" s="973"/>
      <c r="EK548" s="973"/>
      <c r="EL548" s="973"/>
      <c r="EM548" s="973"/>
      <c r="EN548" s="973"/>
      <c r="EO548" s="973"/>
      <c r="EP548" s="973"/>
      <c r="EQ548" s="973"/>
      <c r="ER548" s="973"/>
      <c r="ES548" s="973"/>
      <c r="ET548" s="973"/>
      <c r="EU548" s="973"/>
      <c r="EV548" s="973"/>
      <c r="EW548" s="973"/>
      <c r="EX548" s="973"/>
      <c r="EY548" s="973"/>
      <c r="EZ548" s="973"/>
      <c r="FA548" s="973"/>
      <c r="FB548" s="973"/>
      <c r="FC548" s="973"/>
      <c r="FD548" s="973"/>
      <c r="FE548" s="973"/>
      <c r="FF548" s="973"/>
      <c r="FG548" s="973"/>
      <c r="FH548" s="973"/>
      <c r="FI548" s="973"/>
      <c r="FJ548" s="973"/>
      <c r="FK548" s="973"/>
      <c r="FL548" s="973"/>
      <c r="FM548" s="973"/>
      <c r="FN548" s="973"/>
      <c r="FO548" s="973"/>
      <c r="FP548" s="973"/>
      <c r="FQ548" s="973"/>
      <c r="FR548" s="973"/>
      <c r="FS548" s="973"/>
      <c r="FT548" s="973"/>
      <c r="FU548" s="973"/>
      <c r="FV548" s="973"/>
      <c r="FW548" s="973"/>
      <c r="FX548" s="973"/>
      <c r="FY548" s="973"/>
      <c r="FZ548" s="973"/>
      <c r="GA548" s="973"/>
      <c r="GB548" s="973"/>
      <c r="GC548" s="973"/>
      <c r="GD548" s="973"/>
      <c r="GE548" s="973"/>
      <c r="GF548" s="973"/>
      <c r="GG548" s="973"/>
      <c r="GH548" s="973"/>
      <c r="GI548" s="973"/>
      <c r="GJ548" s="973"/>
      <c r="GK548" s="973"/>
      <c r="GL548" s="973"/>
      <c r="GM548" s="973"/>
      <c r="GN548" s="973"/>
      <c r="GO548" s="973"/>
      <c r="GP548" s="973"/>
      <c r="GQ548" s="973"/>
      <c r="GR548" s="973"/>
      <c r="GS548" s="973"/>
      <c r="GT548" s="973"/>
      <c r="GU548" s="973"/>
      <c r="GV548" s="973"/>
      <c r="GW548" s="973"/>
      <c r="GX548" s="973"/>
      <c r="GY548" s="973"/>
      <c r="GZ548" s="973"/>
      <c r="HA548" s="973"/>
      <c r="HB548" s="973"/>
      <c r="HC548" s="973"/>
      <c r="HD548" s="973"/>
      <c r="HE548" s="973"/>
      <c r="HF548" s="973"/>
      <c r="HG548" s="973"/>
      <c r="HH548" s="973"/>
      <c r="HI548" s="973"/>
      <c r="HJ548" s="973"/>
      <c r="HK548" s="973"/>
      <c r="HL548" s="973"/>
      <c r="HM548" s="973"/>
      <c r="HN548" s="973"/>
      <c r="HO548" s="973"/>
      <c r="HP548" s="973"/>
      <c r="HQ548" s="973"/>
      <c r="HR548" s="973"/>
      <c r="HS548" s="973"/>
      <c r="HT548" s="973"/>
      <c r="HU548" s="973"/>
      <c r="HV548" s="973"/>
      <c r="HW548" s="973"/>
      <c r="HX548" s="973"/>
      <c r="HY548" s="973"/>
      <c r="HZ548" s="973"/>
      <c r="IA548" s="973"/>
      <c r="IB548" s="973"/>
      <c r="IC548" s="973"/>
      <c r="ID548" s="973"/>
      <c r="IE548" s="973"/>
      <c r="IF548" s="973"/>
      <c r="IG548" s="973"/>
      <c r="IH548" s="973"/>
      <c r="II548" s="973"/>
      <c r="IJ548" s="973"/>
      <c r="IK548" s="973"/>
      <c r="IL548" s="973"/>
      <c r="IM548" s="973"/>
      <c r="IN548" s="973"/>
      <c r="IO548" s="973"/>
      <c r="IP548" s="973"/>
      <c r="IQ548" s="973"/>
      <c r="IR548" s="973"/>
      <c r="IS548" s="973"/>
      <c r="IT548" s="973"/>
      <c r="IU548" s="973"/>
      <c r="IV548" s="973"/>
    </row>
    <row r="549" spans="1:262" ht="103.5" customHeight="1">
      <c r="A549" s="2"/>
      <c r="B549" s="2209" t="s">
        <v>5342</v>
      </c>
      <c r="C549" s="599" t="s">
        <v>5343</v>
      </c>
      <c r="D549" s="715" t="s">
        <v>5344</v>
      </c>
      <c r="E549" s="715"/>
      <c r="F549" s="2217">
        <v>48000</v>
      </c>
      <c r="G549" s="139"/>
      <c r="H549" s="139"/>
      <c r="I549" s="2307">
        <v>48000</v>
      </c>
      <c r="J549" s="2" t="s">
        <v>5345</v>
      </c>
      <c r="K549" s="2" t="s">
        <v>5216</v>
      </c>
      <c r="L549" s="2"/>
      <c r="M549" s="2211"/>
      <c r="N549" s="2"/>
      <c r="O549" s="2"/>
      <c r="P549" s="2"/>
      <c r="Q549" s="2"/>
      <c r="R549" s="2"/>
      <c r="S549" s="2"/>
      <c r="T549" s="2"/>
      <c r="U549" s="2"/>
      <c r="V549" s="2"/>
      <c r="W549" s="2212"/>
      <c r="X549" s="2099"/>
      <c r="JB549" s="1"/>
    </row>
    <row r="550" spans="1:262" s="975" customFormat="1" ht="68.25" customHeight="1">
      <c r="A550" s="2141">
        <v>39</v>
      </c>
      <c r="B550" s="2168" t="s">
        <v>5189</v>
      </c>
      <c r="C550" s="502" t="s">
        <v>5230</v>
      </c>
      <c r="D550" s="2136" t="s">
        <v>5285</v>
      </c>
      <c r="E550" s="1094" t="s">
        <v>5289</v>
      </c>
      <c r="F550" s="502">
        <v>461160</v>
      </c>
      <c r="G550" s="599"/>
      <c r="H550" s="599"/>
      <c r="I550" s="2263">
        <v>461160</v>
      </c>
      <c r="J550" s="1889" t="s">
        <v>5246</v>
      </c>
      <c r="K550" s="1094" t="s">
        <v>5289</v>
      </c>
      <c r="L550" s="599"/>
      <c r="M550" s="890" t="s">
        <v>5301</v>
      </c>
      <c r="N550" s="890">
        <v>296800</v>
      </c>
      <c r="O550" s="890"/>
      <c r="P550" s="890"/>
      <c r="Q550" s="890">
        <v>296800</v>
      </c>
      <c r="R550" s="2200">
        <v>45839</v>
      </c>
      <c r="S550" s="599"/>
      <c r="T550" s="599"/>
      <c r="U550" s="2141"/>
      <c r="V550" s="2141"/>
      <c r="W550" s="2141"/>
      <c r="X550" s="973"/>
      <c r="Y550" s="973"/>
      <c r="Z550" s="973"/>
      <c r="AA550" s="973"/>
      <c r="AB550" s="973"/>
      <c r="AC550" s="973"/>
      <c r="AD550" s="973"/>
      <c r="AE550" s="973"/>
      <c r="AF550" s="973"/>
      <c r="AG550" s="973"/>
      <c r="AH550" s="973"/>
      <c r="AI550" s="973"/>
      <c r="AJ550" s="973"/>
      <c r="AK550" s="973"/>
      <c r="AL550" s="973"/>
      <c r="AM550" s="973"/>
      <c r="AN550" s="973"/>
      <c r="AO550" s="973"/>
      <c r="AP550" s="973"/>
      <c r="AQ550" s="973"/>
      <c r="AR550" s="973"/>
      <c r="AS550" s="973"/>
      <c r="AT550" s="973"/>
      <c r="AU550" s="973"/>
      <c r="AV550" s="973"/>
      <c r="AW550" s="973"/>
      <c r="AX550" s="973"/>
      <c r="AY550" s="973"/>
      <c r="AZ550" s="973"/>
      <c r="BA550" s="973"/>
      <c r="BB550" s="973"/>
      <c r="BC550" s="973"/>
      <c r="BD550" s="973"/>
      <c r="BE550" s="973"/>
      <c r="BF550" s="973"/>
      <c r="BG550" s="973"/>
      <c r="BH550" s="973"/>
      <c r="BI550" s="973"/>
      <c r="BJ550" s="973"/>
      <c r="BK550" s="973"/>
      <c r="BL550" s="973"/>
      <c r="BM550" s="973"/>
      <c r="BN550" s="973"/>
      <c r="BO550" s="973"/>
      <c r="BP550" s="973"/>
      <c r="BQ550" s="973"/>
      <c r="BR550" s="973"/>
      <c r="BS550" s="973"/>
      <c r="BT550" s="973"/>
      <c r="BU550" s="973"/>
      <c r="BV550" s="973"/>
      <c r="BW550" s="973"/>
      <c r="BX550" s="973"/>
      <c r="BY550" s="973"/>
      <c r="BZ550" s="973"/>
      <c r="CA550" s="973"/>
      <c r="CB550" s="973"/>
      <c r="CC550" s="973"/>
      <c r="CD550" s="973"/>
      <c r="CE550" s="973"/>
      <c r="CF550" s="973"/>
      <c r="CG550" s="973"/>
      <c r="CH550" s="973"/>
      <c r="CI550" s="973"/>
      <c r="CJ550" s="973"/>
      <c r="CK550" s="973"/>
      <c r="CL550" s="973"/>
      <c r="CM550" s="973"/>
      <c r="CN550" s="973"/>
      <c r="CO550" s="973"/>
      <c r="CP550" s="973"/>
      <c r="CQ550" s="973"/>
      <c r="CR550" s="973"/>
      <c r="CS550" s="973"/>
      <c r="CT550" s="973"/>
      <c r="CU550" s="973"/>
      <c r="CV550" s="973"/>
      <c r="CW550" s="973"/>
      <c r="CX550" s="973"/>
      <c r="CY550" s="973"/>
      <c r="CZ550" s="973"/>
      <c r="DA550" s="973"/>
      <c r="DB550" s="973"/>
      <c r="DC550" s="973"/>
      <c r="DD550" s="973"/>
      <c r="DE550" s="973"/>
      <c r="DF550" s="973"/>
      <c r="DG550" s="973"/>
      <c r="DH550" s="973"/>
      <c r="DI550" s="973"/>
      <c r="DJ550" s="973"/>
      <c r="DK550" s="973"/>
      <c r="DL550" s="973"/>
      <c r="DM550" s="973"/>
      <c r="DN550" s="973"/>
      <c r="DO550" s="973"/>
      <c r="DP550" s="973"/>
      <c r="DQ550" s="973"/>
      <c r="DR550" s="973"/>
      <c r="DS550" s="973"/>
      <c r="DT550" s="973"/>
      <c r="DU550" s="973"/>
      <c r="DV550" s="973"/>
      <c r="DW550" s="973"/>
      <c r="DX550" s="973"/>
      <c r="DY550" s="973"/>
      <c r="DZ550" s="973"/>
      <c r="EA550" s="973"/>
      <c r="EB550" s="973"/>
      <c r="EC550" s="973"/>
      <c r="ED550" s="973"/>
      <c r="EE550" s="973"/>
      <c r="EF550" s="973"/>
      <c r="EG550" s="973"/>
      <c r="EH550" s="973"/>
      <c r="EI550" s="973"/>
      <c r="EJ550" s="973"/>
      <c r="EK550" s="973"/>
      <c r="EL550" s="973"/>
      <c r="EM550" s="973"/>
      <c r="EN550" s="973"/>
      <c r="EO550" s="973"/>
      <c r="EP550" s="973"/>
      <c r="EQ550" s="973"/>
      <c r="ER550" s="973"/>
      <c r="ES550" s="973"/>
      <c r="ET550" s="973"/>
      <c r="EU550" s="973"/>
      <c r="EV550" s="973"/>
      <c r="EW550" s="973"/>
      <c r="EX550" s="973"/>
      <c r="EY550" s="973"/>
      <c r="EZ550" s="973"/>
      <c r="FA550" s="973"/>
      <c r="FB550" s="973"/>
      <c r="FC550" s="973"/>
      <c r="FD550" s="973"/>
      <c r="FE550" s="973"/>
      <c r="FF550" s="973"/>
      <c r="FG550" s="973"/>
      <c r="FH550" s="973"/>
      <c r="FI550" s="973"/>
      <c r="FJ550" s="973"/>
      <c r="FK550" s="973"/>
      <c r="FL550" s="973"/>
      <c r="FM550" s="973"/>
      <c r="FN550" s="973"/>
      <c r="FO550" s="973"/>
      <c r="FP550" s="973"/>
      <c r="FQ550" s="973"/>
      <c r="FR550" s="973"/>
      <c r="FS550" s="973"/>
      <c r="FT550" s="973"/>
      <c r="FU550" s="973"/>
      <c r="FV550" s="973"/>
      <c r="FW550" s="973"/>
      <c r="FX550" s="973"/>
      <c r="FY550" s="973"/>
      <c r="FZ550" s="973"/>
      <c r="GA550" s="973"/>
      <c r="GB550" s="973"/>
      <c r="GC550" s="973"/>
      <c r="GD550" s="973"/>
      <c r="GE550" s="973"/>
      <c r="GF550" s="973"/>
      <c r="GG550" s="973"/>
      <c r="GH550" s="973"/>
      <c r="GI550" s="973"/>
      <c r="GJ550" s="973"/>
      <c r="GK550" s="973"/>
      <c r="GL550" s="973"/>
      <c r="GM550" s="973"/>
      <c r="GN550" s="973"/>
      <c r="GO550" s="973"/>
      <c r="GP550" s="973"/>
      <c r="GQ550" s="973"/>
      <c r="GR550" s="973"/>
      <c r="GS550" s="973"/>
      <c r="GT550" s="973"/>
      <c r="GU550" s="973"/>
      <c r="GV550" s="973"/>
      <c r="GW550" s="973"/>
      <c r="GX550" s="973"/>
      <c r="GY550" s="973"/>
      <c r="GZ550" s="973"/>
      <c r="HA550" s="973"/>
      <c r="HB550" s="973"/>
      <c r="HC550" s="973"/>
      <c r="HD550" s="973"/>
      <c r="HE550" s="973"/>
      <c r="HF550" s="973"/>
      <c r="HG550" s="973"/>
      <c r="HH550" s="973"/>
      <c r="HI550" s="973"/>
      <c r="HJ550" s="973"/>
      <c r="HK550" s="973"/>
      <c r="HL550" s="973"/>
      <c r="HM550" s="973"/>
      <c r="HN550" s="973"/>
      <c r="HO550" s="973"/>
      <c r="HP550" s="973"/>
      <c r="HQ550" s="973"/>
      <c r="HR550" s="973"/>
      <c r="HS550" s="973"/>
      <c r="HT550" s="973"/>
      <c r="HU550" s="973"/>
      <c r="HV550" s="973"/>
      <c r="HW550" s="973"/>
      <c r="HX550" s="973"/>
      <c r="HY550" s="973"/>
      <c r="HZ550" s="973"/>
      <c r="IA550" s="973"/>
      <c r="IB550" s="973"/>
      <c r="IC550" s="973"/>
      <c r="ID550" s="973"/>
      <c r="IE550" s="973"/>
      <c r="IF550" s="973"/>
      <c r="IG550" s="973"/>
      <c r="IH550" s="973"/>
      <c r="II550" s="973"/>
      <c r="IJ550" s="973"/>
      <c r="IK550" s="973"/>
      <c r="IL550" s="973"/>
      <c r="IM550" s="973"/>
      <c r="IN550" s="973"/>
      <c r="IO550" s="973"/>
      <c r="IP550" s="973"/>
      <c r="IQ550" s="973"/>
      <c r="IR550" s="973"/>
      <c r="IS550" s="973"/>
      <c r="IT550" s="973"/>
      <c r="IU550" s="973"/>
      <c r="IV550" s="973"/>
    </row>
    <row r="551" spans="1:262" s="2163" customFormat="1" ht="45" customHeight="1">
      <c r="A551" s="2159">
        <v>40</v>
      </c>
      <c r="B551" s="335" t="s">
        <v>1095</v>
      </c>
      <c r="C551" s="502" t="s">
        <v>5223</v>
      </c>
      <c r="D551" s="639" t="s">
        <v>5401</v>
      </c>
      <c r="E551" s="335" t="s">
        <v>5224</v>
      </c>
      <c r="F551" s="639" t="s">
        <v>5218</v>
      </c>
      <c r="G551" s="2159"/>
      <c r="H551" s="2026"/>
      <c r="I551" s="2264" t="s">
        <v>5402</v>
      </c>
      <c r="J551" s="564" t="s">
        <v>5403</v>
      </c>
      <c r="K551" s="2159"/>
      <c r="L551" s="502"/>
      <c r="M551" s="615"/>
      <c r="N551" s="2149"/>
      <c r="O551" s="2164"/>
      <c r="P551" s="568"/>
      <c r="Q551" s="599"/>
      <c r="R551" s="10"/>
      <c r="S551" s="2161"/>
      <c r="T551" s="2161"/>
      <c r="U551" s="2159"/>
      <c r="V551" s="2159"/>
      <c r="W551" s="2162" t="s">
        <v>5217</v>
      </c>
      <c r="X551" s="2159"/>
      <c r="Y551" s="2159"/>
      <c r="Z551" s="2159"/>
      <c r="AA551" s="2159"/>
    </row>
    <row r="552" spans="1:262" s="2163" customFormat="1" ht="58.5" customHeight="1">
      <c r="A552" s="2159">
        <v>41</v>
      </c>
      <c r="B552" s="335" t="s">
        <v>1095</v>
      </c>
      <c r="C552" s="502" t="s">
        <v>5223</v>
      </c>
      <c r="D552" s="639" t="s">
        <v>5308</v>
      </c>
      <c r="E552" s="335" t="s">
        <v>5309</v>
      </c>
      <c r="F552" s="639" t="s">
        <v>5218</v>
      </c>
      <c r="G552" s="2159"/>
      <c r="H552" s="2026"/>
      <c r="I552" s="564"/>
      <c r="J552" s="564"/>
      <c r="K552" s="2159"/>
      <c r="L552" s="502"/>
      <c r="M552" s="615"/>
      <c r="N552" s="2149"/>
      <c r="O552" s="2164"/>
      <c r="P552" s="568"/>
      <c r="Q552" s="599"/>
      <c r="R552" s="10"/>
      <c r="S552" s="2161"/>
      <c r="T552" s="2161"/>
      <c r="U552" s="2159"/>
      <c r="V552" s="2159"/>
      <c r="W552" s="2162"/>
      <c r="X552" s="2202"/>
      <c r="Y552" s="2202"/>
      <c r="Z552" s="2202"/>
      <c r="AA552" s="2202"/>
    </row>
    <row r="553" spans="1:262" s="2163" customFormat="1" ht="45" customHeight="1">
      <c r="A553" s="2159">
        <v>40</v>
      </c>
      <c r="B553" s="335" t="s">
        <v>1095</v>
      </c>
      <c r="C553" s="502" t="s">
        <v>5223</v>
      </c>
      <c r="D553" s="639" t="s">
        <v>5401</v>
      </c>
      <c r="E553" s="335" t="s">
        <v>5224</v>
      </c>
      <c r="F553" s="639" t="s">
        <v>5218</v>
      </c>
      <c r="G553" s="2159"/>
      <c r="H553" s="2026"/>
      <c r="I553" s="2264" t="s">
        <v>5402</v>
      </c>
      <c r="J553" s="564" t="s">
        <v>5403</v>
      </c>
      <c r="K553" s="2159"/>
      <c r="L553" s="502"/>
      <c r="M553" s="615"/>
      <c r="N553" s="2149"/>
      <c r="O553" s="2164"/>
      <c r="P553" s="568"/>
      <c r="Q553" s="599"/>
      <c r="R553" s="10"/>
      <c r="S553" s="2161"/>
      <c r="T553" s="2161"/>
      <c r="U553" s="2159"/>
      <c r="V553" s="2159"/>
      <c r="W553" s="2162" t="s">
        <v>5217</v>
      </c>
      <c r="X553" s="2159"/>
      <c r="Y553" s="2159"/>
      <c r="Z553" s="2159"/>
      <c r="AA553" s="2159"/>
    </row>
    <row r="554" spans="1:262" s="2163" customFormat="1" ht="58.5" customHeight="1">
      <c r="A554" s="2159">
        <v>41</v>
      </c>
      <c r="B554" s="335" t="s">
        <v>1095</v>
      </c>
      <c r="C554" s="502" t="s">
        <v>5223</v>
      </c>
      <c r="D554" s="639" t="s">
        <v>5308</v>
      </c>
      <c r="E554" s="335" t="s">
        <v>5309</v>
      </c>
      <c r="F554" s="639" t="s">
        <v>5218</v>
      </c>
      <c r="G554" s="2159"/>
      <c r="H554" s="2026"/>
      <c r="I554" s="2311"/>
      <c r="J554" s="564"/>
      <c r="K554" s="2159"/>
      <c r="L554" s="502"/>
      <c r="M554" s="615"/>
      <c r="N554" s="2149"/>
      <c r="O554" s="2164"/>
      <c r="P554" s="568"/>
      <c r="Q554" s="599"/>
      <c r="R554" s="10"/>
      <c r="S554" s="2161"/>
      <c r="T554" s="2161"/>
      <c r="U554" s="2159"/>
      <c r="V554" s="2159"/>
      <c r="W554" s="2162"/>
      <c r="X554" s="2202"/>
      <c r="Y554" s="2202"/>
      <c r="Z554" s="2202"/>
      <c r="AA554" s="2202"/>
    </row>
    <row r="555" spans="1:262" s="2111" customFormat="1" ht="93" customHeight="1">
      <c r="A555" s="2082">
        <v>42</v>
      </c>
      <c r="B555" s="2109" t="s">
        <v>4981</v>
      </c>
      <c r="C555" s="2136" t="s">
        <v>4982</v>
      </c>
      <c r="D555" s="2136" t="s">
        <v>5534</v>
      </c>
      <c r="E555" s="2082"/>
      <c r="F555" s="2082" t="s">
        <v>5231</v>
      </c>
      <c r="G555" s="2082"/>
      <c r="H555" s="2082"/>
      <c r="I555" s="2197" t="s">
        <v>5299</v>
      </c>
      <c r="J555" s="2098"/>
      <c r="K555" s="2082"/>
      <c r="L555" s="2082"/>
      <c r="M555" s="2082"/>
      <c r="N555" s="2082"/>
      <c r="O555" s="2082"/>
      <c r="P555" s="2082"/>
      <c r="Q555" s="2159"/>
      <c r="R555" s="2160"/>
      <c r="S555" s="2082"/>
      <c r="T555" s="2082"/>
      <c r="U555" s="2082"/>
      <c r="V555" s="2082"/>
      <c r="W555" s="2082"/>
      <c r="X555" s="2110"/>
      <c r="Y555" s="2110"/>
      <c r="Z555" s="2110"/>
      <c r="AA555" s="2110"/>
      <c r="AB555" s="2110"/>
      <c r="AC555" s="2110"/>
      <c r="AD555" s="2110"/>
      <c r="AE555" s="2110"/>
      <c r="AF555" s="2110"/>
      <c r="AG555" s="2110"/>
      <c r="AH555" s="2110"/>
      <c r="AI555" s="2110"/>
      <c r="AJ555" s="2110"/>
      <c r="AK555" s="2110"/>
      <c r="AL555" s="2110"/>
      <c r="AM555" s="2110"/>
      <c r="AN555" s="2110"/>
      <c r="AO555" s="2110"/>
      <c r="AP555" s="2110"/>
      <c r="AQ555" s="2110"/>
      <c r="AR555" s="2110"/>
      <c r="AS555" s="2110"/>
      <c r="AT555" s="2110"/>
      <c r="AU555" s="2110"/>
      <c r="AV555" s="2110"/>
      <c r="AW555" s="2110"/>
      <c r="AX555" s="2110"/>
      <c r="AY555" s="2110"/>
      <c r="AZ555" s="2110"/>
      <c r="BA555" s="2110"/>
      <c r="BB555" s="2110"/>
      <c r="BC555" s="2110"/>
      <c r="BD555" s="2110"/>
      <c r="BE555" s="2110"/>
      <c r="BF555" s="2110"/>
      <c r="BG555" s="2110"/>
      <c r="BH555" s="2110"/>
      <c r="BI555" s="2110"/>
      <c r="BJ555" s="2110"/>
      <c r="BK555" s="2110"/>
      <c r="BL555" s="2110"/>
      <c r="BM555" s="2110"/>
      <c r="BN555" s="2110"/>
      <c r="BO555" s="2110"/>
      <c r="BP555" s="2110"/>
      <c r="BQ555" s="2110"/>
      <c r="BR555" s="2110"/>
      <c r="BS555" s="2110"/>
      <c r="BT555" s="2110"/>
      <c r="BU555" s="2110"/>
      <c r="BV555" s="2110"/>
      <c r="BW555" s="2110"/>
      <c r="BX555" s="2110"/>
      <c r="BY555" s="2110"/>
      <c r="BZ555" s="2110"/>
      <c r="CA555" s="2110"/>
      <c r="CB555" s="2110"/>
      <c r="CC555" s="2110"/>
      <c r="CD555" s="2110"/>
      <c r="CE555" s="2110"/>
      <c r="CF555" s="2110"/>
      <c r="CG555" s="2110"/>
      <c r="CH555" s="2110"/>
      <c r="CI555" s="2110"/>
      <c r="CJ555" s="2110"/>
      <c r="CK555" s="2110"/>
      <c r="CL555" s="2110"/>
      <c r="CM555" s="2110"/>
      <c r="CN555" s="2110"/>
      <c r="CO555" s="2110"/>
      <c r="CP555" s="2110"/>
      <c r="CQ555" s="2110"/>
      <c r="CR555" s="2110"/>
      <c r="CS555" s="2110"/>
      <c r="CT555" s="2110"/>
      <c r="CU555" s="2110"/>
      <c r="CV555" s="2110"/>
      <c r="CW555" s="2110"/>
      <c r="CX555" s="2110"/>
      <c r="CY555" s="2110"/>
      <c r="CZ555" s="2110"/>
      <c r="DA555" s="2110"/>
      <c r="DB555" s="2110"/>
      <c r="DC555" s="2110"/>
      <c r="DD555" s="2110"/>
      <c r="DE555" s="2110"/>
      <c r="DF555" s="2110"/>
      <c r="DG555" s="2110"/>
      <c r="DH555" s="2110"/>
      <c r="DI555" s="2110"/>
      <c r="DJ555" s="2110"/>
      <c r="DK555" s="2110"/>
      <c r="DL555" s="2110"/>
      <c r="DM555" s="2110"/>
      <c r="DN555" s="2110"/>
      <c r="DO555" s="2110"/>
      <c r="DP555" s="2110"/>
      <c r="DQ555" s="2110"/>
      <c r="DR555" s="2110"/>
      <c r="DS555" s="2110"/>
      <c r="DT555" s="2110"/>
      <c r="DU555" s="2110"/>
      <c r="DV555" s="2110"/>
      <c r="DW555" s="2110"/>
      <c r="DX555" s="2110"/>
      <c r="DY555" s="2110"/>
      <c r="DZ555" s="2110"/>
      <c r="EA555" s="2110"/>
      <c r="EB555" s="2110"/>
      <c r="EC555" s="2110"/>
      <c r="ED555" s="2110"/>
      <c r="EE555" s="2110"/>
      <c r="EF555" s="2110"/>
      <c r="EG555" s="2110"/>
      <c r="EH555" s="2110"/>
      <c r="EI555" s="2110"/>
      <c r="EJ555" s="2110"/>
      <c r="EK555" s="2110"/>
      <c r="EL555" s="2110"/>
      <c r="EM555" s="2110"/>
      <c r="EN555" s="2110"/>
      <c r="EO555" s="2110"/>
      <c r="EP555" s="2110"/>
      <c r="EQ555" s="2110"/>
      <c r="ER555" s="2110"/>
      <c r="ES555" s="2110"/>
      <c r="ET555" s="2110"/>
      <c r="EU555" s="2110"/>
      <c r="EV555" s="2110"/>
      <c r="EW555" s="2110"/>
      <c r="EX555" s="2110"/>
      <c r="EY555" s="2110"/>
      <c r="EZ555" s="2110"/>
      <c r="FA555" s="2110"/>
      <c r="FB555" s="2110"/>
      <c r="FC555" s="2110"/>
      <c r="FD555" s="2110"/>
      <c r="FE555" s="2110"/>
      <c r="FF555" s="2110"/>
      <c r="FG555" s="2110"/>
      <c r="FH555" s="2110"/>
      <c r="FI555" s="2110"/>
      <c r="FJ555" s="2110"/>
      <c r="FK555" s="2110"/>
      <c r="FL555" s="2110"/>
      <c r="FM555" s="2110"/>
      <c r="FN555" s="2110"/>
      <c r="FO555" s="2110"/>
      <c r="FP555" s="2110"/>
      <c r="FQ555" s="2110"/>
      <c r="FR555" s="2110"/>
      <c r="FS555" s="2110"/>
      <c r="FT555" s="2110"/>
      <c r="FU555" s="2110"/>
      <c r="FV555" s="2110"/>
      <c r="FW555" s="2110"/>
      <c r="FX555" s="2110"/>
      <c r="FY555" s="2110"/>
      <c r="FZ555" s="2110"/>
      <c r="GA555" s="2110"/>
      <c r="GB555" s="2110"/>
      <c r="GC555" s="2110"/>
      <c r="GD555" s="2110"/>
      <c r="GE555" s="2110"/>
      <c r="GF555" s="2110"/>
      <c r="GG555" s="2110"/>
      <c r="GH555" s="2110"/>
      <c r="GI555" s="2110"/>
      <c r="GJ555" s="2110"/>
      <c r="GK555" s="2110"/>
      <c r="GL555" s="2110"/>
      <c r="GM555" s="2110"/>
      <c r="GN555" s="2110"/>
      <c r="GO555" s="2110"/>
      <c r="GP555" s="2110"/>
      <c r="GQ555" s="2110"/>
      <c r="GR555" s="2110"/>
      <c r="GS555" s="2110"/>
      <c r="GT555" s="2110"/>
      <c r="GU555" s="2110"/>
      <c r="GV555" s="2110"/>
      <c r="GW555" s="2110"/>
      <c r="GX555" s="2110"/>
      <c r="GY555" s="2110"/>
      <c r="GZ555" s="2110"/>
      <c r="HA555" s="2110"/>
      <c r="HB555" s="2110"/>
      <c r="HC555" s="2110"/>
      <c r="HD555" s="2110"/>
      <c r="HE555" s="2110"/>
      <c r="HF555" s="2110"/>
      <c r="HG555" s="2110"/>
      <c r="HH555" s="2110"/>
      <c r="HI555" s="2110"/>
      <c r="HJ555" s="2110"/>
      <c r="HK555" s="2110"/>
      <c r="HL555" s="2110"/>
      <c r="HM555" s="2110"/>
      <c r="HN555" s="2110"/>
      <c r="HO555" s="2110"/>
      <c r="HP555" s="2110"/>
      <c r="HQ555" s="2110"/>
      <c r="HR555" s="2110"/>
      <c r="HS555" s="2110"/>
      <c r="HT555" s="2110"/>
      <c r="HU555" s="2110"/>
      <c r="HV555" s="2110"/>
      <c r="HW555" s="2110"/>
      <c r="HX555" s="2110"/>
      <c r="HY555" s="2110"/>
      <c r="HZ555" s="2110"/>
      <c r="IA555" s="2110"/>
      <c r="IB555" s="2110"/>
      <c r="IC555" s="2110"/>
      <c r="ID555" s="2110"/>
      <c r="IE555" s="2110"/>
      <c r="IF555" s="2110"/>
      <c r="IG555" s="2110"/>
      <c r="IH555" s="2110"/>
      <c r="II555" s="2110"/>
      <c r="IJ555" s="2110"/>
      <c r="IK555" s="2110"/>
      <c r="IL555" s="2110"/>
      <c r="IM555" s="2110"/>
      <c r="IN555" s="2110"/>
      <c r="IO555" s="2110"/>
      <c r="IP555" s="2110"/>
      <c r="IQ555" s="2110"/>
      <c r="IR555" s="2110"/>
      <c r="IS555" s="2110"/>
      <c r="IT555" s="2110"/>
      <c r="IU555" s="2110"/>
      <c r="IV555" s="2110"/>
    </row>
    <row r="556" spans="1:262" ht="114" customHeight="1">
      <c r="B556" s="5" t="s">
        <v>5353</v>
      </c>
      <c r="C556" s="973" t="s">
        <v>5405</v>
      </c>
      <c r="D556" s="715" t="s">
        <v>5357</v>
      </c>
      <c r="E556" s="715" t="s">
        <v>5358</v>
      </c>
      <c r="F556" s="2222" t="s">
        <v>5359</v>
      </c>
      <c r="G556" s="599" t="s">
        <v>5390</v>
      </c>
      <c r="H556" s="2"/>
      <c r="I556" s="2260" t="s">
        <v>5468</v>
      </c>
      <c r="J556" s="2"/>
      <c r="K556" s="2"/>
      <c r="L556" s="2"/>
      <c r="M556" s="2"/>
      <c r="N556" s="2"/>
      <c r="O556" s="2"/>
      <c r="P556" s="2"/>
      <c r="Q556" s="2082"/>
      <c r="R556" s="2082"/>
      <c r="S556" s="2"/>
      <c r="T556" s="2"/>
    </row>
    <row r="557" spans="1:262" ht="75" customHeight="1">
      <c r="B557" s="2300" t="s">
        <v>5397</v>
      </c>
      <c r="C557" s="2304" t="s">
        <v>5529</v>
      </c>
      <c r="D557" s="2302" t="s">
        <v>5530</v>
      </c>
      <c r="E557" s="2302"/>
      <c r="F557" s="2303"/>
      <c r="G557" s="2304"/>
      <c r="H557" s="2305"/>
      <c r="I557" s="2308">
        <v>886373.76</v>
      </c>
      <c r="J557" s="2305" t="s">
        <v>5531</v>
      </c>
      <c r="K557" s="2305"/>
      <c r="L557" s="2305"/>
      <c r="M557" s="2305"/>
      <c r="N557" s="2305"/>
      <c r="O557" s="2305"/>
      <c r="P557" s="2305"/>
      <c r="Q557" s="2306"/>
      <c r="R557" s="2306"/>
      <c r="S557" s="2305"/>
      <c r="T557" s="2305"/>
    </row>
    <row r="558" spans="1:262" ht="79.5" customHeight="1">
      <c r="B558" s="686"/>
      <c r="C558" s="139" t="s">
        <v>5404</v>
      </c>
      <c r="D558" s="139" t="s">
        <v>5398</v>
      </c>
      <c r="E558" s="2077" t="s">
        <v>5454</v>
      </c>
      <c r="F558" s="2107" t="s">
        <v>5399</v>
      </c>
      <c r="G558" s="407"/>
      <c r="H558" s="2"/>
      <c r="I558" s="2261">
        <v>45931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62" ht="108.75" customHeight="1">
      <c r="B559" s="2209" t="s">
        <v>5485</v>
      </c>
      <c r="C559" s="139" t="s">
        <v>5487</v>
      </c>
      <c r="D559" s="599" t="s">
        <v>5486</v>
      </c>
      <c r="E559" s="2085" t="s">
        <v>5488</v>
      </c>
      <c r="F559" s="2253">
        <v>403252.8</v>
      </c>
      <c r="G559" s="2"/>
      <c r="H559" s="2"/>
      <c r="I559" s="2257" t="s">
        <v>5501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62" ht="108.75" customHeight="1">
      <c r="B560" s="2324" t="s">
        <v>5372</v>
      </c>
      <c r="C560" s="2321" t="s">
        <v>5576</v>
      </c>
      <c r="D560" s="2304" t="s">
        <v>5575</v>
      </c>
      <c r="E560" s="2322"/>
      <c r="F560" s="2323">
        <v>886373.76</v>
      </c>
      <c r="G560" s="2305"/>
      <c r="H560" s="2325"/>
      <c r="I560" s="2323">
        <v>886373.76</v>
      </c>
      <c r="J560" s="2305" t="s">
        <v>5577</v>
      </c>
      <c r="K560" s="2305"/>
      <c r="L560" s="2305"/>
      <c r="M560" s="2305"/>
      <c r="N560" s="2305"/>
      <c r="O560" s="2305"/>
      <c r="P560" s="2305"/>
      <c r="Q560" s="2305"/>
      <c r="R560" s="2305"/>
      <c r="S560" s="2305"/>
      <c r="T560" s="2305"/>
    </row>
    <row r="561" spans="1:262" ht="152.25" customHeight="1">
      <c r="A561" s="2"/>
      <c r="B561" s="2268" t="s">
        <v>5502</v>
      </c>
      <c r="C561" s="715" t="s">
        <v>5510</v>
      </c>
      <c r="D561" s="139" t="s">
        <v>5503</v>
      </c>
      <c r="E561" s="139" t="s">
        <v>5504</v>
      </c>
      <c r="F561" s="139" t="s">
        <v>5505</v>
      </c>
      <c r="G561" s="2"/>
      <c r="H561" s="2"/>
      <c r="I561" s="2" t="s">
        <v>5506</v>
      </c>
      <c r="J561" s="2"/>
      <c r="K561" s="2"/>
      <c r="L561" s="2"/>
      <c r="M561" s="139" t="s">
        <v>5507</v>
      </c>
      <c r="N561" s="2"/>
      <c r="O561" s="2"/>
      <c r="P561" s="172" t="s">
        <v>5508</v>
      </c>
      <c r="Q561" s="2"/>
      <c r="R561" s="2"/>
      <c r="S561" s="2"/>
      <c r="T561" s="2"/>
      <c r="U561" s="2"/>
      <c r="V561" s="2"/>
      <c r="W561" s="2212"/>
      <c r="X561" s="2099"/>
      <c r="JB561" s="1"/>
    </row>
    <row r="562" spans="1:262" s="551" customFormat="1" ht="19.5" customHeight="1">
      <c r="B562" s="552" t="s">
        <v>5513</v>
      </c>
      <c r="C562" s="553"/>
      <c r="D562" s="554"/>
      <c r="E562" s="555"/>
      <c r="F562" s="556"/>
      <c r="G562" s="556"/>
      <c r="H562" s="557"/>
      <c r="I562" s="558"/>
      <c r="J562" s="559"/>
      <c r="K562" s="559"/>
      <c r="L562" s="559"/>
      <c r="M562" s="559"/>
      <c r="N562" s="559"/>
      <c r="O562" s="559"/>
      <c r="P562" s="559"/>
      <c r="Q562" s="780"/>
      <c r="R562" s="780"/>
      <c r="S562" s="780"/>
      <c r="T562" s="780"/>
      <c r="U562" s="559"/>
      <c r="V562" s="781"/>
      <c r="W562" s="782"/>
      <c r="X562" s="783"/>
      <c r="Y562" s="559"/>
    </row>
    <row r="563" spans="1:262" s="2099" customFormat="1" ht="123" customHeight="1">
      <c r="B563" s="2295" t="s">
        <v>955</v>
      </c>
      <c r="C563" s="2286" t="s">
        <v>5514</v>
      </c>
      <c r="D563" s="2287" t="s">
        <v>5553</v>
      </c>
      <c r="E563" s="2288" t="s">
        <v>5515</v>
      </c>
      <c r="F563" s="2289" t="s">
        <v>5516</v>
      </c>
      <c r="G563" s="2290"/>
      <c r="H563" s="2291"/>
      <c r="I563" s="963" t="s">
        <v>5560</v>
      </c>
      <c r="J563" s="2314"/>
      <c r="K563" s="2293"/>
      <c r="L563" s="2293"/>
      <c r="M563" s="2104"/>
      <c r="N563" s="2293"/>
      <c r="O563" s="2293"/>
      <c r="P563" s="2293"/>
      <c r="Q563" s="2104"/>
      <c r="R563" s="2104"/>
      <c r="S563" s="2104"/>
      <c r="T563" s="2104"/>
      <c r="U563" s="2293"/>
      <c r="V563" s="2294"/>
      <c r="W563" s="2105"/>
      <c r="X563" s="2105"/>
      <c r="Y563" s="2105"/>
    </row>
    <row r="564" spans="1:262" ht="117" customHeight="1">
      <c r="B564" s="2738" t="s">
        <v>5353</v>
      </c>
      <c r="C564" s="973" t="s">
        <v>5405</v>
      </c>
      <c r="D564" s="715" t="s">
        <v>5357</v>
      </c>
      <c r="E564" s="715" t="s">
        <v>5358</v>
      </c>
      <c r="F564" s="2222" t="s">
        <v>5359</v>
      </c>
      <c r="G564" s="599" t="s">
        <v>5390</v>
      </c>
      <c r="H564" s="2"/>
      <c r="I564" s="2260" t="s">
        <v>5468</v>
      </c>
      <c r="J564" s="2"/>
      <c r="K564" s="2"/>
      <c r="L564" s="2"/>
      <c r="M564" s="2"/>
      <c r="N564" s="2"/>
      <c r="O564" s="2"/>
      <c r="P564" s="2"/>
      <c r="Q564" s="2082"/>
      <c r="R564" s="2082"/>
      <c r="S564" s="2"/>
      <c r="T564" s="2"/>
    </row>
    <row r="565" spans="1:262" s="2099" customFormat="1" ht="138.75" customHeight="1">
      <c r="B565" s="2316" t="s">
        <v>5099</v>
      </c>
      <c r="C565" s="2317" t="s">
        <v>5076</v>
      </c>
      <c r="D565" s="2220" t="s">
        <v>5558</v>
      </c>
      <c r="E565" s="2100" t="s">
        <v>5559</v>
      </c>
      <c r="F565" s="2106" t="s">
        <v>5200</v>
      </c>
      <c r="G565" s="2290"/>
      <c r="H565" s="2291"/>
      <c r="I565" s="2292"/>
      <c r="J565" s="2315"/>
      <c r="K565" s="2293"/>
      <c r="L565" s="2293"/>
      <c r="M565" s="2104"/>
      <c r="N565" s="2293"/>
      <c r="O565" s="2293"/>
      <c r="P565" s="2293"/>
      <c r="Q565" s="2104"/>
      <c r="R565" s="2104"/>
      <c r="S565" s="2104"/>
      <c r="T565" s="2104"/>
      <c r="U565" s="2293"/>
      <c r="V565" s="2294"/>
      <c r="W565" s="2105"/>
      <c r="X565" s="2105"/>
      <c r="Y565" s="2105"/>
    </row>
    <row r="566" spans="1:262" s="1" customFormat="1" ht="110.25" customHeight="1">
      <c r="A566" s="340">
        <v>8</v>
      </c>
      <c r="B566" s="872" t="s">
        <v>4796</v>
      </c>
      <c r="C566" s="497" t="s">
        <v>4446</v>
      </c>
      <c r="D566" s="398" t="s">
        <v>5355</v>
      </c>
      <c r="E566" s="119" t="s">
        <v>4775</v>
      </c>
      <c r="F566" s="1957" t="s">
        <v>4811</v>
      </c>
      <c r="G566" s="672"/>
      <c r="H566" s="672" t="s">
        <v>5412</v>
      </c>
      <c r="I566" s="963" t="s">
        <v>5560</v>
      </c>
      <c r="J566" s="2027" t="s">
        <v>5413</v>
      </c>
      <c r="K566" s="690"/>
      <c r="L566" s="45"/>
      <c r="M566" s="44"/>
      <c r="N566" s="812"/>
      <c r="O566" s="599"/>
      <c r="P566" s="760"/>
      <c r="Q566" s="1961"/>
      <c r="R566" s="510"/>
      <c r="S566" s="510"/>
      <c r="T566" s="510"/>
      <c r="U566" s="2"/>
      <c r="V566" s="659"/>
      <c r="W566" s="680"/>
    </row>
    <row r="567" spans="1:262" s="773" customFormat="1" ht="57" customHeight="1">
      <c r="A567" s="340">
        <v>10</v>
      </c>
      <c r="B567" s="336" t="s">
        <v>5131</v>
      </c>
      <c r="C567" s="502" t="s">
        <v>4340</v>
      </c>
      <c r="D567" s="502" t="s">
        <v>5356</v>
      </c>
      <c r="E567" s="2270" t="s">
        <v>4357</v>
      </c>
      <c r="F567" s="1959">
        <v>15000</v>
      </c>
      <c r="G567" s="1918" t="s">
        <v>5130</v>
      </c>
      <c r="H567" s="1994" t="s">
        <v>4842</v>
      </c>
      <c r="I567" s="963" t="s">
        <v>5560</v>
      </c>
      <c r="J567" s="66"/>
      <c r="K567" s="340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</row>
    <row r="568" spans="1:262" s="1" customFormat="1" ht="68.25" customHeight="1">
      <c r="A568" s="1918">
        <v>14</v>
      </c>
      <c r="B568" s="639" t="s">
        <v>4932</v>
      </c>
      <c r="C568" s="502" t="s">
        <v>4935</v>
      </c>
      <c r="D568" s="502" t="s">
        <v>4933</v>
      </c>
      <c r="E568" s="502" t="s">
        <v>5453</v>
      </c>
      <c r="F568" s="610" t="s">
        <v>4934</v>
      </c>
      <c r="G568" s="1931" t="s">
        <v>5009</v>
      </c>
      <c r="H568" s="1931"/>
      <c r="I568" s="400"/>
      <c r="J568" s="884"/>
      <c r="K568" s="2041"/>
      <c r="L568" s="172"/>
      <c r="M568" s="562"/>
      <c r="N568" s="681"/>
      <c r="O568" s="2"/>
      <c r="P568" s="918"/>
      <c r="Q568" s="919"/>
      <c r="R568" s="839"/>
      <c r="S568" s="839"/>
      <c r="T568" s="679"/>
      <c r="U568" s="2"/>
      <c r="V568" s="2"/>
    </row>
    <row r="569" spans="1:262" ht="102.75">
      <c r="A569" s="2">
        <v>24</v>
      </c>
      <c r="B569" s="2213" t="s">
        <v>5132</v>
      </c>
      <c r="C569" s="2077" t="s">
        <v>5024</v>
      </c>
      <c r="D569" s="2077" t="s">
        <v>5439</v>
      </c>
      <c r="E569" s="139" t="s">
        <v>5440</v>
      </c>
      <c r="F569" s="2078" t="s">
        <v>5021</v>
      </c>
      <c r="G569" s="139" t="s">
        <v>5441</v>
      </c>
      <c r="H569" s="139" t="s">
        <v>5031</v>
      </c>
      <c r="I569" s="203" t="s">
        <v>5460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62" s="975" customFormat="1" ht="57" customHeight="1">
      <c r="A570" s="599">
        <v>38</v>
      </c>
      <c r="B570" s="335" t="s">
        <v>5173</v>
      </c>
      <c r="C570" s="502" t="s">
        <v>5172</v>
      </c>
      <c r="D570" s="2136" t="s">
        <v>5159</v>
      </c>
      <c r="E570" s="502" t="s">
        <v>5160</v>
      </c>
      <c r="F570" s="502" t="s">
        <v>5161</v>
      </c>
      <c r="G570" s="599" t="s">
        <v>5210</v>
      </c>
      <c r="H570" s="599"/>
      <c r="I570" s="2278"/>
      <c r="J570" s="1016"/>
      <c r="K570" s="1094"/>
      <c r="L570" s="599"/>
      <c r="M570" s="599"/>
      <c r="N570" s="599"/>
      <c r="O570" s="599"/>
      <c r="P570" s="599"/>
      <c r="Q570" s="599"/>
      <c r="R570" s="599"/>
      <c r="S570" s="599"/>
      <c r="T570" s="599"/>
      <c r="U570" s="599"/>
      <c r="V570" s="599"/>
      <c r="W570" s="599"/>
      <c r="X570" s="973"/>
      <c r="Y570" s="973"/>
      <c r="Z570" s="973"/>
      <c r="AA570" s="973"/>
      <c r="AB570" s="973"/>
      <c r="AC570" s="973"/>
      <c r="AD570" s="973"/>
      <c r="AE570" s="973"/>
      <c r="AF570" s="973"/>
      <c r="AG570" s="973"/>
      <c r="AH570" s="973"/>
      <c r="AI570" s="973"/>
      <c r="AJ570" s="973"/>
      <c r="AK570" s="973"/>
      <c r="AL570" s="973"/>
      <c r="AM570" s="973"/>
      <c r="AN570" s="973"/>
      <c r="AO570" s="973"/>
      <c r="AP570" s="973"/>
      <c r="AQ570" s="973"/>
      <c r="AR570" s="973"/>
      <c r="AS570" s="973"/>
      <c r="AT570" s="973"/>
      <c r="AU570" s="973"/>
      <c r="AV570" s="973"/>
      <c r="AW570" s="973"/>
      <c r="AX570" s="973"/>
      <c r="AY570" s="973"/>
      <c r="AZ570" s="973"/>
      <c r="BA570" s="973"/>
      <c r="BB570" s="973"/>
      <c r="BC570" s="973"/>
      <c r="BD570" s="973"/>
      <c r="BE570" s="973"/>
      <c r="BF570" s="973"/>
      <c r="BG570" s="973"/>
      <c r="BH570" s="973"/>
      <c r="BI570" s="973"/>
      <c r="BJ570" s="973"/>
      <c r="BK570" s="973"/>
      <c r="BL570" s="973"/>
      <c r="BM570" s="973"/>
      <c r="BN570" s="973"/>
      <c r="BO570" s="973"/>
      <c r="BP570" s="973"/>
      <c r="BQ570" s="973"/>
      <c r="BR570" s="973"/>
      <c r="BS570" s="973"/>
      <c r="BT570" s="973"/>
      <c r="BU570" s="973"/>
      <c r="BV570" s="973"/>
      <c r="BW570" s="973"/>
      <c r="BX570" s="973"/>
      <c r="BY570" s="973"/>
      <c r="BZ570" s="973"/>
      <c r="CA570" s="973"/>
      <c r="CB570" s="973"/>
      <c r="CC570" s="973"/>
      <c r="CD570" s="973"/>
      <c r="CE570" s="973"/>
      <c r="CF570" s="973"/>
      <c r="CG570" s="973"/>
      <c r="CH570" s="973"/>
      <c r="CI570" s="973"/>
      <c r="CJ570" s="973"/>
      <c r="CK570" s="973"/>
      <c r="CL570" s="973"/>
      <c r="CM570" s="973"/>
      <c r="CN570" s="973"/>
      <c r="CO570" s="973"/>
      <c r="CP570" s="973"/>
      <c r="CQ570" s="973"/>
      <c r="CR570" s="973"/>
      <c r="CS570" s="973"/>
      <c r="CT570" s="973"/>
      <c r="CU570" s="973"/>
      <c r="CV570" s="973"/>
      <c r="CW570" s="973"/>
      <c r="CX570" s="973"/>
      <c r="CY570" s="973"/>
      <c r="CZ570" s="973"/>
      <c r="DA570" s="973"/>
      <c r="DB570" s="973"/>
      <c r="DC570" s="973"/>
      <c r="DD570" s="973"/>
      <c r="DE570" s="973"/>
      <c r="DF570" s="973"/>
      <c r="DG570" s="973"/>
      <c r="DH570" s="973"/>
      <c r="DI570" s="973"/>
      <c r="DJ570" s="973"/>
      <c r="DK570" s="973"/>
      <c r="DL570" s="973"/>
      <c r="DM570" s="973"/>
      <c r="DN570" s="973"/>
      <c r="DO570" s="973"/>
      <c r="DP570" s="973"/>
      <c r="DQ570" s="973"/>
      <c r="DR570" s="973"/>
      <c r="DS570" s="973"/>
      <c r="DT570" s="973"/>
      <c r="DU570" s="973"/>
      <c r="DV570" s="973"/>
      <c r="DW570" s="973"/>
      <c r="DX570" s="973"/>
      <c r="DY570" s="973"/>
      <c r="DZ570" s="973"/>
      <c r="EA570" s="973"/>
      <c r="EB570" s="973"/>
      <c r="EC570" s="973"/>
      <c r="ED570" s="973"/>
      <c r="EE570" s="973"/>
      <c r="EF570" s="973"/>
      <c r="EG570" s="973"/>
      <c r="EH570" s="973"/>
      <c r="EI570" s="973"/>
      <c r="EJ570" s="973"/>
      <c r="EK570" s="973"/>
      <c r="EL570" s="973"/>
      <c r="EM570" s="973"/>
      <c r="EN570" s="973"/>
      <c r="EO570" s="973"/>
      <c r="EP570" s="973"/>
      <c r="EQ570" s="973"/>
      <c r="ER570" s="973"/>
      <c r="ES570" s="973"/>
      <c r="ET570" s="973"/>
      <c r="EU570" s="973"/>
      <c r="EV570" s="973"/>
      <c r="EW570" s="973"/>
      <c r="EX570" s="973"/>
      <c r="EY570" s="973"/>
      <c r="EZ570" s="973"/>
      <c r="FA570" s="973"/>
      <c r="FB570" s="973"/>
      <c r="FC570" s="973"/>
      <c r="FD570" s="973"/>
      <c r="FE570" s="973"/>
      <c r="FF570" s="973"/>
      <c r="FG570" s="973"/>
      <c r="FH570" s="973"/>
      <c r="FI570" s="973"/>
      <c r="FJ570" s="973"/>
      <c r="FK570" s="973"/>
      <c r="FL570" s="973"/>
      <c r="FM570" s="973"/>
      <c r="FN570" s="973"/>
      <c r="FO570" s="973"/>
      <c r="FP570" s="973"/>
      <c r="FQ570" s="973"/>
      <c r="FR570" s="973"/>
      <c r="FS570" s="973"/>
      <c r="FT570" s="973"/>
      <c r="FU570" s="973"/>
      <c r="FV570" s="973"/>
      <c r="FW570" s="973"/>
      <c r="FX570" s="973"/>
      <c r="FY570" s="973"/>
      <c r="FZ570" s="973"/>
      <c r="GA570" s="973"/>
      <c r="GB570" s="973"/>
      <c r="GC570" s="973"/>
      <c r="GD570" s="973"/>
      <c r="GE570" s="973"/>
      <c r="GF570" s="973"/>
      <c r="GG570" s="973"/>
      <c r="GH570" s="973"/>
      <c r="GI570" s="973"/>
      <c r="GJ570" s="973"/>
      <c r="GK570" s="973"/>
      <c r="GL570" s="973"/>
      <c r="GM570" s="973"/>
      <c r="GN570" s="973"/>
      <c r="GO570" s="973"/>
      <c r="GP570" s="973"/>
      <c r="GQ570" s="973"/>
      <c r="GR570" s="973"/>
      <c r="GS570" s="973"/>
      <c r="GT570" s="973"/>
      <c r="GU570" s="973"/>
      <c r="GV570" s="973"/>
      <c r="GW570" s="973"/>
      <c r="GX570" s="973"/>
      <c r="GY570" s="973"/>
      <c r="GZ570" s="973"/>
      <c r="HA570" s="973"/>
      <c r="HB570" s="973"/>
      <c r="HC570" s="973"/>
      <c r="HD570" s="973"/>
      <c r="HE570" s="973"/>
      <c r="HF570" s="973"/>
      <c r="HG570" s="973"/>
      <c r="HH570" s="973"/>
      <c r="HI570" s="973"/>
      <c r="HJ570" s="973"/>
      <c r="HK570" s="973"/>
      <c r="HL570" s="973"/>
      <c r="HM570" s="973"/>
      <c r="HN570" s="973"/>
      <c r="HO570" s="973"/>
      <c r="HP570" s="973"/>
      <c r="HQ570" s="973"/>
      <c r="HR570" s="973"/>
      <c r="HS570" s="973"/>
      <c r="HT570" s="973"/>
      <c r="HU570" s="973"/>
      <c r="HV570" s="973"/>
      <c r="HW570" s="973"/>
      <c r="HX570" s="973"/>
      <c r="HY570" s="973"/>
      <c r="HZ570" s="973"/>
      <c r="IA570" s="973"/>
      <c r="IB570" s="973"/>
      <c r="IC570" s="973"/>
      <c r="ID570" s="973"/>
      <c r="IE570" s="973"/>
      <c r="IF570" s="973"/>
      <c r="IG570" s="973"/>
      <c r="IH570" s="973"/>
      <c r="II570" s="973"/>
      <c r="IJ570" s="973"/>
      <c r="IK570" s="973"/>
      <c r="IL570" s="973"/>
      <c r="IM570" s="973"/>
      <c r="IN570" s="973"/>
      <c r="IO570" s="973"/>
      <c r="IP570" s="973"/>
      <c r="IQ570" s="973"/>
      <c r="IR570" s="973"/>
      <c r="IS570" s="973"/>
      <c r="IT570" s="973"/>
      <c r="IU570" s="973"/>
      <c r="IV570" s="973"/>
    </row>
    <row r="571" spans="1:262" ht="79.5" customHeight="1">
      <c r="B571" s="2037" t="s">
        <v>5397</v>
      </c>
      <c r="C571" s="617" t="s">
        <v>5404</v>
      </c>
      <c r="D571" s="617" t="s">
        <v>5398</v>
      </c>
      <c r="E571" s="2281" t="s">
        <v>5454</v>
      </c>
      <c r="F571" s="2282" t="s">
        <v>5399</v>
      </c>
      <c r="G571" s="2283" t="s">
        <v>5557</v>
      </c>
      <c r="H571" s="436"/>
      <c r="I571" s="2284">
        <v>45931</v>
      </c>
      <c r="J571" s="436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</row>
    <row r="572" spans="1:262" ht="72.75" customHeight="1">
      <c r="A572" s="2"/>
      <c r="B572" s="15" t="s">
        <v>5511</v>
      </c>
      <c r="C572" s="139" t="s">
        <v>5512</v>
      </c>
      <c r="D572" s="139" t="s">
        <v>5532</v>
      </c>
      <c r="E572" s="502" t="s">
        <v>5554</v>
      </c>
      <c r="F572" s="2285">
        <v>425427</v>
      </c>
      <c r="G572" s="139" t="s">
        <v>5441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62" ht="104.25" customHeight="1">
      <c r="A573" s="2"/>
      <c r="B573" s="2313" t="s">
        <v>5546</v>
      </c>
      <c r="C573" s="633" t="s">
        <v>5548</v>
      </c>
      <c r="D573" s="139" t="s">
        <v>5547</v>
      </c>
      <c r="E573" s="2" t="s">
        <v>5549</v>
      </c>
      <c r="F573" s="2312">
        <v>43180</v>
      </c>
      <c r="G573" s="2283" t="s">
        <v>5557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62" ht="120">
      <c r="A574" s="2"/>
      <c r="B574" s="139" t="s">
        <v>5550</v>
      </c>
      <c r="C574" s="139" t="s">
        <v>5555</v>
      </c>
      <c r="D574" s="139" t="s">
        <v>5552</v>
      </c>
      <c r="E574" s="2"/>
      <c r="F574" s="139" t="s">
        <v>5551</v>
      </c>
      <c r="G574" s="141" t="s">
        <v>5009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62">
      <c r="A575" s="2"/>
      <c r="B575" s="2" t="s">
        <v>5556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</sheetData>
  <mergeCells count="203">
    <mergeCell ref="A409:A411"/>
    <mergeCell ref="B197:B198"/>
    <mergeCell ref="B178:B179"/>
    <mergeCell ref="B184:B185"/>
    <mergeCell ref="B187:B189"/>
    <mergeCell ref="B192:B193"/>
    <mergeCell ref="B233:B234"/>
    <mergeCell ref="A418:A424"/>
    <mergeCell ref="B499:B500"/>
    <mergeCell ref="A395:A396"/>
    <mergeCell ref="A345:A348"/>
    <mergeCell ref="A324:A325"/>
    <mergeCell ref="A362:A363"/>
    <mergeCell ref="A201:B202"/>
    <mergeCell ref="B203:B205"/>
    <mergeCell ref="A272:A273"/>
    <mergeCell ref="A280:A281"/>
    <mergeCell ref="A315:A316"/>
    <mergeCell ref="C272:C273"/>
    <mergeCell ref="C269:C270"/>
    <mergeCell ref="B337:B338"/>
    <mergeCell ref="B250:B251"/>
    <mergeCell ref="B256:B258"/>
    <mergeCell ref="C256:C258"/>
    <mergeCell ref="C246:C249"/>
    <mergeCell ref="B315:B316"/>
    <mergeCell ref="B523:B525"/>
    <mergeCell ref="B280:B281"/>
    <mergeCell ref="B282:B285"/>
    <mergeCell ref="B286:B287"/>
    <mergeCell ref="B296:B297"/>
    <mergeCell ref="B272:B273"/>
    <mergeCell ref="C457:C458"/>
    <mergeCell ref="B436:B437"/>
    <mergeCell ref="C436:C437"/>
    <mergeCell ref="B8:B11"/>
    <mergeCell ref="C8:C9"/>
    <mergeCell ref="E8:E9"/>
    <mergeCell ref="B13:B17"/>
    <mergeCell ref="C13:C14"/>
    <mergeCell ref="D13:D14"/>
    <mergeCell ref="E13:E14"/>
    <mergeCell ref="B133:B134"/>
    <mergeCell ref="C133:C134"/>
    <mergeCell ref="D133:D134"/>
    <mergeCell ref="D114:D115"/>
    <mergeCell ref="B121:B122"/>
    <mergeCell ref="C121:C122"/>
    <mergeCell ref="D121:D122"/>
    <mergeCell ref="B87:B102"/>
    <mergeCell ref="B103:B110"/>
    <mergeCell ref="B111:B113"/>
    <mergeCell ref="B114:B115"/>
    <mergeCell ref="C114:C115"/>
    <mergeCell ref="B60:B61"/>
    <mergeCell ref="C60:C61"/>
    <mergeCell ref="E60:E61"/>
    <mergeCell ref="A32:A36"/>
    <mergeCell ref="A37:A38"/>
    <mergeCell ref="A39:A41"/>
    <mergeCell ref="C197:C198"/>
    <mergeCell ref="A59:A60"/>
    <mergeCell ref="A62:A64"/>
    <mergeCell ref="B71:B73"/>
    <mergeCell ref="C71:C73"/>
    <mergeCell ref="D71:D73"/>
    <mergeCell ref="B195:B196"/>
    <mergeCell ref="B170:B172"/>
    <mergeCell ref="B161:B165"/>
    <mergeCell ref="C161:C162"/>
    <mergeCell ref="B152:B153"/>
    <mergeCell ref="B155:B157"/>
    <mergeCell ref="C155:C156"/>
    <mergeCell ref="B174:B175"/>
    <mergeCell ref="C174:C175"/>
    <mergeCell ref="B74:B86"/>
    <mergeCell ref="B158:B159"/>
    <mergeCell ref="J13:J14"/>
    <mergeCell ref="B18:B22"/>
    <mergeCell ref="B23:B31"/>
    <mergeCell ref="B57:B58"/>
    <mergeCell ref="C57:C58"/>
    <mergeCell ref="E57:E58"/>
    <mergeCell ref="B33:B36"/>
    <mergeCell ref="F13:F14"/>
    <mergeCell ref="B39:B53"/>
    <mergeCell ref="C39:C50"/>
    <mergeCell ref="B54:B56"/>
    <mergeCell ref="C55:C56"/>
    <mergeCell ref="E55:E56"/>
    <mergeCell ref="G13:G14"/>
    <mergeCell ref="H13:H14"/>
    <mergeCell ref="I13:I14"/>
    <mergeCell ref="U399:U400"/>
    <mergeCell ref="F358:F359"/>
    <mergeCell ref="B397:B398"/>
    <mergeCell ref="D397:D398"/>
    <mergeCell ref="C378:C379"/>
    <mergeCell ref="G399:G402"/>
    <mergeCell ref="I399:I402"/>
    <mergeCell ref="J399:J402"/>
    <mergeCell ref="E399:E402"/>
    <mergeCell ref="B364:B365"/>
    <mergeCell ref="T399:T400"/>
    <mergeCell ref="P399:P400"/>
    <mergeCell ref="Q399:Q400"/>
    <mergeCell ref="L399:L400"/>
    <mergeCell ref="M399:M400"/>
    <mergeCell ref="N399:N400"/>
    <mergeCell ref="X370:X371"/>
    <mergeCell ref="F362:F363"/>
    <mergeCell ref="H358:H359"/>
    <mergeCell ref="D358:D359"/>
    <mergeCell ref="B362:B363"/>
    <mergeCell ref="C362:C363"/>
    <mergeCell ref="B355:B360"/>
    <mergeCell ref="R352:R353"/>
    <mergeCell ref="U352:U353"/>
    <mergeCell ref="C358:C359"/>
    <mergeCell ref="P352:P353"/>
    <mergeCell ref="Q352:Q353"/>
    <mergeCell ref="F197:F198"/>
    <mergeCell ref="F174:F175"/>
    <mergeCell ref="H246:H247"/>
    <mergeCell ref="I246:I249"/>
    <mergeCell ref="J246:J249"/>
    <mergeCell ref="D248:D249"/>
    <mergeCell ref="B207:B210"/>
    <mergeCell ref="C207:C210"/>
    <mergeCell ref="D207:D208"/>
    <mergeCell ref="E207:E210"/>
    <mergeCell ref="F207:F210"/>
    <mergeCell ref="G207:G208"/>
    <mergeCell ref="A238:B238"/>
    <mergeCell ref="B244:B245"/>
    <mergeCell ref="D246:D247"/>
    <mergeCell ref="E246:E249"/>
    <mergeCell ref="C233:C234"/>
    <mergeCell ref="F233:F234"/>
    <mergeCell ref="F246:F249"/>
    <mergeCell ref="B231:B232"/>
    <mergeCell ref="H207:H208"/>
    <mergeCell ref="I207:I210"/>
    <mergeCell ref="J207:J210"/>
    <mergeCell ref="B246:B249"/>
    <mergeCell ref="B2:G2"/>
    <mergeCell ref="B381:B382"/>
    <mergeCell ref="E358:E359"/>
    <mergeCell ref="D378:D379"/>
    <mergeCell ref="C312:C314"/>
    <mergeCell ref="G246:G247"/>
    <mergeCell ref="B166:B168"/>
    <mergeCell ref="C166:C167"/>
    <mergeCell ref="D174:D175"/>
    <mergeCell ref="F272:F273"/>
    <mergeCell ref="F306:F308"/>
    <mergeCell ref="B312:B314"/>
    <mergeCell ref="C308:C310"/>
    <mergeCell ref="B298:B299"/>
    <mergeCell ref="B349:B351"/>
    <mergeCell ref="F315:F316"/>
    <mergeCell ref="E306:E308"/>
    <mergeCell ref="B306:B309"/>
    <mergeCell ref="D306:D308"/>
    <mergeCell ref="D335:D336"/>
    <mergeCell ref="B318:B319"/>
    <mergeCell ref="G174:G175"/>
    <mergeCell ref="C315:C316"/>
    <mergeCell ref="B263:B268"/>
    <mergeCell ref="J61:K61"/>
    <mergeCell ref="B211:B212"/>
    <mergeCell ref="B223:B225"/>
    <mergeCell ref="F423:F424"/>
    <mergeCell ref="B428:B429"/>
    <mergeCell ref="C428:C429"/>
    <mergeCell ref="E428:E429"/>
    <mergeCell ref="B409:B411"/>
    <mergeCell ref="D423:D424"/>
    <mergeCell ref="E423:E424"/>
    <mergeCell ref="I158:I159"/>
    <mergeCell ref="H306:H308"/>
    <mergeCell ref="I161:I162"/>
    <mergeCell ref="H174:H175"/>
    <mergeCell ref="I174:I175"/>
    <mergeCell ref="J174:J175"/>
    <mergeCell ref="B62:B64"/>
    <mergeCell ref="B68:B70"/>
    <mergeCell ref="E174:E175"/>
    <mergeCell ref="B340:B341"/>
    <mergeCell ref="C263:C264"/>
    <mergeCell ref="B269:B270"/>
    <mergeCell ref="D209:D210"/>
    <mergeCell ref="F155:F156"/>
    <mergeCell ref="D436:D437"/>
    <mergeCell ref="F436:F437"/>
    <mergeCell ref="C337:C338"/>
    <mergeCell ref="B324:B325"/>
    <mergeCell ref="B326:B327"/>
    <mergeCell ref="C326:C327"/>
    <mergeCell ref="B331:B332"/>
    <mergeCell ref="B335:B336"/>
    <mergeCell ref="C335:C336"/>
    <mergeCell ref="C423:C424"/>
  </mergeCells>
  <printOptions gridLines="1"/>
  <pageMargins left="0.75" right="0.75" top="1" bottom="1" header="0.51200000000000001" footer="0.51200000000000001"/>
  <pageSetup paperSize="9" scale="10" firstPageNumber="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A935"/>
  <sheetViews>
    <sheetView view="pageBreakPreview" zoomScale="64" zoomScaleNormal="64" zoomScaleSheetLayoutView="64" workbookViewId="0">
      <pane ySplit="7" topLeftCell="A752" activePane="bottomLeft" state="frozen"/>
      <selection pane="bottomLeft" activeCell="L755" sqref="L755"/>
    </sheetView>
  </sheetViews>
  <sheetFormatPr defaultColWidth="9.140625" defaultRowHeight="15" outlineLevelCol="1"/>
  <cols>
    <col min="1" max="1" width="4.42578125" style="973" customWidth="1"/>
    <col min="2" max="2" width="27" style="973" customWidth="1"/>
    <col min="3" max="3" width="47.140625" style="973" customWidth="1"/>
    <col min="4" max="4" width="23.140625" style="973" customWidth="1"/>
    <col min="5" max="5" width="14.7109375" style="973" customWidth="1"/>
    <col min="6" max="6" width="20" style="973" customWidth="1"/>
    <col min="7" max="7" width="15.5703125" style="973" customWidth="1" outlineLevel="1"/>
    <col min="8" max="8" width="16.7109375" style="973" customWidth="1" outlineLevel="1"/>
    <col min="9" max="9" width="15.28515625" style="973" customWidth="1" outlineLevel="1"/>
    <col min="10" max="10" width="15.85546875" style="974" customWidth="1" outlineLevel="1"/>
    <col min="11" max="11" width="19.28515625" style="973" customWidth="1" outlineLevel="1"/>
    <col min="12" max="12" width="15.85546875" style="973" customWidth="1" outlineLevel="1"/>
    <col min="13" max="13" width="20.7109375" style="973" customWidth="1"/>
    <col min="14" max="14" width="32.42578125" style="973" customWidth="1"/>
    <col min="15" max="15" width="18.42578125" style="973" customWidth="1"/>
    <col min="16" max="16" width="21.28515625" style="973" customWidth="1"/>
    <col min="17" max="17" width="22" style="973" customWidth="1"/>
    <col min="18" max="18" width="18" style="973" customWidth="1"/>
    <col min="19" max="19" width="15.42578125" style="973" customWidth="1"/>
    <col min="20" max="20" width="19.42578125" style="973" customWidth="1"/>
    <col min="21" max="21" width="17.42578125" style="973" customWidth="1" outlineLevel="1"/>
    <col min="22" max="22" width="13.28515625" style="973" customWidth="1" outlineLevel="1"/>
    <col min="23" max="23" width="16.42578125" style="973" customWidth="1" outlineLevel="1"/>
    <col min="24" max="24" width="15.28515625" style="973" customWidth="1" outlineLevel="1"/>
    <col min="25" max="25" width="8.140625" style="973" customWidth="1" outlineLevel="1"/>
    <col min="26" max="26" width="9" style="973" customWidth="1"/>
    <col min="27" max="27" width="8.42578125" style="973" customWidth="1"/>
    <col min="28" max="28" width="11.42578125" style="973"/>
    <col min="29" max="29" width="12.7109375" style="973" customWidth="1"/>
    <col min="30" max="30" width="14.85546875" style="973" customWidth="1"/>
    <col min="31" max="256" width="9.140625" style="973" customWidth="1"/>
    <col min="257" max="1024" width="9.140625" style="975" customWidth="1"/>
    <col min="1025" max="16384" width="9.140625" style="975"/>
  </cols>
  <sheetData>
    <row r="1" spans="1:34">
      <c r="C1" s="973" t="s">
        <v>65</v>
      </c>
      <c r="I1" s="973" t="s">
        <v>1121</v>
      </c>
      <c r="N1" s="973" t="s">
        <v>1122</v>
      </c>
    </row>
    <row r="2" spans="1:34" s="973" customFormat="1" ht="30" customHeight="1">
      <c r="B2" s="2678" t="s">
        <v>1123</v>
      </c>
      <c r="C2" s="2678"/>
      <c r="D2" s="2678"/>
      <c r="E2" s="2678"/>
      <c r="F2" s="2678"/>
      <c r="G2" s="2678"/>
      <c r="H2" s="2678"/>
      <c r="J2" s="976"/>
      <c r="K2" s="973" t="s">
        <v>1122</v>
      </c>
    </row>
    <row r="3" spans="1:34" ht="13.5" customHeight="1" thickBot="1">
      <c r="B3" s="977"/>
      <c r="C3" s="977"/>
      <c r="L3" s="978"/>
      <c r="N3" s="974"/>
      <c r="Z3" s="979"/>
      <c r="AA3" s="973" t="s">
        <v>1124</v>
      </c>
    </row>
    <row r="4" spans="1:34" ht="25.5" customHeight="1" thickBot="1">
      <c r="A4" s="980"/>
      <c r="B4" s="2679" t="s">
        <v>65</v>
      </c>
      <c r="C4" s="2679"/>
      <c r="D4" s="2679"/>
      <c r="E4" s="2679"/>
      <c r="F4" s="2679"/>
      <c r="G4" s="2679"/>
      <c r="H4" s="2679"/>
      <c r="I4" s="2679"/>
      <c r="J4" s="2679"/>
      <c r="K4" s="2679"/>
      <c r="L4" s="981"/>
      <c r="M4" s="2674" t="s">
        <v>10</v>
      </c>
      <c r="N4" s="2675"/>
      <c r="O4" s="2675"/>
      <c r="P4" s="2675"/>
      <c r="Q4" s="2675"/>
      <c r="R4" s="2675"/>
      <c r="S4" s="2675"/>
      <c r="T4" s="2675"/>
      <c r="U4" s="2675"/>
      <c r="V4" s="2675"/>
      <c r="W4" s="982" t="s">
        <v>1125</v>
      </c>
      <c r="X4" s="982"/>
      <c r="Y4" s="983" t="s">
        <v>1126</v>
      </c>
      <c r="Z4" s="599"/>
      <c r="AA4" s="599"/>
      <c r="AB4" s="599"/>
      <c r="AC4" s="984"/>
      <c r="AD4" s="599"/>
      <c r="AE4" s="599"/>
      <c r="AF4" s="599"/>
      <c r="AG4" s="599"/>
      <c r="AH4" s="599"/>
    </row>
    <row r="5" spans="1:34" ht="43.5" customHeight="1">
      <c r="A5" s="823" t="s">
        <v>2</v>
      </c>
      <c r="B5" s="823" t="s">
        <v>3</v>
      </c>
      <c r="C5" s="823"/>
      <c r="D5" s="823" t="s">
        <v>4</v>
      </c>
      <c r="E5" s="823" t="s">
        <v>5</v>
      </c>
      <c r="F5" s="823" t="s">
        <v>1127</v>
      </c>
      <c r="G5" s="823" t="s">
        <v>1128</v>
      </c>
      <c r="H5" s="823" t="s">
        <v>1129</v>
      </c>
      <c r="I5" s="823" t="s">
        <v>1130</v>
      </c>
      <c r="J5" s="985" t="s">
        <v>1131</v>
      </c>
      <c r="K5" s="986" t="s">
        <v>1132</v>
      </c>
      <c r="L5" s="823" t="s">
        <v>1133</v>
      </c>
      <c r="M5" s="987" t="s">
        <v>4</v>
      </c>
      <c r="N5" s="823" t="s">
        <v>1134</v>
      </c>
      <c r="O5" s="823" t="s">
        <v>1135</v>
      </c>
      <c r="P5" s="823" t="s">
        <v>1136</v>
      </c>
      <c r="Q5" s="823" t="s">
        <v>1137</v>
      </c>
      <c r="R5" s="988" t="s">
        <v>1138</v>
      </c>
      <c r="S5" s="986" t="s">
        <v>1139</v>
      </c>
      <c r="T5" s="989"/>
      <c r="U5" s="989" t="s">
        <v>1140</v>
      </c>
      <c r="V5" s="990" t="s">
        <v>1141</v>
      </c>
      <c r="W5" s="446" t="s">
        <v>1142</v>
      </c>
      <c r="X5" s="991" t="s">
        <v>1143</v>
      </c>
      <c r="Y5" s="991" t="s">
        <v>1144</v>
      </c>
      <c r="Z5" s="992" t="s">
        <v>1145</v>
      </c>
      <c r="AA5" s="992" t="s">
        <v>1146</v>
      </c>
      <c r="AB5" s="993" t="s">
        <v>1147</v>
      </c>
      <c r="AC5" s="994" t="s">
        <v>1148</v>
      </c>
      <c r="AD5" s="599" t="s">
        <v>1149</v>
      </c>
      <c r="AE5" s="599" t="s">
        <v>1150</v>
      </c>
      <c r="AF5" s="599" t="s">
        <v>1151</v>
      </c>
      <c r="AG5" s="599" t="s">
        <v>1152</v>
      </c>
      <c r="AH5" s="599" t="s">
        <v>1153</v>
      </c>
    </row>
    <row r="6" spans="1:34" ht="16.5" customHeight="1">
      <c r="A6" s="446"/>
      <c r="B6" s="446">
        <v>2</v>
      </c>
      <c r="C6" s="446"/>
      <c r="D6" s="446">
        <v>3</v>
      </c>
      <c r="E6" s="446">
        <v>4</v>
      </c>
      <c r="F6" s="446">
        <v>5</v>
      </c>
      <c r="G6" s="446">
        <v>6</v>
      </c>
      <c r="H6" s="446"/>
      <c r="I6" s="446"/>
      <c r="J6" s="995">
        <v>7</v>
      </c>
      <c r="K6" s="922">
        <v>8</v>
      </c>
      <c r="L6" s="446">
        <v>9</v>
      </c>
      <c r="M6" s="996">
        <v>10</v>
      </c>
      <c r="N6" s="599">
        <v>11</v>
      </c>
      <c r="O6" s="599">
        <v>12</v>
      </c>
      <c r="P6" s="599">
        <v>13</v>
      </c>
      <c r="Q6" s="599"/>
      <c r="R6" s="599">
        <v>14</v>
      </c>
      <c r="S6" s="599">
        <v>15</v>
      </c>
      <c r="T6" s="997"/>
      <c r="U6" s="997"/>
      <c r="V6" s="997">
        <v>16</v>
      </c>
      <c r="W6" s="741"/>
      <c r="X6" s="843"/>
      <c r="Y6" s="843"/>
      <c r="Z6" s="741"/>
      <c r="AA6" s="599"/>
      <c r="AB6" s="599"/>
      <c r="AC6" s="984"/>
      <c r="AD6" s="599"/>
      <c r="AE6" s="599"/>
      <c r="AF6" s="599"/>
      <c r="AG6" s="599"/>
      <c r="AH6" s="599"/>
    </row>
    <row r="7" spans="1:34" s="974" customFormat="1" ht="16.5" customHeight="1">
      <c r="A7" s="998">
        <v>1</v>
      </c>
      <c r="B7" s="999" t="s">
        <v>1154</v>
      </c>
      <c r="C7" s="995"/>
      <c r="D7" s="995"/>
      <c r="E7" s="995"/>
      <c r="F7" s="995"/>
      <c r="G7" s="995"/>
      <c r="H7" s="995"/>
      <c r="I7" s="995"/>
      <c r="J7" s="995"/>
      <c r="K7" s="1000"/>
      <c r="L7" s="995"/>
      <c r="M7" s="1001"/>
      <c r="N7" s="995"/>
      <c r="O7" s="1002"/>
      <c r="P7" s="1002"/>
      <c r="Q7" s="1003"/>
      <c r="R7" s="1003"/>
      <c r="S7" s="1003"/>
      <c r="T7" s="1003"/>
      <c r="U7" s="1003"/>
      <c r="V7" s="1002"/>
      <c r="W7" s="1002"/>
      <c r="X7" s="1002"/>
      <c r="Y7" s="1002"/>
      <c r="Z7" s="1002"/>
      <c r="AA7" s="1002"/>
      <c r="AB7" s="1002"/>
      <c r="AC7" s="1003"/>
      <c r="AD7" s="1002"/>
      <c r="AE7" s="1002"/>
      <c r="AF7" s="1002"/>
    </row>
    <row r="8" spans="1:34" s="1010" customFormat="1" ht="32.25" customHeight="1">
      <c r="A8" s="1004" t="s">
        <v>1155</v>
      </c>
      <c r="B8" s="1005" t="s">
        <v>1156</v>
      </c>
      <c r="C8" s="1006" t="s">
        <v>1157</v>
      </c>
      <c r="D8" s="1006" t="s">
        <v>3550</v>
      </c>
      <c r="E8" s="1006"/>
      <c r="F8" s="1006">
        <v>18518964</v>
      </c>
      <c r="G8" s="1006">
        <v>190000</v>
      </c>
      <c r="H8" s="1006">
        <v>451293.67</v>
      </c>
      <c r="I8" s="1006"/>
      <c r="J8" s="1006"/>
      <c r="K8" s="1007"/>
      <c r="L8" s="1006"/>
      <c r="M8" s="1009"/>
      <c r="N8" s="1006"/>
      <c r="O8" s="1006"/>
      <c r="P8" s="1006"/>
      <c r="Q8" s="1007"/>
      <c r="R8" s="1007"/>
      <c r="S8" s="1007"/>
      <c r="T8" s="1007"/>
      <c r="U8" s="1007"/>
      <c r="V8" s="1006"/>
      <c r="W8" s="1006"/>
      <c r="X8" s="1006"/>
      <c r="Y8" s="1006"/>
      <c r="Z8" s="1006"/>
      <c r="AA8" s="1006"/>
      <c r="AB8" s="1006"/>
      <c r="AC8" s="1007"/>
      <c r="AD8" s="1006"/>
      <c r="AE8" s="1006"/>
      <c r="AF8" s="1006"/>
    </row>
    <row r="9" spans="1:34" s="1014" customFormat="1" ht="40.5" customHeight="1">
      <c r="A9" s="1004" t="s">
        <v>1158</v>
      </c>
      <c r="B9" s="1011" t="s">
        <v>1159</v>
      </c>
      <c r="C9" s="1012" t="s">
        <v>1160</v>
      </c>
      <c r="D9" s="1012" t="s">
        <v>1161</v>
      </c>
      <c r="E9" s="1012"/>
      <c r="F9" s="1012">
        <v>99377.3</v>
      </c>
      <c r="G9" s="1012"/>
      <c r="H9" s="1012"/>
      <c r="I9" s="1012"/>
      <c r="J9" s="1002"/>
      <c r="K9" s="1013"/>
      <c r="L9" s="1012"/>
      <c r="M9" s="1009"/>
      <c r="N9" s="1012"/>
      <c r="O9" s="1012"/>
      <c r="P9" s="1012"/>
      <c r="Q9" s="1013"/>
      <c r="R9" s="1013"/>
      <c r="S9" s="1013"/>
      <c r="T9" s="1013"/>
      <c r="U9" s="1013"/>
      <c r="V9" s="1012"/>
      <c r="W9" s="1012"/>
      <c r="X9" s="1012"/>
      <c r="Y9" s="1012"/>
      <c r="Z9" s="1012"/>
      <c r="AA9" s="1012"/>
      <c r="AB9" s="1012"/>
      <c r="AC9" s="1013"/>
      <c r="AD9" s="1012"/>
      <c r="AE9" s="1012"/>
      <c r="AF9" s="1012"/>
    </row>
    <row r="10" spans="1:34" ht="48.75" customHeight="1">
      <c r="A10" s="1004" t="s">
        <v>1162</v>
      </c>
      <c r="B10" s="1015" t="s">
        <v>3551</v>
      </c>
      <c r="C10" s="446" t="s">
        <v>3552</v>
      </c>
      <c r="D10" s="599" t="s">
        <v>1163</v>
      </c>
      <c r="E10" s="446"/>
      <c r="F10" s="1016">
        <v>2424000</v>
      </c>
      <c r="G10" s="1017"/>
      <c r="H10" s="995">
        <v>579000</v>
      </c>
      <c r="I10" s="995"/>
      <c r="J10" s="995">
        <v>579000</v>
      </c>
      <c r="K10" s="922"/>
      <c r="L10" s="580" t="s">
        <v>1164</v>
      </c>
      <c r="M10" s="1017"/>
      <c r="N10" s="446"/>
      <c r="O10" s="599"/>
      <c r="P10" s="599"/>
      <c r="Q10" s="599"/>
      <c r="R10" s="599"/>
      <c r="S10" s="984"/>
      <c r="T10" s="984"/>
      <c r="U10" s="984"/>
      <c r="V10" s="599"/>
      <c r="W10" s="599"/>
      <c r="X10" s="599"/>
      <c r="Y10" s="599"/>
      <c r="Z10" s="599"/>
      <c r="AA10" s="599"/>
      <c r="AB10" s="599"/>
      <c r="AC10" s="984"/>
      <c r="AD10" s="599"/>
      <c r="AE10" s="599"/>
      <c r="AF10" s="599"/>
    </row>
    <row r="11" spans="1:34">
      <c r="A11" s="1004" t="s">
        <v>1165</v>
      </c>
      <c r="B11" s="1018" t="s">
        <v>1166</v>
      </c>
      <c r="C11" s="446" t="s">
        <v>1167</v>
      </c>
      <c r="D11" s="599" t="s">
        <v>1168</v>
      </c>
      <c r="E11" s="446"/>
      <c r="F11" s="1019">
        <v>760200</v>
      </c>
      <c r="G11" s="1017">
        <v>579000</v>
      </c>
      <c r="H11" s="1017"/>
      <c r="I11" s="1017"/>
      <c r="J11" s="995"/>
      <c r="K11" s="922"/>
      <c r="L11" s="580"/>
      <c r="M11" s="1001"/>
      <c r="N11" s="446"/>
      <c r="O11" s="599"/>
      <c r="P11" s="599"/>
      <c r="Q11" s="984"/>
      <c r="R11" s="984"/>
      <c r="S11" s="984"/>
      <c r="T11" s="984"/>
      <c r="U11" s="984"/>
      <c r="V11" s="599"/>
      <c r="W11" s="599"/>
      <c r="X11" s="599"/>
      <c r="Y11" s="599"/>
      <c r="Z11" s="599"/>
      <c r="AA11" s="599"/>
      <c r="AB11" s="599"/>
      <c r="AC11" s="984"/>
      <c r="AD11" s="599"/>
      <c r="AE11" s="599"/>
      <c r="AF11" s="599"/>
    </row>
    <row r="12" spans="1:34" ht="65.25" customHeight="1">
      <c r="A12" s="2654" t="s">
        <v>1169</v>
      </c>
      <c r="B12" s="2662" t="s">
        <v>3553</v>
      </c>
      <c r="C12" s="594" t="s">
        <v>1170</v>
      </c>
      <c r="D12" s="599" t="s">
        <v>1171</v>
      </c>
      <c r="E12" s="446"/>
      <c r="F12" s="1016">
        <v>799966</v>
      </c>
      <c r="G12" s="594"/>
      <c r="H12" s="594">
        <v>579000</v>
      </c>
      <c r="I12" s="594"/>
      <c r="J12" s="1021">
        <v>799966</v>
      </c>
      <c r="K12" s="580">
        <v>39766</v>
      </c>
      <c r="L12" s="580"/>
      <c r="M12" s="1022" t="s">
        <v>3554</v>
      </c>
      <c r="N12" s="1023" t="s">
        <v>3555</v>
      </c>
      <c r="O12" s="599">
        <v>450000</v>
      </c>
      <c r="P12" s="599">
        <v>450000</v>
      </c>
      <c r="Q12" s="599"/>
      <c r="R12" s="1002">
        <v>450000</v>
      </c>
      <c r="S12" s="984"/>
      <c r="T12" s="984"/>
      <c r="U12" s="984"/>
      <c r="V12" s="599"/>
      <c r="W12" s="446" t="s">
        <v>401</v>
      </c>
      <c r="X12" s="446"/>
      <c r="Y12" s="599"/>
      <c r="Z12" s="599"/>
      <c r="AA12" s="599"/>
      <c r="AB12" s="599"/>
      <c r="AC12" s="984"/>
      <c r="AD12" s="599"/>
      <c r="AE12" s="599"/>
      <c r="AF12" s="599"/>
    </row>
    <row r="13" spans="1:34" ht="32.25" customHeight="1">
      <c r="A13" s="2654"/>
      <c r="B13" s="2662"/>
      <c r="C13" s="594"/>
      <c r="D13" s="599"/>
      <c r="E13" s="446"/>
      <c r="F13" s="1016"/>
      <c r="G13" s="594"/>
      <c r="H13" s="594"/>
      <c r="I13" s="594"/>
      <c r="J13" s="1021"/>
      <c r="K13" s="1024"/>
      <c r="L13" s="580"/>
      <c r="M13" s="1001" t="s">
        <v>1172</v>
      </c>
      <c r="N13" s="594" t="s">
        <v>3556</v>
      </c>
      <c r="O13" s="1006">
        <v>300000</v>
      </c>
      <c r="P13" s="1006"/>
      <c r="Q13" s="1006"/>
      <c r="R13" s="1002">
        <v>300000</v>
      </c>
      <c r="S13" s="1025">
        <v>39824</v>
      </c>
      <c r="T13" s="1025"/>
      <c r="U13" s="1025"/>
      <c r="V13" s="599"/>
      <c r="W13" s="446" t="s">
        <v>401</v>
      </c>
      <c r="X13" s="446"/>
      <c r="Y13" s="599"/>
      <c r="Z13" s="599"/>
      <c r="AA13" s="599"/>
      <c r="AB13" s="599"/>
      <c r="AC13" s="984"/>
      <c r="AD13" s="599"/>
      <c r="AE13" s="599"/>
      <c r="AF13" s="599"/>
    </row>
    <row r="14" spans="1:34" ht="36" customHeight="1">
      <c r="A14" s="1004" t="s">
        <v>1173</v>
      </c>
      <c r="B14" s="1026" t="s">
        <v>3557</v>
      </c>
      <c r="C14" s="599" t="s">
        <v>1174</v>
      </c>
      <c r="D14" s="599" t="s">
        <v>1175</v>
      </c>
      <c r="E14" s="446"/>
      <c r="F14" s="1016">
        <v>1979000</v>
      </c>
      <c r="G14" s="594">
        <v>1631900</v>
      </c>
      <c r="H14" s="594"/>
      <c r="I14" s="594"/>
      <c r="J14" s="1027">
        <f>90000+82000+446700</f>
        <v>618700</v>
      </c>
      <c r="K14" s="1024"/>
      <c r="L14" s="580"/>
      <c r="M14" s="996"/>
      <c r="N14" s="594"/>
      <c r="O14" s="599"/>
      <c r="P14" s="599"/>
      <c r="Q14" s="984"/>
      <c r="R14" s="1028"/>
      <c r="S14" s="984"/>
      <c r="T14" s="984"/>
      <c r="U14" s="984"/>
      <c r="V14" s="599"/>
      <c r="W14" s="599"/>
      <c r="X14" s="599"/>
      <c r="Y14" s="599"/>
      <c r="Z14" s="599"/>
      <c r="AA14" s="599"/>
      <c r="AB14" s="599"/>
      <c r="AC14" s="984"/>
      <c r="AD14" s="599"/>
      <c r="AE14" s="599"/>
      <c r="AF14" s="599"/>
    </row>
    <row r="15" spans="1:34" ht="39.75" customHeight="1">
      <c r="A15" s="2568" t="s">
        <v>1176</v>
      </c>
      <c r="B15" s="2662" t="s">
        <v>3558</v>
      </c>
      <c r="C15" s="2682" t="s">
        <v>1177</v>
      </c>
      <c r="D15" s="2542" t="s">
        <v>1178</v>
      </c>
      <c r="E15" s="2542"/>
      <c r="F15" s="2642">
        <v>1979000</v>
      </c>
      <c r="G15" s="2542"/>
      <c r="H15" s="964"/>
      <c r="I15" s="964"/>
      <c r="J15" s="2615">
        <v>446700</v>
      </c>
      <c r="K15" s="2542">
        <v>375100</v>
      </c>
      <c r="L15" s="2351" t="s">
        <v>401</v>
      </c>
      <c r="M15" s="1001" t="s">
        <v>1179</v>
      </c>
      <c r="N15" s="594" t="s">
        <v>3559</v>
      </c>
      <c r="O15" s="599">
        <v>300000</v>
      </c>
      <c r="P15" s="599"/>
      <c r="Q15" s="599"/>
      <c r="R15" s="1002">
        <v>300000</v>
      </c>
      <c r="S15" s="1029">
        <v>39850</v>
      </c>
      <c r="T15" s="1029"/>
      <c r="U15" s="1029"/>
      <c r="V15" s="599" t="s">
        <v>1180</v>
      </c>
      <c r="W15" s="446" t="s">
        <v>401</v>
      </c>
      <c r="X15" s="446"/>
      <c r="Y15" s="890" t="s">
        <v>1181</v>
      </c>
      <c r="Z15" s="599"/>
      <c r="AA15" s="599"/>
      <c r="AB15" s="599"/>
      <c r="AC15" s="984"/>
      <c r="AD15" s="599"/>
      <c r="AE15" s="599"/>
      <c r="AF15" s="599"/>
    </row>
    <row r="16" spans="1:34" ht="28.5" customHeight="1">
      <c r="A16" s="2568"/>
      <c r="B16" s="2662"/>
      <c r="C16" s="2662"/>
      <c r="D16" s="2542"/>
      <c r="E16" s="2542"/>
      <c r="F16" s="2642"/>
      <c r="G16" s="2542"/>
      <c r="H16" s="1030"/>
      <c r="I16" s="1030"/>
      <c r="J16" s="2615"/>
      <c r="K16" s="2542"/>
      <c r="L16" s="2351"/>
      <c r="M16" s="1001" t="s">
        <v>1182</v>
      </c>
      <c r="N16" s="1031" t="s">
        <v>3560</v>
      </c>
      <c r="O16" s="1006">
        <v>143000</v>
      </c>
      <c r="P16" s="599"/>
      <c r="Q16" s="599"/>
      <c r="R16" s="1002">
        <v>143000</v>
      </c>
      <c r="S16" s="1029">
        <v>39870</v>
      </c>
      <c r="T16" s="1029"/>
      <c r="U16" s="1029"/>
      <c r="V16" s="599"/>
      <c r="W16" s="446" t="s">
        <v>401</v>
      </c>
      <c r="X16" s="446"/>
      <c r="Y16" s="599"/>
      <c r="Z16" s="599"/>
      <c r="AA16" s="599"/>
      <c r="AB16" s="599"/>
      <c r="AC16" s="984"/>
      <c r="AD16" s="599"/>
      <c r="AE16" s="599"/>
      <c r="AF16" s="599"/>
    </row>
    <row r="17" spans="1:32" ht="41.25" customHeight="1">
      <c r="A17" s="2568"/>
      <c r="B17" s="2662"/>
      <c r="C17" s="2662"/>
      <c r="D17" s="2542"/>
      <c r="E17" s="2542"/>
      <c r="F17" s="2642"/>
      <c r="G17" s="2542"/>
      <c r="H17" s="965"/>
      <c r="I17" s="965"/>
      <c r="J17" s="2615"/>
      <c r="K17" s="2542"/>
      <c r="L17" s="2351"/>
      <c r="M17" s="1017" t="s">
        <v>1183</v>
      </c>
      <c r="N17" s="446" t="s">
        <v>1184</v>
      </c>
      <c r="O17" s="1006">
        <v>40000</v>
      </c>
      <c r="P17" s="599"/>
      <c r="Q17" s="984"/>
      <c r="R17" s="1003">
        <v>40000</v>
      </c>
      <c r="S17" s="1029">
        <v>39891</v>
      </c>
      <c r="T17" s="1029"/>
      <c r="U17" s="1029"/>
      <c r="V17" s="599"/>
      <c r="W17" s="446" t="s">
        <v>401</v>
      </c>
      <c r="X17" s="446"/>
      <c r="Y17" s="599"/>
      <c r="Z17" s="599"/>
      <c r="AA17" s="599"/>
      <c r="AB17" s="599"/>
      <c r="AC17" s="984"/>
      <c r="AD17" s="599"/>
      <c r="AE17" s="599"/>
      <c r="AF17" s="599"/>
    </row>
    <row r="18" spans="1:32" ht="35.25" customHeight="1">
      <c r="A18" s="1004" t="s">
        <v>1185</v>
      </c>
      <c r="B18" s="1026" t="s">
        <v>3561</v>
      </c>
      <c r="C18" s="599" t="s">
        <v>1186</v>
      </c>
      <c r="D18" s="599" t="s">
        <v>1187</v>
      </c>
      <c r="E18" s="446"/>
      <c r="F18" s="1016">
        <v>1677382.87</v>
      </c>
      <c r="G18" s="594"/>
      <c r="H18" s="594"/>
      <c r="I18" s="594"/>
      <c r="J18" s="1027">
        <v>960142.34</v>
      </c>
      <c r="K18" s="1024"/>
      <c r="L18" s="580"/>
      <c r="M18" s="1001"/>
      <c r="N18" s="446"/>
      <c r="O18" s="599"/>
      <c r="P18" s="599"/>
      <c r="Q18" s="984"/>
      <c r="R18" s="984"/>
      <c r="S18" s="984"/>
      <c r="T18" s="984"/>
      <c r="U18" s="984"/>
      <c r="V18" s="599"/>
      <c r="W18" s="599"/>
      <c r="X18" s="599"/>
      <c r="Y18" s="599"/>
      <c r="Z18" s="599"/>
      <c r="AA18" s="599"/>
      <c r="AB18" s="599"/>
      <c r="AC18" s="984"/>
      <c r="AD18" s="599"/>
      <c r="AE18" s="599"/>
      <c r="AF18" s="599"/>
    </row>
    <row r="19" spans="1:32" s="1014" customFormat="1" ht="45">
      <c r="A19" s="1004" t="s">
        <v>1188</v>
      </c>
      <c r="B19" s="1032" t="s">
        <v>3562</v>
      </c>
      <c r="C19" s="1012" t="s">
        <v>1189</v>
      </c>
      <c r="D19" s="1033" t="s">
        <v>1190</v>
      </c>
      <c r="E19" s="1012" t="s">
        <v>1191</v>
      </c>
      <c r="F19" s="1034">
        <v>4030000</v>
      </c>
      <c r="G19" s="1012" t="s">
        <v>1192</v>
      </c>
      <c r="H19" s="1012"/>
      <c r="I19" s="1012"/>
      <c r="J19" s="1012"/>
      <c r="K19" s="1013"/>
      <c r="L19" s="1012"/>
      <c r="M19" s="1001"/>
      <c r="N19" s="1012"/>
      <c r="O19" s="1012"/>
      <c r="P19" s="1012"/>
      <c r="Q19" s="1013"/>
      <c r="R19" s="1013"/>
      <c r="S19" s="1013"/>
      <c r="T19" s="1013"/>
      <c r="U19" s="1013"/>
      <c r="V19" s="1012"/>
      <c r="W19" s="1012"/>
      <c r="X19" s="1012"/>
      <c r="Y19" s="1012"/>
      <c r="Z19" s="1012"/>
      <c r="AA19" s="1012"/>
      <c r="AB19" s="1012"/>
      <c r="AC19" s="1013"/>
      <c r="AD19" s="1012"/>
      <c r="AE19" s="1012"/>
      <c r="AF19" s="1012"/>
    </row>
    <row r="20" spans="1:32" s="1014" customFormat="1" ht="37.5" customHeight="1">
      <c r="A20" s="1004"/>
      <c r="B20" s="1032" t="s">
        <v>3563</v>
      </c>
      <c r="C20" s="1012"/>
      <c r="D20" s="1033" t="s">
        <v>1193</v>
      </c>
      <c r="E20" s="1012"/>
      <c r="F20" s="1034">
        <v>1979000</v>
      </c>
      <c r="G20" s="1012"/>
      <c r="H20" s="1012"/>
      <c r="I20" s="1012"/>
      <c r="J20" s="1035" t="s">
        <v>1194</v>
      </c>
      <c r="K20" s="1013"/>
      <c r="L20" s="1012"/>
      <c r="M20" s="1001"/>
      <c r="N20" s="1012"/>
      <c r="O20" s="1012"/>
      <c r="P20" s="1012"/>
      <c r="Q20" s="1013"/>
      <c r="R20" s="1013"/>
      <c r="S20" s="1013"/>
      <c r="T20" s="1013"/>
      <c r="U20" s="1013"/>
      <c r="V20" s="1012"/>
      <c r="W20" s="1012"/>
      <c r="X20" s="1012"/>
      <c r="Y20" s="1012"/>
      <c r="Z20" s="1012"/>
      <c r="AA20" s="1012"/>
      <c r="AB20" s="1012"/>
      <c r="AC20" s="1013"/>
      <c r="AD20" s="1012"/>
      <c r="AE20" s="1012"/>
      <c r="AF20" s="1012"/>
    </row>
    <row r="21" spans="1:32" ht="42.75" customHeight="1">
      <c r="A21" s="1004" t="s">
        <v>1195</v>
      </c>
      <c r="B21" s="922" t="s">
        <v>1196</v>
      </c>
      <c r="C21" s="983" t="s">
        <v>524</v>
      </c>
      <c r="D21" s="446" t="s">
        <v>1197</v>
      </c>
      <c r="E21" s="599"/>
      <c r="F21" s="1002">
        <v>252181.34</v>
      </c>
      <c r="G21" s="599">
        <v>185585.09</v>
      </c>
      <c r="H21" s="599"/>
      <c r="I21" s="599"/>
      <c r="J21" s="1002">
        <v>252181.34</v>
      </c>
      <c r="K21" s="984"/>
      <c r="L21" s="594" t="s">
        <v>401</v>
      </c>
      <c r="M21" s="1001" t="s">
        <v>1198</v>
      </c>
      <c r="N21" s="446" t="s">
        <v>1199</v>
      </c>
      <c r="O21" s="599">
        <v>230000</v>
      </c>
      <c r="P21" s="599"/>
      <c r="Q21" s="984"/>
      <c r="R21" s="1007">
        <v>230000</v>
      </c>
      <c r="S21" s="984" t="s">
        <v>1200</v>
      </c>
      <c r="T21" s="984"/>
      <c r="U21" s="984"/>
      <c r="V21" s="580"/>
      <c r="W21" s="580"/>
      <c r="X21" s="580"/>
      <c r="Y21" s="599"/>
      <c r="Z21" s="599"/>
      <c r="AA21" s="599"/>
      <c r="AB21" s="599"/>
      <c r="AC21" s="984"/>
      <c r="AD21" s="599"/>
      <c r="AE21" s="599"/>
      <c r="AF21" s="599"/>
    </row>
    <row r="22" spans="1:32" ht="89.25">
      <c r="A22" s="1004"/>
      <c r="B22" s="1036" t="s">
        <v>3564</v>
      </c>
      <c r="C22" s="599" t="s">
        <v>1201</v>
      </c>
      <c r="D22" s="446" t="s">
        <v>1202</v>
      </c>
      <c r="E22" s="599"/>
      <c r="F22" s="1016">
        <v>425000</v>
      </c>
      <c r="G22" s="1016">
        <f>F22-K22</f>
        <v>127500</v>
      </c>
      <c r="H22" s="1016"/>
      <c r="I22" s="1016"/>
      <c r="J22" s="1016">
        <v>425000</v>
      </c>
      <c r="K22" s="583">
        <v>297500</v>
      </c>
      <c r="L22" s="594" t="s">
        <v>401</v>
      </c>
      <c r="M22" s="1037"/>
      <c r="N22" s="599"/>
      <c r="O22" s="984"/>
      <c r="P22" s="446" t="s">
        <v>1203</v>
      </c>
      <c r="Q22" s="991"/>
      <c r="R22" s="983"/>
      <c r="S22" s="1024"/>
      <c r="T22" s="1024"/>
      <c r="U22" s="1024"/>
      <c r="V22" s="599"/>
      <c r="W22" s="599"/>
      <c r="X22" s="599"/>
      <c r="Y22" s="599"/>
      <c r="Z22" s="599"/>
      <c r="AA22" s="599"/>
      <c r="AB22" s="599"/>
      <c r="AC22" s="984"/>
      <c r="AD22" s="599"/>
      <c r="AE22" s="599"/>
      <c r="AF22" s="599"/>
    </row>
    <row r="23" spans="1:32" ht="38.25" customHeight="1">
      <c r="A23" s="1004"/>
      <c r="B23" s="594" t="s">
        <v>3565</v>
      </c>
      <c r="C23" s="599"/>
      <c r="D23" s="446"/>
      <c r="E23" s="599"/>
      <c r="F23" s="1016"/>
      <c r="G23" s="1016"/>
      <c r="H23" s="1016"/>
      <c r="I23" s="1016"/>
      <c r="J23" s="1038">
        <v>960142.34</v>
      </c>
      <c r="K23" s="1039"/>
      <c r="L23" s="594" t="s">
        <v>1204</v>
      </c>
      <c r="M23" s="1040"/>
      <c r="N23" s="599"/>
      <c r="O23" s="984"/>
      <c r="P23" s="446"/>
      <c r="Q23" s="1041"/>
      <c r="R23" s="1042"/>
      <c r="S23" s="1024"/>
      <c r="T23" s="1024"/>
      <c r="U23" s="1024"/>
      <c r="V23" s="599"/>
      <c r="W23" s="599"/>
      <c r="X23" s="599"/>
      <c r="Y23" s="599"/>
      <c r="Z23" s="599"/>
      <c r="AA23" s="599"/>
      <c r="AB23" s="599"/>
      <c r="AC23" s="984"/>
      <c r="AD23" s="599"/>
      <c r="AE23" s="599"/>
      <c r="AF23" s="599"/>
    </row>
    <row r="24" spans="1:32" s="974" customFormat="1" ht="18" customHeight="1">
      <c r="A24" s="998">
        <v>2</v>
      </c>
      <c r="B24" s="2676" t="s">
        <v>1205</v>
      </c>
      <c r="C24" s="2676"/>
      <c r="D24" s="1002"/>
      <c r="E24" s="995"/>
      <c r="F24" s="1021"/>
      <c r="G24" s="995"/>
      <c r="H24" s="995"/>
      <c r="I24" s="995"/>
      <c r="J24" s="1027"/>
      <c r="K24" s="1043"/>
      <c r="L24" s="1027"/>
      <c r="M24" s="1001"/>
      <c r="N24" s="995"/>
      <c r="O24" s="1002"/>
      <c r="P24" s="1002"/>
      <c r="Q24" s="1003"/>
      <c r="R24" s="1003"/>
      <c r="S24" s="1003"/>
      <c r="T24" s="1003"/>
      <c r="U24" s="1003"/>
      <c r="V24" s="1002"/>
      <c r="W24" s="1002"/>
      <c r="X24" s="1002"/>
      <c r="Y24" s="1002"/>
      <c r="Z24" s="1002"/>
      <c r="AA24" s="1002"/>
      <c r="AB24" s="1002"/>
      <c r="AC24" s="1003"/>
      <c r="AD24" s="1002"/>
      <c r="AE24" s="1002"/>
      <c r="AF24" s="1002"/>
    </row>
    <row r="25" spans="1:32" s="974" customFormat="1" ht="18" customHeight="1">
      <c r="A25" s="998"/>
      <c r="B25" s="1044"/>
      <c r="C25" s="1045" t="s">
        <v>1206</v>
      </c>
      <c r="D25" s="1046"/>
      <c r="E25" s="1047"/>
      <c r="F25" s="1021"/>
      <c r="G25" s="1000"/>
      <c r="H25" s="1000"/>
      <c r="I25" s="1000"/>
      <c r="J25" s="1027"/>
      <c r="K25" s="1043"/>
      <c r="L25" s="1027"/>
      <c r="M25" s="1001"/>
      <c r="N25" s="995"/>
      <c r="O25" s="1002"/>
      <c r="P25" s="1002"/>
      <c r="Q25" s="1003"/>
      <c r="R25" s="1003"/>
      <c r="S25" s="1003"/>
      <c r="T25" s="1003"/>
      <c r="U25" s="1003"/>
      <c r="V25" s="1002"/>
      <c r="W25" s="1002"/>
      <c r="X25" s="1002"/>
      <c r="Y25" s="1002"/>
      <c r="Z25" s="1002"/>
      <c r="AA25" s="1002"/>
      <c r="AB25" s="1002"/>
      <c r="AC25" s="1003"/>
      <c r="AD25" s="1002"/>
      <c r="AE25" s="1002"/>
      <c r="AF25" s="1002"/>
    </row>
    <row r="26" spans="1:32" s="1010" customFormat="1" ht="24.75" customHeight="1">
      <c r="A26" s="310"/>
      <c r="B26" s="1048" t="s">
        <v>1207</v>
      </c>
      <c r="C26" s="1048"/>
      <c r="D26" s="1049" t="s">
        <v>1208</v>
      </c>
      <c r="E26" s="1050"/>
      <c r="F26" s="1051"/>
      <c r="G26" s="1052">
        <v>101933.45</v>
      </c>
      <c r="H26" s="1052"/>
      <c r="I26" s="1052"/>
      <c r="J26" s="624"/>
      <c r="K26" s="1053"/>
      <c r="L26" s="624"/>
      <c r="M26" s="1001"/>
      <c r="N26" s="594"/>
      <c r="O26" s="1006"/>
      <c r="P26" s="1006"/>
      <c r="Q26" s="1007"/>
      <c r="R26" s="1007"/>
      <c r="S26" s="1007"/>
      <c r="T26" s="1007"/>
      <c r="U26" s="1007"/>
      <c r="V26" s="1006"/>
      <c r="W26" s="1006"/>
      <c r="X26" s="1006"/>
      <c r="Y26" s="1006"/>
      <c r="Z26" s="1006"/>
      <c r="AA26" s="1006"/>
      <c r="AB26" s="1006"/>
      <c r="AC26" s="1007"/>
      <c r="AD26" s="1006"/>
      <c r="AE26" s="1006"/>
      <c r="AF26" s="1006"/>
    </row>
    <row r="27" spans="1:32" s="1010" customFormat="1" ht="25.5" customHeight="1">
      <c r="A27" s="1004" t="s">
        <v>1155</v>
      </c>
      <c r="B27" s="1048" t="s">
        <v>1156</v>
      </c>
      <c r="C27" s="1006" t="s">
        <v>1157</v>
      </c>
      <c r="D27" s="1006" t="s">
        <v>3566</v>
      </c>
      <c r="E27" s="1006"/>
      <c r="F27" s="1006"/>
      <c r="G27" s="624">
        <f>190000+262293.67</f>
        <v>452293.67</v>
      </c>
      <c r="H27" s="624">
        <f>261293.67+190000</f>
        <v>451293.67000000004</v>
      </c>
      <c r="I27" s="624"/>
      <c r="J27" s="1006"/>
      <c r="K27" s="1007"/>
      <c r="L27" s="1006"/>
      <c r="M27" s="1001"/>
      <c r="N27" s="1006"/>
      <c r="O27" s="1006"/>
      <c r="P27" s="1006"/>
      <c r="Q27" s="1007"/>
      <c r="R27" s="1007"/>
      <c r="S27" s="1007"/>
      <c r="T27" s="1007"/>
      <c r="U27" s="1007"/>
      <c r="V27" s="1006"/>
      <c r="W27" s="1006"/>
      <c r="X27" s="1006"/>
      <c r="Y27" s="1006"/>
      <c r="Z27" s="1006"/>
      <c r="AA27" s="1006"/>
      <c r="AB27" s="1006"/>
      <c r="AC27" s="1007"/>
      <c r="AD27" s="1006"/>
      <c r="AE27" s="1006"/>
      <c r="AF27" s="1006"/>
    </row>
    <row r="28" spans="1:32" s="1010" customFormat="1" ht="41.25" customHeight="1">
      <c r="A28" s="2568" t="s">
        <v>1209</v>
      </c>
      <c r="B28" s="2677" t="s">
        <v>3567</v>
      </c>
      <c r="C28" s="2568" t="s">
        <v>1210</v>
      </c>
      <c r="D28" s="2558" t="s">
        <v>1211</v>
      </c>
      <c r="E28" s="2568"/>
      <c r="F28" s="2560">
        <v>596875</v>
      </c>
      <c r="G28" s="2558">
        <f>119375+417812.5</f>
        <v>537187.5</v>
      </c>
      <c r="H28" s="2558" t="s">
        <v>3568</v>
      </c>
      <c r="I28" s="966"/>
      <c r="J28" s="2680">
        <v>596875</v>
      </c>
      <c r="K28" s="2681"/>
      <c r="L28" s="2558" t="s">
        <v>401</v>
      </c>
      <c r="M28" s="1001" t="s">
        <v>1212</v>
      </c>
      <c r="N28" s="594" t="s">
        <v>3569</v>
      </c>
      <c r="O28" s="1006">
        <v>150000</v>
      </c>
      <c r="P28" s="1006">
        <v>150000</v>
      </c>
      <c r="Q28" s="1006"/>
      <c r="R28" s="1006">
        <v>150000</v>
      </c>
      <c r="S28" s="1007" t="s">
        <v>1213</v>
      </c>
      <c r="T28" s="1007"/>
      <c r="U28" s="1007"/>
      <c r="V28" s="1054"/>
      <c r="W28" s="594" t="s">
        <v>401</v>
      </c>
      <c r="X28" s="594"/>
      <c r="Y28" s="1006"/>
      <c r="Z28" s="1006"/>
      <c r="AA28" s="1006"/>
      <c r="AB28" s="1006"/>
      <c r="AC28" s="1007"/>
      <c r="AD28" s="1006"/>
      <c r="AE28" s="1006"/>
      <c r="AF28" s="1006"/>
    </row>
    <row r="29" spans="1:32" s="1010" customFormat="1" ht="39" customHeight="1">
      <c r="A29" s="2568"/>
      <c r="B29" s="2677"/>
      <c r="C29" s="2568"/>
      <c r="D29" s="2558"/>
      <c r="E29" s="2568"/>
      <c r="F29" s="2560"/>
      <c r="G29" s="2558"/>
      <c r="H29" s="2558"/>
      <c r="I29" s="968"/>
      <c r="J29" s="2680"/>
      <c r="K29" s="2681"/>
      <c r="L29" s="2558"/>
      <c r="M29" s="1001" t="s">
        <v>1214</v>
      </c>
      <c r="N29" s="594" t="s">
        <v>3570</v>
      </c>
      <c r="O29" s="1006">
        <v>400000</v>
      </c>
      <c r="P29" s="1006" t="s">
        <v>1215</v>
      </c>
      <c r="Q29" s="1006"/>
      <c r="R29" s="1006">
        <v>400000</v>
      </c>
      <c r="S29" s="1007" t="s">
        <v>1213</v>
      </c>
      <c r="T29" s="1007"/>
      <c r="U29" s="1007"/>
      <c r="V29" s="1054" t="s">
        <v>1216</v>
      </c>
      <c r="W29" s="624" t="s">
        <v>401</v>
      </c>
      <c r="X29" s="624"/>
      <c r="Y29" s="1006"/>
      <c r="Z29" s="1006"/>
      <c r="AA29" s="1006"/>
      <c r="AB29" s="1006"/>
      <c r="AC29" s="1007"/>
      <c r="AD29" s="1006"/>
      <c r="AE29" s="1006"/>
      <c r="AF29" s="1006"/>
    </row>
    <row r="30" spans="1:32" s="1010" customFormat="1" ht="48" customHeight="1">
      <c r="A30" s="311"/>
      <c r="B30" s="594" t="s">
        <v>1217</v>
      </c>
      <c r="C30" s="1006" t="s">
        <v>1218</v>
      </c>
      <c r="D30" s="594" t="s">
        <v>1219</v>
      </c>
      <c r="E30" s="1006"/>
      <c r="F30" s="1055">
        <v>127000</v>
      </c>
      <c r="G30" s="1056"/>
      <c r="H30" s="1055">
        <v>127000</v>
      </c>
      <c r="I30" s="1055"/>
      <c r="J30" s="1057" t="s">
        <v>1220</v>
      </c>
      <c r="K30" s="1007"/>
      <c r="L30" s="442" t="s">
        <v>401</v>
      </c>
      <c r="M30" s="1058"/>
      <c r="N30" s="1006"/>
      <c r="O30" s="1006"/>
      <c r="P30" s="1006"/>
      <c r="Q30" s="1007"/>
      <c r="R30" s="1007"/>
      <c r="S30" s="1007"/>
      <c r="T30" s="1007"/>
      <c r="U30" s="1007"/>
      <c r="V30" s="1006"/>
      <c r="W30" s="1006"/>
      <c r="X30" s="1006"/>
      <c r="Y30" s="1006"/>
      <c r="Z30" s="1006"/>
      <c r="AA30" s="1006"/>
      <c r="AB30" s="1006"/>
      <c r="AC30" s="1007"/>
      <c r="AD30" s="1006"/>
      <c r="AE30" s="1006"/>
      <c r="AF30" s="1006"/>
    </row>
    <row r="31" spans="1:32" s="1010" customFormat="1" ht="39" customHeight="1">
      <c r="A31" s="311"/>
      <c r="B31" s="594" t="s">
        <v>1217</v>
      </c>
      <c r="C31" s="1006" t="s">
        <v>1221</v>
      </c>
      <c r="D31" s="594" t="s">
        <v>1222</v>
      </c>
      <c r="E31" s="1059">
        <v>40086</v>
      </c>
      <c r="F31" s="1055" t="s">
        <v>1223</v>
      </c>
      <c r="G31" s="1056"/>
      <c r="H31" s="1056"/>
      <c r="I31" s="1060"/>
      <c r="J31" s="977"/>
      <c r="K31" s="1007"/>
      <c r="L31" s="442" t="s">
        <v>401</v>
      </c>
      <c r="M31" s="1058"/>
      <c r="N31" s="1006"/>
      <c r="O31" s="1006"/>
      <c r="P31" s="1006"/>
      <c r="Q31" s="1007"/>
      <c r="R31" s="1007"/>
      <c r="S31" s="1007"/>
      <c r="T31" s="1007"/>
      <c r="U31" s="1007"/>
      <c r="V31" s="1006"/>
      <c r="W31" s="1006"/>
      <c r="X31" s="1006"/>
      <c r="Y31" s="1006"/>
      <c r="Z31" s="1006"/>
      <c r="AA31" s="1006"/>
      <c r="AB31" s="1006"/>
      <c r="AC31" s="1007"/>
      <c r="AD31" s="1006"/>
      <c r="AE31" s="1006"/>
      <c r="AF31" s="1006"/>
    </row>
    <row r="32" spans="1:32" s="1010" customFormat="1" ht="45.75" customHeight="1">
      <c r="A32" s="1061"/>
      <c r="B32" s="606"/>
      <c r="C32" s="899"/>
      <c r="D32" s="1062"/>
      <c r="E32" s="1063"/>
      <c r="F32" s="899"/>
      <c r="G32" s="1006"/>
      <c r="H32" s="1006"/>
      <c r="I32" s="1064"/>
      <c r="J32" s="1047"/>
      <c r="K32" s="606"/>
      <c r="L32" s="1065"/>
      <c r="M32" s="1017" t="s">
        <v>1224</v>
      </c>
      <c r="N32" s="594" t="s">
        <v>1225</v>
      </c>
      <c r="O32" s="1006">
        <f>498000+280000+100000</f>
        <v>878000</v>
      </c>
      <c r="P32" s="1006">
        <f>498000+280000+100000</f>
        <v>878000</v>
      </c>
      <c r="Q32" s="1006"/>
      <c r="R32" s="1006">
        <f>498000+280000+100000</f>
        <v>878000</v>
      </c>
      <c r="S32" s="1025">
        <v>40066</v>
      </c>
      <c r="T32" s="1025"/>
      <c r="U32" s="1025"/>
      <c r="V32" s="1006"/>
      <c r="W32" s="446" t="s">
        <v>401</v>
      </c>
      <c r="X32" s="446"/>
      <c r="Y32" s="1006"/>
      <c r="Z32" s="1006"/>
      <c r="AA32" s="1006"/>
      <c r="AB32" s="1006"/>
      <c r="AC32" s="1007"/>
      <c r="AD32" s="1006"/>
      <c r="AE32" s="1006"/>
      <c r="AF32" s="1006"/>
    </row>
    <row r="33" spans="1:32" s="1010" customFormat="1" ht="98.25" customHeight="1">
      <c r="A33" s="1061">
        <v>1</v>
      </c>
      <c r="B33" s="606" t="s">
        <v>1226</v>
      </c>
      <c r="C33" s="899" t="s">
        <v>1227</v>
      </c>
      <c r="D33" s="1062" t="s">
        <v>1228</v>
      </c>
      <c r="E33" s="1066" t="s">
        <v>1229</v>
      </c>
      <c r="F33" s="741">
        <v>2890000</v>
      </c>
      <c r="G33" s="1006">
        <f>1532000+186000</f>
        <v>1718000</v>
      </c>
      <c r="H33" s="1006">
        <f>1532000+186000</f>
        <v>1718000</v>
      </c>
      <c r="I33" s="1067"/>
      <c r="J33" s="1068" t="s">
        <v>1230</v>
      </c>
      <c r="K33" s="606"/>
      <c r="L33" s="967" t="s">
        <v>401</v>
      </c>
      <c r="M33" s="1017" t="s">
        <v>1231</v>
      </c>
      <c r="N33" s="1031" t="s">
        <v>3571</v>
      </c>
      <c r="O33" s="1006">
        <v>200000</v>
      </c>
      <c r="P33" s="1006">
        <v>200000</v>
      </c>
      <c r="Q33" s="1006"/>
      <c r="R33" s="1006">
        <v>200000</v>
      </c>
      <c r="S33" s="1069">
        <v>40086</v>
      </c>
      <c r="T33" s="1069"/>
      <c r="U33" s="1069"/>
      <c r="V33" s="1006"/>
      <c r="W33" s="446" t="s">
        <v>401</v>
      </c>
      <c r="X33" s="446"/>
      <c r="Y33" s="1006"/>
      <c r="Z33" s="1006"/>
      <c r="AA33" s="1006"/>
      <c r="AB33" s="1006"/>
      <c r="AC33" s="1007"/>
      <c r="AD33" s="1006"/>
      <c r="AE33" s="1006"/>
      <c r="AF33" s="1006"/>
    </row>
    <row r="34" spans="1:32" s="1010" customFormat="1" ht="45.75" customHeight="1">
      <c r="A34" s="1061"/>
      <c r="B34" s="823"/>
      <c r="C34" s="607"/>
      <c r="D34" s="1070"/>
      <c r="E34" s="1071"/>
      <c r="F34" s="607"/>
      <c r="G34" s="594"/>
      <c r="H34" s="594"/>
      <c r="I34" s="1070"/>
      <c r="J34" s="985"/>
      <c r="K34" s="823"/>
      <c r="L34" s="1072"/>
      <c r="M34" s="1017" t="s">
        <v>1232</v>
      </c>
      <c r="N34" s="1023" t="s">
        <v>3572</v>
      </c>
      <c r="O34" s="1006">
        <v>1222000</v>
      </c>
      <c r="P34" s="1006">
        <v>1138000</v>
      </c>
      <c r="Q34" s="1006"/>
      <c r="R34" s="1006">
        <v>1222000</v>
      </c>
      <c r="S34" s="1069">
        <v>40086</v>
      </c>
      <c r="T34" s="1069"/>
      <c r="U34" s="1069"/>
      <c r="V34" s="1073">
        <f>O34-P34</f>
        <v>84000</v>
      </c>
      <c r="W34" s="446" t="s">
        <v>401</v>
      </c>
      <c r="X34" s="446"/>
      <c r="Y34" s="1006"/>
      <c r="Z34" s="1006"/>
      <c r="AA34" s="1006"/>
      <c r="AB34" s="1006"/>
      <c r="AC34" s="1007"/>
      <c r="AD34" s="1006"/>
      <c r="AE34" s="1006"/>
      <c r="AF34" s="1006"/>
    </row>
    <row r="35" spans="1:32" s="1010" customFormat="1" ht="86.25" customHeight="1">
      <c r="A35" s="2568">
        <v>2</v>
      </c>
      <c r="B35" s="2662" t="s">
        <v>3573</v>
      </c>
      <c r="C35" s="2542" t="s">
        <v>1233</v>
      </c>
      <c r="D35" s="2673" t="s">
        <v>1234</v>
      </c>
      <c r="E35" s="1063"/>
      <c r="F35" s="899"/>
      <c r="G35" s="1050"/>
      <c r="H35" s="2542" t="s">
        <v>1235</v>
      </c>
      <c r="I35" s="964"/>
      <c r="J35" s="2544" t="s">
        <v>1236</v>
      </c>
      <c r="K35" s="606"/>
      <c r="L35" s="2351" t="s">
        <v>401</v>
      </c>
      <c r="M35" s="1001" t="s">
        <v>3574</v>
      </c>
      <c r="N35" s="1023" t="s">
        <v>3575</v>
      </c>
      <c r="O35" s="1006">
        <v>225000</v>
      </c>
      <c r="P35" s="1006"/>
      <c r="Q35" s="1007"/>
      <c r="R35" s="1074" t="s">
        <v>1237</v>
      </c>
      <c r="S35" s="1075"/>
      <c r="T35" s="1075"/>
      <c r="U35" s="1075"/>
      <c r="V35" s="1073"/>
      <c r="W35" s="446" t="s">
        <v>401</v>
      </c>
      <c r="X35" s="446"/>
      <c r="Y35" s="1006"/>
      <c r="Z35" s="1006"/>
      <c r="AA35" s="1006"/>
      <c r="AB35" s="1006"/>
      <c r="AC35" s="1007"/>
      <c r="AD35" s="1006"/>
      <c r="AE35" s="1006"/>
      <c r="AF35" s="1006"/>
    </row>
    <row r="36" spans="1:32" ht="42.75" customHeight="1">
      <c r="A36" s="2568"/>
      <c r="B36" s="2662"/>
      <c r="C36" s="2542"/>
      <c r="D36" s="2673"/>
      <c r="E36" s="2567" t="s">
        <v>1238</v>
      </c>
      <c r="F36" s="2544" t="s">
        <v>1239</v>
      </c>
      <c r="G36" s="2542" t="s">
        <v>1240</v>
      </c>
      <c r="H36" s="2542"/>
      <c r="I36" s="1030"/>
      <c r="J36" s="2544"/>
      <c r="K36" s="2542"/>
      <c r="L36" s="2351"/>
      <c r="M36" s="1001" t="s">
        <v>1241</v>
      </c>
      <c r="N36" s="1031" t="s">
        <v>3576</v>
      </c>
      <c r="O36" s="1006" t="s">
        <v>1242</v>
      </c>
      <c r="P36" s="1006">
        <v>805000</v>
      </c>
      <c r="Q36" s="1007"/>
      <c r="R36" s="1074" t="s">
        <v>1243</v>
      </c>
      <c r="S36" s="1029" t="s">
        <v>1244</v>
      </c>
      <c r="T36" s="1029"/>
      <c r="U36" s="1029"/>
      <c r="V36" s="599"/>
      <c r="W36" s="446" t="s">
        <v>401</v>
      </c>
      <c r="X36" s="446"/>
      <c r="Y36" s="599"/>
      <c r="Z36" s="599"/>
      <c r="AA36" s="599"/>
      <c r="AB36" s="599"/>
      <c r="AC36" s="984"/>
      <c r="AD36" s="599"/>
      <c r="AE36" s="599"/>
      <c r="AF36" s="599"/>
    </row>
    <row r="37" spans="1:32" ht="41.25" customHeight="1">
      <c r="A37" s="2568"/>
      <c r="B37" s="2662"/>
      <c r="C37" s="2542"/>
      <c r="D37" s="2673"/>
      <c r="E37" s="2567"/>
      <c r="F37" s="2544"/>
      <c r="G37" s="2542"/>
      <c r="H37" s="2542"/>
      <c r="I37" s="1030"/>
      <c r="J37" s="2544"/>
      <c r="K37" s="2542"/>
      <c r="L37" s="2351"/>
      <c r="M37" s="1001" t="s">
        <v>1245</v>
      </c>
      <c r="N37" s="1023" t="s">
        <v>3577</v>
      </c>
      <c r="O37" s="1006">
        <v>898000</v>
      </c>
      <c r="P37" s="1006">
        <v>898000</v>
      </c>
      <c r="Q37" s="1006"/>
      <c r="R37" s="1006">
        <v>898000</v>
      </c>
      <c r="S37" s="1029">
        <v>40086</v>
      </c>
      <c r="T37" s="1029"/>
      <c r="U37" s="1029"/>
      <c r="V37" s="599"/>
      <c r="W37" s="446" t="s">
        <v>401</v>
      </c>
      <c r="X37" s="446"/>
      <c r="Y37" s="599"/>
      <c r="Z37" s="599"/>
      <c r="AA37" s="599"/>
      <c r="AB37" s="599"/>
      <c r="AC37" s="984"/>
      <c r="AD37" s="599"/>
      <c r="AE37" s="599"/>
      <c r="AF37" s="599"/>
    </row>
    <row r="38" spans="1:32" s="1079" customFormat="1" ht="39" customHeight="1">
      <c r="A38" s="2568"/>
      <c r="B38" s="2662"/>
      <c r="C38" s="2542"/>
      <c r="D38" s="2673"/>
      <c r="E38" s="2567"/>
      <c r="F38" s="2544"/>
      <c r="G38" s="2542"/>
      <c r="H38" s="2542"/>
      <c r="I38" s="965"/>
      <c r="J38" s="2544"/>
      <c r="K38" s="2542"/>
      <c r="L38" s="2351"/>
      <c r="M38" s="1001" t="s">
        <v>1246</v>
      </c>
      <c r="N38" s="1076" t="s">
        <v>1247</v>
      </c>
      <c r="O38" s="1006">
        <v>197000</v>
      </c>
      <c r="P38" s="972">
        <v>90000</v>
      </c>
      <c r="Q38" s="972"/>
      <c r="R38" s="1006">
        <v>197000</v>
      </c>
      <c r="S38" s="1025">
        <v>40025</v>
      </c>
      <c r="T38" s="1025"/>
      <c r="U38" s="1025"/>
      <c r="V38" s="1006"/>
      <c r="W38" s="446" t="s">
        <v>401</v>
      </c>
      <c r="X38" s="446"/>
      <c r="Y38" s="1006"/>
      <c r="Z38" s="1077"/>
      <c r="AA38" s="1077"/>
      <c r="AB38" s="1077"/>
      <c r="AC38" s="1078"/>
      <c r="AD38" s="1077"/>
      <c r="AE38" s="1077"/>
      <c r="AF38" s="1077"/>
    </row>
    <row r="39" spans="1:32" ht="39" customHeight="1">
      <c r="A39" s="311" t="s">
        <v>1248</v>
      </c>
      <c r="B39" s="1015" t="s">
        <v>3578</v>
      </c>
      <c r="C39" s="599" t="s">
        <v>1249</v>
      </c>
      <c r="D39" s="446" t="s">
        <v>1250</v>
      </c>
      <c r="E39" s="599"/>
      <c r="F39" s="599">
        <v>245543.25</v>
      </c>
      <c r="G39" s="599">
        <f>73662.98+171880.27</f>
        <v>245543.25</v>
      </c>
      <c r="H39" s="599">
        <f>171880.27+73662.98</f>
        <v>245543.25</v>
      </c>
      <c r="I39" s="599"/>
      <c r="J39" s="1002">
        <v>245543.25</v>
      </c>
      <c r="K39" s="1080"/>
      <c r="L39" s="442" t="s">
        <v>401</v>
      </c>
      <c r="M39" s="1001" t="s">
        <v>1251</v>
      </c>
      <c r="N39" s="594" t="s">
        <v>3579</v>
      </c>
      <c r="O39" s="1006">
        <v>215000</v>
      </c>
      <c r="P39" s="599">
        <v>215000</v>
      </c>
      <c r="Q39" s="984"/>
      <c r="R39" s="1003">
        <v>215000</v>
      </c>
      <c r="S39" s="1029">
        <v>39860</v>
      </c>
      <c r="T39" s="1029"/>
      <c r="U39" s="1029"/>
      <c r="V39" s="599"/>
      <c r="W39" s="446" t="s">
        <v>401</v>
      </c>
      <c r="X39" s="446"/>
      <c r="Y39" s="890"/>
      <c r="Z39" s="599"/>
      <c r="AA39" s="599"/>
      <c r="AB39" s="599"/>
      <c r="AC39" s="984"/>
      <c r="AD39" s="599"/>
      <c r="AE39" s="599"/>
      <c r="AF39" s="599"/>
    </row>
    <row r="40" spans="1:32" ht="63.75" customHeight="1">
      <c r="A40" s="1081"/>
      <c r="B40" s="1082" t="s">
        <v>1252</v>
      </c>
      <c r="C40" s="599" t="s">
        <v>1253</v>
      </c>
      <c r="D40" s="1083" t="s">
        <v>3580</v>
      </c>
      <c r="E40" s="741"/>
      <c r="F40" s="599"/>
      <c r="G40" s="599"/>
      <c r="H40" s="599"/>
      <c r="I40" s="599"/>
      <c r="J40" s="1084" t="s">
        <v>1254</v>
      </c>
      <c r="K40" s="1085"/>
      <c r="L40" s="442" t="s">
        <v>401</v>
      </c>
      <c r="M40" s="1001"/>
      <c r="N40" s="594"/>
      <c r="O40" s="599"/>
      <c r="P40" s="599"/>
      <c r="Q40" s="984"/>
      <c r="R40" s="1003"/>
      <c r="S40" s="1029"/>
      <c r="T40" s="1029"/>
      <c r="U40" s="1029"/>
      <c r="V40" s="599"/>
      <c r="W40" s="599"/>
      <c r="X40" s="599"/>
      <c r="Y40" s="890"/>
      <c r="Z40" s="599"/>
      <c r="AA40" s="599"/>
      <c r="AB40" s="599"/>
      <c r="AC40" s="984"/>
      <c r="AD40" s="599"/>
      <c r="AE40" s="599"/>
      <c r="AF40" s="599"/>
    </row>
    <row r="41" spans="1:32" ht="26.25" customHeight="1">
      <c r="A41" s="2568">
        <v>3</v>
      </c>
      <c r="B41" s="2662" t="s">
        <v>1255</v>
      </c>
      <c r="C41" s="2542" t="s">
        <v>1256</v>
      </c>
      <c r="D41" s="2673" t="s">
        <v>1257</v>
      </c>
      <c r="E41" s="2645">
        <v>39962</v>
      </c>
      <c r="F41" s="601">
        <f>4528000+148000</f>
        <v>4676000</v>
      </c>
      <c r="G41" s="601">
        <f>J41-K41</f>
        <v>4675999.96</v>
      </c>
      <c r="H41" s="601"/>
      <c r="I41" s="601"/>
      <c r="J41" s="1002">
        <f>74999.96+39000+4187107.46+148000+226892.54</f>
        <v>4675999.96</v>
      </c>
      <c r="K41" s="1086"/>
      <c r="L41" s="602"/>
      <c r="M41" s="1001" t="s">
        <v>1258</v>
      </c>
      <c r="N41" s="594" t="s">
        <v>3581</v>
      </c>
      <c r="O41" s="1006">
        <v>1110000</v>
      </c>
      <c r="P41" s="599">
        <f>490000</f>
        <v>490000</v>
      </c>
      <c r="Q41" s="984"/>
      <c r="R41" s="1003">
        <f>490000+620000</f>
        <v>1110000</v>
      </c>
      <c r="S41" s="1087">
        <v>39868</v>
      </c>
      <c r="T41" s="1087"/>
      <c r="U41" s="1087"/>
      <c r="V41" s="599"/>
      <c r="W41" s="446" t="s">
        <v>401</v>
      </c>
      <c r="X41" s="446"/>
      <c r="Y41" s="890"/>
      <c r="Z41" s="599"/>
      <c r="AA41" s="599"/>
      <c r="AB41" s="599"/>
      <c r="AC41" s="984"/>
      <c r="AD41" s="599"/>
      <c r="AE41" s="599"/>
      <c r="AF41" s="599"/>
    </row>
    <row r="42" spans="1:32" ht="28.5" customHeight="1">
      <c r="A42" s="2568"/>
      <c r="B42" s="2662"/>
      <c r="C42" s="2542"/>
      <c r="D42" s="2673"/>
      <c r="E42" s="2645"/>
      <c r="F42" s="601"/>
      <c r="G42" s="599"/>
      <c r="H42" s="599"/>
      <c r="I42" s="599"/>
      <c r="J42" s="1002"/>
      <c r="K42" s="984"/>
      <c r="L42" s="602"/>
      <c r="M42" s="1001" t="s">
        <v>1259</v>
      </c>
      <c r="N42" s="594" t="s">
        <v>1260</v>
      </c>
      <c r="O42" s="1006">
        <v>70000</v>
      </c>
      <c r="P42" s="599">
        <v>70000</v>
      </c>
      <c r="Q42" s="984"/>
      <c r="R42" s="1003">
        <v>70000</v>
      </c>
      <c r="S42" s="1087">
        <v>39868</v>
      </c>
      <c r="T42" s="1087"/>
      <c r="U42" s="1087"/>
      <c r="V42" s="599"/>
      <c r="W42" s="446" t="s">
        <v>401</v>
      </c>
      <c r="X42" s="446"/>
      <c r="Y42" s="890"/>
      <c r="Z42" s="599"/>
      <c r="AA42" s="599"/>
      <c r="AB42" s="599"/>
      <c r="AC42" s="599"/>
      <c r="AD42" s="1088"/>
      <c r="AE42" s="599"/>
      <c r="AF42" s="599"/>
    </row>
    <row r="43" spans="1:32" ht="27.75" customHeight="1">
      <c r="A43" s="2568"/>
      <c r="B43" s="2662"/>
      <c r="C43" s="2542"/>
      <c r="D43" s="2673"/>
      <c r="E43" s="2645"/>
      <c r="F43" s="601"/>
      <c r="G43" s="599"/>
      <c r="H43" s="599"/>
      <c r="I43" s="599"/>
      <c r="J43" s="1002"/>
      <c r="K43" s="984"/>
      <c r="L43" s="442" t="s">
        <v>401</v>
      </c>
      <c r="M43" s="1001" t="s">
        <v>1261</v>
      </c>
      <c r="N43" s="594" t="s">
        <v>1262</v>
      </c>
      <c r="O43" s="599">
        <v>300000</v>
      </c>
      <c r="P43" s="599">
        <v>300000</v>
      </c>
      <c r="Q43" s="599"/>
      <c r="R43" s="1002">
        <v>300000</v>
      </c>
      <c r="S43" s="1087">
        <v>39868</v>
      </c>
      <c r="T43" s="1087"/>
      <c r="U43" s="1087"/>
      <c r="V43" s="599"/>
      <c r="W43" s="446" t="s">
        <v>401</v>
      </c>
      <c r="X43" s="446"/>
      <c r="Y43" s="890"/>
      <c r="Z43" s="599"/>
      <c r="AA43" s="599"/>
      <c r="AB43" s="599"/>
      <c r="AC43" s="599"/>
      <c r="AD43" s="984"/>
      <c r="AE43" s="599"/>
      <c r="AF43" s="599"/>
    </row>
    <row r="44" spans="1:32" ht="45" customHeight="1">
      <c r="A44" s="2568"/>
      <c r="B44" s="2662"/>
      <c r="C44" s="2542"/>
      <c r="D44" s="2673"/>
      <c r="E44" s="2645"/>
      <c r="F44" s="601"/>
      <c r="G44" s="599"/>
      <c r="H44" s="599"/>
      <c r="I44" s="599"/>
      <c r="J44" s="1002"/>
      <c r="K44" s="984"/>
      <c r="L44" s="602"/>
      <c r="M44" s="1001" t="s">
        <v>1263</v>
      </c>
      <c r="N44" s="446" t="s">
        <v>3582</v>
      </c>
      <c r="O44" s="599" t="s">
        <v>1264</v>
      </c>
      <c r="P44" s="599">
        <f>18320+45800</f>
        <v>64120</v>
      </c>
      <c r="Q44" s="984"/>
      <c r="R44" s="984" t="s">
        <v>1265</v>
      </c>
      <c r="S44" s="984"/>
      <c r="T44" s="984"/>
      <c r="U44" s="984"/>
      <c r="V44" s="599"/>
      <c r="W44" s="446" t="s">
        <v>401</v>
      </c>
      <c r="X44" s="446"/>
      <c r="Y44" s="890"/>
      <c r="Z44" s="599"/>
      <c r="AA44" s="599"/>
      <c r="AB44" s="599"/>
      <c r="AC44" s="599"/>
      <c r="AD44" s="984"/>
      <c r="AE44" s="599"/>
      <c r="AF44" s="599"/>
    </row>
    <row r="45" spans="1:32" ht="48" customHeight="1">
      <c r="A45" s="2568">
        <v>4</v>
      </c>
      <c r="B45" s="2662" t="s">
        <v>1255</v>
      </c>
      <c r="C45" s="2542" t="s">
        <v>1256</v>
      </c>
      <c r="D45" s="2673" t="s">
        <v>1266</v>
      </c>
      <c r="E45" s="2645">
        <v>39962</v>
      </c>
      <c r="F45" s="601">
        <f>4528000+148000</f>
        <v>4676000</v>
      </c>
      <c r="G45" s="601">
        <f>J45-K45</f>
        <v>4675999.95</v>
      </c>
      <c r="H45" s="601"/>
      <c r="I45" s="601"/>
      <c r="J45" s="1002">
        <f>74999.96+39000+1339411.93+2847695.52+148000+226892.54</f>
        <v>4675999.95</v>
      </c>
      <c r="K45" s="1086"/>
      <c r="L45" s="442" t="s">
        <v>401</v>
      </c>
      <c r="M45" s="1001" t="s">
        <v>1267</v>
      </c>
      <c r="N45" s="446" t="s">
        <v>1268</v>
      </c>
      <c r="O45" s="599">
        <f>1110000+300000</f>
        <v>1410000</v>
      </c>
      <c r="P45" s="1089"/>
      <c r="Q45" s="1089"/>
      <c r="R45" s="1002">
        <f>1110000+300000</f>
        <v>1410000</v>
      </c>
      <c r="S45" s="1036" t="s">
        <v>1269</v>
      </c>
      <c r="T45" s="1036"/>
      <c r="U45" s="1036"/>
      <c r="V45" s="624"/>
      <c r="W45" s="446" t="s">
        <v>401</v>
      </c>
      <c r="X45" s="446"/>
      <c r="Y45" s="890"/>
      <c r="Z45" s="599"/>
      <c r="AA45" s="599"/>
      <c r="AB45" s="599"/>
      <c r="AC45" s="599"/>
      <c r="AD45" s="984"/>
      <c r="AE45" s="599"/>
      <c r="AF45" s="599"/>
    </row>
    <row r="46" spans="1:32" ht="28.5" customHeight="1">
      <c r="A46" s="2568"/>
      <c r="B46" s="2662"/>
      <c r="C46" s="2542"/>
      <c r="D46" s="2673"/>
      <c r="E46" s="2645"/>
      <c r="F46" s="601"/>
      <c r="G46" s="599"/>
      <c r="H46" s="599"/>
      <c r="I46" s="599"/>
      <c r="J46" s="1002"/>
      <c r="K46" s="984"/>
      <c r="L46" s="599"/>
      <c r="M46" s="1001" t="s">
        <v>1270</v>
      </c>
      <c r="N46" s="594" t="s">
        <v>1271</v>
      </c>
      <c r="O46" s="1006">
        <v>70000</v>
      </c>
      <c r="P46" s="599"/>
      <c r="Q46" s="599"/>
      <c r="R46" s="1002">
        <v>70000</v>
      </c>
      <c r="S46" s="1087">
        <v>39868</v>
      </c>
      <c r="T46" s="1087"/>
      <c r="U46" s="1087"/>
      <c r="V46" s="580"/>
      <c r="W46" s="446" t="s">
        <v>401</v>
      </c>
      <c r="X46" s="446"/>
      <c r="Y46" s="890"/>
      <c r="Z46" s="599"/>
      <c r="AA46" s="599"/>
      <c r="AB46" s="599"/>
      <c r="AC46" s="599"/>
      <c r="AD46" s="984"/>
      <c r="AE46" s="599"/>
      <c r="AF46" s="599"/>
    </row>
    <row r="47" spans="1:32" ht="36" customHeight="1">
      <c r="A47" s="1090"/>
      <c r="B47" s="988" t="s">
        <v>1272</v>
      </c>
      <c r="C47" s="965"/>
      <c r="D47" s="1091"/>
      <c r="E47" s="1092"/>
      <c r="F47" s="601"/>
      <c r="G47" s="599"/>
      <c r="H47" s="599"/>
      <c r="I47" s="599"/>
      <c r="J47" s="1002"/>
      <c r="K47" s="984"/>
      <c r="L47" s="599"/>
      <c r="M47" s="1001" t="s">
        <v>1273</v>
      </c>
      <c r="N47" s="594" t="s">
        <v>1274</v>
      </c>
      <c r="O47" s="1007">
        <v>124000</v>
      </c>
      <c r="P47" s="599"/>
      <c r="Q47" s="984"/>
      <c r="R47" s="1003"/>
      <c r="S47" s="1087"/>
      <c r="T47" s="1087"/>
      <c r="U47" s="1087"/>
      <c r="V47" s="580"/>
      <c r="W47" s="446"/>
      <c r="X47" s="446"/>
      <c r="Y47" s="890"/>
      <c r="Z47" s="599"/>
      <c r="AA47" s="599"/>
      <c r="AB47" s="599"/>
      <c r="AC47" s="599"/>
      <c r="AD47" s="984"/>
      <c r="AE47" s="599"/>
      <c r="AF47" s="599"/>
    </row>
    <row r="48" spans="1:32" ht="90" customHeight="1">
      <c r="A48" s="311">
        <v>5</v>
      </c>
      <c r="B48" s="1015" t="s">
        <v>3583</v>
      </c>
      <c r="C48" s="599" t="s">
        <v>1275</v>
      </c>
      <c r="D48" s="446" t="s">
        <v>1276</v>
      </c>
      <c r="E48" s="599"/>
      <c r="F48" s="599">
        <v>179999.75</v>
      </c>
      <c r="G48" s="446">
        <v>125999.82</v>
      </c>
      <c r="H48" s="446">
        <v>125999.82</v>
      </c>
      <c r="I48" s="446"/>
      <c r="J48" s="1093" t="s">
        <v>1277</v>
      </c>
      <c r="K48" s="984"/>
      <c r="L48" s="442" t="s">
        <v>401</v>
      </c>
      <c r="M48" s="1001" t="s">
        <v>1278</v>
      </c>
      <c r="N48" s="594" t="s">
        <v>1279</v>
      </c>
      <c r="O48" s="1007">
        <v>100000</v>
      </c>
      <c r="P48" s="599"/>
      <c r="Q48" s="984"/>
      <c r="R48" s="1003">
        <v>100000</v>
      </c>
      <c r="S48" s="1029">
        <v>39896</v>
      </c>
      <c r="T48" s="1029"/>
      <c r="U48" s="1029"/>
      <c r="V48" s="599" t="s">
        <v>1280</v>
      </c>
      <c r="W48" s="446" t="s">
        <v>401</v>
      </c>
      <c r="X48" s="446"/>
      <c r="Y48" s="599"/>
      <c r="Z48" s="599"/>
      <c r="AA48" s="599"/>
      <c r="AB48" s="599"/>
      <c r="AC48" s="599"/>
      <c r="AD48" s="984"/>
      <c r="AE48" s="599"/>
      <c r="AF48" s="599"/>
    </row>
    <row r="49" spans="1:32" ht="36.75" customHeight="1">
      <c r="A49" s="1004"/>
      <c r="B49" s="1015" t="s">
        <v>3584</v>
      </c>
      <c r="C49" s="599" t="s">
        <v>1281</v>
      </c>
      <c r="D49" s="446" t="s">
        <v>1282</v>
      </c>
      <c r="E49" s="1094">
        <v>39999</v>
      </c>
      <c r="F49" s="599">
        <v>285000</v>
      </c>
      <c r="G49" s="599"/>
      <c r="H49" s="599"/>
      <c r="I49" s="599"/>
      <c r="J49" s="1002">
        <f>123013.57+161986.43</f>
        <v>285000</v>
      </c>
      <c r="K49" s="1024"/>
      <c r="L49" s="442" t="s">
        <v>401</v>
      </c>
      <c r="M49" s="1001" t="s">
        <v>1283</v>
      </c>
      <c r="N49" s="594" t="s">
        <v>1284</v>
      </c>
      <c r="O49" s="1006">
        <v>250000</v>
      </c>
      <c r="P49" s="1054"/>
      <c r="Q49" s="1028"/>
      <c r="R49" s="1007">
        <f>105000+145000</f>
        <v>250000</v>
      </c>
      <c r="S49" s="1095">
        <v>39989</v>
      </c>
      <c r="T49" s="1095"/>
      <c r="U49" s="1095"/>
      <c r="V49" s="599"/>
      <c r="W49" s="446" t="s">
        <v>401</v>
      </c>
      <c r="X49" s="446"/>
      <c r="Y49" s="599"/>
      <c r="Z49" s="599"/>
      <c r="AA49" s="599"/>
      <c r="AB49" s="599"/>
      <c r="AC49" s="599"/>
      <c r="AD49" s="984"/>
      <c r="AE49" s="599"/>
      <c r="AF49" s="599"/>
    </row>
    <row r="50" spans="1:32" ht="54" customHeight="1">
      <c r="A50" s="1004"/>
      <c r="B50" s="1015" t="s">
        <v>3585</v>
      </c>
      <c r="C50" s="599" t="s">
        <v>1285</v>
      </c>
      <c r="D50" s="446" t="s">
        <v>1286</v>
      </c>
      <c r="E50" s="1094" t="s">
        <v>1287</v>
      </c>
      <c r="F50" s="601">
        <v>36000</v>
      </c>
      <c r="G50" s="890"/>
      <c r="H50" s="890"/>
      <c r="I50" s="890"/>
      <c r="J50" s="1096">
        <v>36000</v>
      </c>
      <c r="K50" s="984"/>
      <c r="L50" s="442" t="s">
        <v>401</v>
      </c>
      <c r="M50" s="1001"/>
      <c r="N50" s="1017"/>
      <c r="O50" s="599"/>
      <c r="P50" s="599"/>
      <c r="Q50" s="984"/>
      <c r="R50" s="984"/>
      <c r="S50" s="984"/>
      <c r="T50" s="984"/>
      <c r="U50" s="984"/>
      <c r="V50" s="599"/>
      <c r="W50" s="599"/>
      <c r="X50" s="599"/>
      <c r="Y50" s="599"/>
      <c r="Z50" s="599"/>
      <c r="AA50" s="599"/>
      <c r="AB50" s="599"/>
      <c r="AC50" s="599"/>
      <c r="AD50" s="984"/>
      <c r="AE50" s="599"/>
      <c r="AF50" s="599"/>
    </row>
    <row r="51" spans="1:32" ht="42" customHeight="1">
      <c r="A51" s="2568">
        <v>6</v>
      </c>
      <c r="B51" s="822"/>
      <c r="C51" s="741"/>
      <c r="D51" s="741"/>
      <c r="E51" s="1066"/>
      <c r="F51" s="584"/>
      <c r="G51" s="741"/>
      <c r="H51" s="741"/>
      <c r="I51" s="741"/>
      <c r="J51" s="1047">
        <f>128000+3035271.6+1629900</f>
        <v>4793171.5999999996</v>
      </c>
      <c r="K51" s="2672"/>
      <c r="L51" s="2351" t="s">
        <v>401</v>
      </c>
      <c r="M51" s="1001" t="s">
        <v>1288</v>
      </c>
      <c r="N51" s="446" t="s">
        <v>1289</v>
      </c>
      <c r="O51" s="599">
        <v>168000</v>
      </c>
      <c r="P51" s="1097">
        <v>168000</v>
      </c>
      <c r="Q51" s="1098"/>
      <c r="R51" s="1036"/>
      <c r="S51" s="984"/>
      <c r="T51" s="984"/>
      <c r="U51" s="984"/>
      <c r="V51" s="599"/>
      <c r="W51" s="599"/>
      <c r="X51" s="599"/>
      <c r="Y51" s="599"/>
      <c r="Z51" s="599"/>
      <c r="AA51" s="599"/>
      <c r="AB51" s="599"/>
      <c r="AC51" s="599"/>
      <c r="AD51" s="984"/>
      <c r="AE51" s="599"/>
      <c r="AF51" s="599"/>
    </row>
    <row r="52" spans="1:32" ht="48.75" customHeight="1">
      <c r="A52" s="2568"/>
      <c r="B52" s="2515" t="s">
        <v>3586</v>
      </c>
      <c r="C52" s="2476" t="s">
        <v>1290</v>
      </c>
      <c r="D52" s="1099" t="s">
        <v>1291</v>
      </c>
      <c r="E52" s="1100">
        <v>40137</v>
      </c>
      <c r="F52" s="1101">
        <v>5282171.6100000003</v>
      </c>
      <c r="G52" s="2669">
        <f>(3112071.61+51200+39900+954000)</f>
        <v>4157171.61</v>
      </c>
      <c r="H52" s="970"/>
      <c r="I52" s="970"/>
      <c r="J52" s="2670" t="s">
        <v>1292</v>
      </c>
      <c r="K52" s="2672"/>
      <c r="L52" s="2351"/>
      <c r="M52" s="1017" t="s">
        <v>1293</v>
      </c>
      <c r="N52" s="446" t="s">
        <v>1294</v>
      </c>
      <c r="O52" s="1052">
        <f>400000+376000+196000</f>
        <v>972000</v>
      </c>
      <c r="P52" s="594" t="s">
        <v>3587</v>
      </c>
      <c r="Q52" s="1052"/>
      <c r="R52" s="1036" t="s">
        <v>3588</v>
      </c>
      <c r="S52" s="1102" t="s">
        <v>1295</v>
      </c>
      <c r="T52" s="1087"/>
      <c r="U52" s="1087"/>
      <c r="V52" s="1006"/>
      <c r="W52" s="446" t="s">
        <v>401</v>
      </c>
      <c r="X52" s="446"/>
      <c r="Y52" s="599"/>
      <c r="Z52" s="599"/>
      <c r="AA52" s="599"/>
      <c r="AB52" s="599"/>
      <c r="AC52" s="599"/>
      <c r="AD52" s="984"/>
      <c r="AE52" s="599"/>
      <c r="AF52" s="599"/>
    </row>
    <row r="53" spans="1:32" ht="38.25" customHeight="1">
      <c r="A53" s="2568"/>
      <c r="B53" s="2515"/>
      <c r="C53" s="2476"/>
      <c r="D53" s="1103" t="s">
        <v>1296</v>
      </c>
      <c r="E53" s="1104">
        <v>40633</v>
      </c>
      <c r="F53" s="1105"/>
      <c r="G53" s="2669"/>
      <c r="H53" s="1106">
        <v>5005571.6100000003</v>
      </c>
      <c r="I53" s="1106"/>
      <c r="J53" s="2670"/>
      <c r="K53" s="2672"/>
      <c r="L53" s="2351"/>
      <c r="M53" s="1017" t="s">
        <v>1297</v>
      </c>
      <c r="N53" s="1031" t="s">
        <v>3589</v>
      </c>
      <c r="O53" s="1006">
        <v>498000</v>
      </c>
      <c r="P53" s="1107">
        <v>498000</v>
      </c>
      <c r="Q53" s="1108"/>
      <c r="R53" s="1036" t="s">
        <v>1298</v>
      </c>
      <c r="S53" s="1087">
        <v>39994</v>
      </c>
      <c r="T53" s="1087"/>
      <c r="U53" s="1087"/>
      <c r="V53" s="599"/>
      <c r="W53" s="446" t="s">
        <v>401</v>
      </c>
      <c r="X53" s="446"/>
      <c r="Y53" s="599"/>
      <c r="Z53" s="599"/>
      <c r="AA53" s="599"/>
      <c r="AB53" s="599"/>
      <c r="AC53" s="599"/>
      <c r="AD53" s="984"/>
      <c r="AE53" s="599"/>
      <c r="AF53" s="599"/>
    </row>
    <row r="54" spans="1:32" s="1010" customFormat="1" ht="42.75" customHeight="1">
      <c r="A54" s="2568">
        <v>7</v>
      </c>
      <c r="B54" s="2652" t="s">
        <v>1299</v>
      </c>
      <c r="C54" s="2568" t="s">
        <v>1300</v>
      </c>
      <c r="D54" s="2558" t="s">
        <v>1301</v>
      </c>
      <c r="E54" s="2568" t="s">
        <v>1302</v>
      </c>
      <c r="F54" s="2643">
        <v>1693812</v>
      </c>
      <c r="G54" s="2671">
        <f>880202.4+120000+39000+377229.6+148428</f>
        <v>1564860</v>
      </c>
      <c r="H54" s="2671">
        <f>120000+200000+29688.84+270311.16+380202.4+148428+77229.6+300000+167952</f>
        <v>1693812</v>
      </c>
      <c r="I54" s="1109"/>
      <c r="J54" s="2643">
        <f>1416432+277380</f>
        <v>1693812</v>
      </c>
      <c r="K54" s="2643"/>
      <c r="L54" s="2558" t="s">
        <v>401</v>
      </c>
      <c r="M54" s="1017" t="s">
        <v>1303</v>
      </c>
      <c r="N54" s="594" t="s">
        <v>1304</v>
      </c>
      <c r="O54" s="1006">
        <v>350000</v>
      </c>
      <c r="P54" s="1006">
        <v>350000</v>
      </c>
      <c r="Q54" s="1006"/>
      <c r="R54" s="1006">
        <v>350000</v>
      </c>
      <c r="S54" s="1025">
        <v>40177</v>
      </c>
      <c r="T54" s="1025"/>
      <c r="U54" s="1025"/>
      <c r="V54" s="1006"/>
      <c r="W54" s="446" t="s">
        <v>401</v>
      </c>
      <c r="X54" s="446"/>
      <c r="Y54" s="1006"/>
      <c r="Z54" s="1006"/>
      <c r="AA54" s="1006"/>
      <c r="AB54" s="1006"/>
      <c r="AC54" s="1006"/>
      <c r="AD54" s="1007"/>
      <c r="AE54" s="1006"/>
      <c r="AF54" s="1006"/>
    </row>
    <row r="55" spans="1:32" s="1010" customFormat="1" ht="63.75" customHeight="1">
      <c r="A55" s="2568"/>
      <c r="B55" s="2652"/>
      <c r="C55" s="2568"/>
      <c r="D55" s="2558"/>
      <c r="E55" s="2568"/>
      <c r="F55" s="2643"/>
      <c r="G55" s="2671"/>
      <c r="H55" s="2671"/>
      <c r="I55" s="1110"/>
      <c r="J55" s="2643"/>
      <c r="K55" s="2643"/>
      <c r="L55" s="2558"/>
      <c r="M55" s="1017" t="s">
        <v>1305</v>
      </c>
      <c r="N55" s="1031" t="s">
        <v>3590</v>
      </c>
      <c r="O55" s="1006">
        <v>650000</v>
      </c>
      <c r="P55" s="1006">
        <v>450000</v>
      </c>
      <c r="Q55" s="1007"/>
      <c r="R55" s="1007">
        <v>650000</v>
      </c>
      <c r="S55" s="1025">
        <v>40177</v>
      </c>
      <c r="T55" s="1025"/>
      <c r="U55" s="1025"/>
      <c r="V55" s="1054">
        <f>O55-P55</f>
        <v>200000</v>
      </c>
      <c r="W55" s="446" t="s">
        <v>401</v>
      </c>
      <c r="X55" s="446"/>
      <c r="Y55" s="1006"/>
      <c r="Z55" s="1006"/>
      <c r="AA55" s="1006"/>
      <c r="AB55" s="1006"/>
      <c r="AC55" s="1006"/>
      <c r="AD55" s="1007"/>
      <c r="AE55" s="1006"/>
      <c r="AF55" s="1006"/>
    </row>
    <row r="56" spans="1:32" ht="74.25" customHeight="1">
      <c r="A56" s="311">
        <v>8</v>
      </c>
      <c r="B56" s="594" t="s">
        <v>3591</v>
      </c>
      <c r="C56" s="599" t="s">
        <v>1306</v>
      </c>
      <c r="D56" s="1111" t="s">
        <v>1307</v>
      </c>
      <c r="E56" s="1112" t="s">
        <v>1308</v>
      </c>
      <c r="F56" s="601">
        <v>335000</v>
      </c>
      <c r="G56" s="601">
        <v>200000</v>
      </c>
      <c r="H56" s="601">
        <v>335000</v>
      </c>
      <c r="I56" s="601"/>
      <c r="J56" s="1096">
        <f>F56</f>
        <v>335000</v>
      </c>
      <c r="K56" s="1113"/>
      <c r="L56" s="442" t="s">
        <v>401</v>
      </c>
      <c r="M56" s="1115"/>
      <c r="N56" s="1006"/>
      <c r="O56" s="1006"/>
      <c r="P56" s="1006"/>
      <c r="Q56" s="1006"/>
      <c r="R56" s="1054"/>
      <c r="S56" s="1116"/>
      <c r="T56" s="1116"/>
      <c r="U56" s="1116"/>
      <c r="V56" s="599"/>
      <c r="W56" s="599"/>
      <c r="X56" s="599"/>
      <c r="Y56" s="599"/>
      <c r="Z56" s="599"/>
      <c r="AA56" s="599"/>
      <c r="AB56" s="599"/>
      <c r="AC56" s="599"/>
      <c r="AD56" s="984"/>
      <c r="AE56" s="599"/>
      <c r="AF56" s="599"/>
    </row>
    <row r="57" spans="1:32" ht="59.25" customHeight="1">
      <c r="A57" s="1117" t="s">
        <v>1309</v>
      </c>
      <c r="B57" s="594" t="s">
        <v>3592</v>
      </c>
      <c r="C57" s="599" t="s">
        <v>1310</v>
      </c>
      <c r="D57" s="1111" t="s">
        <v>1311</v>
      </c>
      <c r="E57" s="1118" t="s">
        <v>1312</v>
      </c>
      <c r="F57" s="1119" t="s">
        <v>1313</v>
      </c>
      <c r="G57" s="1119" t="s">
        <v>1314</v>
      </c>
      <c r="H57" s="1119"/>
      <c r="I57" s="1119"/>
      <c r="J57" s="1002" t="s">
        <v>3593</v>
      </c>
      <c r="K57" s="984"/>
      <c r="L57" s="442" t="s">
        <v>401</v>
      </c>
      <c r="M57" s="1001" t="s">
        <v>1315</v>
      </c>
      <c r="N57" s="1120" t="s">
        <v>1316</v>
      </c>
      <c r="O57" s="599" t="s">
        <v>1317</v>
      </c>
      <c r="P57" s="599" t="s">
        <v>1318</v>
      </c>
      <c r="Q57" s="984"/>
      <c r="R57" s="984"/>
      <c r="S57" s="984"/>
      <c r="T57" s="984"/>
      <c r="U57" s="984"/>
      <c r="V57" s="599"/>
      <c r="W57" s="599"/>
      <c r="X57" s="599"/>
      <c r="Y57" s="599"/>
      <c r="Z57" s="599"/>
      <c r="AA57" s="599"/>
      <c r="AB57" s="599"/>
      <c r="AC57" s="599"/>
      <c r="AD57" s="984"/>
      <c r="AE57" s="599"/>
      <c r="AF57" s="599"/>
    </row>
    <row r="58" spans="1:32" ht="75" customHeight="1">
      <c r="A58" s="311">
        <v>9</v>
      </c>
      <c r="B58" s="1076" t="s">
        <v>3594</v>
      </c>
      <c r="C58" s="599" t="s">
        <v>1319</v>
      </c>
      <c r="D58" s="1111" t="s">
        <v>3595</v>
      </c>
      <c r="E58" s="1118" t="s">
        <v>1320</v>
      </c>
      <c r="F58" s="601">
        <f>1928715.77+140529.21</f>
        <v>2069244.98</v>
      </c>
      <c r="G58" s="601" t="s">
        <v>3596</v>
      </c>
      <c r="H58" s="601">
        <f>1157229.46+140529.21</f>
        <v>1297758.67</v>
      </c>
      <c r="I58" s="601"/>
      <c r="J58" s="1027" t="s">
        <v>1321</v>
      </c>
      <c r="K58" s="2574" t="s">
        <v>1322</v>
      </c>
      <c r="L58" s="2574"/>
      <c r="M58" s="1121" t="s">
        <v>1323</v>
      </c>
      <c r="N58" s="594" t="s">
        <v>3597</v>
      </c>
      <c r="O58" s="1006" t="s">
        <v>1324</v>
      </c>
      <c r="P58" s="1006"/>
      <c r="Q58" s="1007"/>
      <c r="R58" s="1007">
        <v>1650000</v>
      </c>
      <c r="S58" s="1025">
        <v>40359</v>
      </c>
      <c r="T58" s="1025"/>
      <c r="U58" s="1025"/>
      <c r="V58" s="599"/>
      <c r="W58" s="599"/>
      <c r="X58" s="599"/>
      <c r="Y58" s="599"/>
      <c r="Z58" s="599"/>
      <c r="AA58" s="599"/>
      <c r="AB58" s="599"/>
      <c r="AC58" s="599"/>
      <c r="AD58" s="984"/>
      <c r="AE58" s="599"/>
      <c r="AF58" s="599"/>
    </row>
    <row r="59" spans="1:32" ht="44.85" customHeight="1">
      <c r="A59" s="1117">
        <v>10</v>
      </c>
      <c r="B59" s="446" t="s">
        <v>3598</v>
      </c>
      <c r="C59" s="599" t="s">
        <v>1325</v>
      </c>
      <c r="D59" s="1111" t="s">
        <v>1326</v>
      </c>
      <c r="E59" s="1122" t="s">
        <v>1327</v>
      </c>
      <c r="F59" s="601">
        <v>390792.99</v>
      </c>
      <c r="G59" s="601">
        <v>235000</v>
      </c>
      <c r="H59" s="601">
        <v>390792</v>
      </c>
      <c r="I59" s="601"/>
      <c r="J59" s="595">
        <v>390792.99</v>
      </c>
      <c r="K59" s="1113"/>
      <c r="L59" s="442" t="s">
        <v>401</v>
      </c>
      <c r="M59" s="1115"/>
      <c r="N59" s="599"/>
      <c r="O59" s="599"/>
      <c r="P59" s="599"/>
      <c r="Q59" s="984"/>
      <c r="R59" s="1007"/>
      <c r="S59" s="984"/>
      <c r="T59" s="984"/>
      <c r="U59" s="984"/>
      <c r="V59" s="599"/>
      <c r="W59" s="599"/>
      <c r="X59" s="599"/>
      <c r="Y59" s="599"/>
      <c r="Z59" s="599"/>
      <c r="AA59" s="599"/>
      <c r="AB59" s="599"/>
      <c r="AC59" s="599"/>
      <c r="AD59" s="984"/>
      <c r="AE59" s="599"/>
      <c r="AF59" s="599"/>
    </row>
    <row r="60" spans="1:32" s="1010" customFormat="1" ht="102" customHeight="1">
      <c r="A60" s="1064">
        <v>11</v>
      </c>
      <c r="B60" s="2683" t="s">
        <v>1328</v>
      </c>
      <c r="C60" s="2607" t="s">
        <v>1329</v>
      </c>
      <c r="D60" s="2684" t="s">
        <v>1330</v>
      </c>
      <c r="E60" s="2685" t="s">
        <v>1331</v>
      </c>
      <c r="F60" s="2646">
        <v>6360000</v>
      </c>
      <c r="G60" s="1055">
        <v>2142000</v>
      </c>
      <c r="H60" s="2643" t="s">
        <v>3599</v>
      </c>
      <c r="I60" s="2643" t="s">
        <v>1332</v>
      </c>
      <c r="J60" s="1006">
        <f>239999.6+2000190.55+4119809.85</f>
        <v>6360000</v>
      </c>
      <c r="K60" s="1123"/>
      <c r="L60" s="442" t="s">
        <v>401</v>
      </c>
      <c r="M60" s="1115" t="s">
        <v>1333</v>
      </c>
      <c r="N60" s="594" t="s">
        <v>3600</v>
      </c>
      <c r="O60" s="1006">
        <f>2050000</f>
        <v>2050000</v>
      </c>
      <c r="P60" s="1006"/>
      <c r="Q60" s="1006"/>
      <c r="R60" s="1006" t="s">
        <v>1334</v>
      </c>
      <c r="S60" s="1025" t="s">
        <v>1335</v>
      </c>
      <c r="T60" s="1025"/>
      <c r="U60" s="1025"/>
      <c r="V60" s="1006"/>
      <c r="W60" s="1006"/>
      <c r="X60" s="1006"/>
      <c r="Y60" s="1006"/>
      <c r="Z60" s="594"/>
      <c r="AA60" s="1006"/>
      <c r="AB60" s="1006"/>
      <c r="AC60" s="1006"/>
      <c r="AD60" s="1007"/>
      <c r="AE60" s="1006"/>
      <c r="AF60" s="1006"/>
    </row>
    <row r="61" spans="1:32" ht="62.25" customHeight="1">
      <c r="A61" s="588"/>
      <c r="B61" s="2683"/>
      <c r="C61" s="2607"/>
      <c r="D61" s="2684"/>
      <c r="E61" s="2685"/>
      <c r="F61" s="2646"/>
      <c r="G61" s="1124"/>
      <c r="H61" s="2643"/>
      <c r="I61" s="2643"/>
      <c r="J61" s="1046"/>
      <c r="K61" s="1125"/>
      <c r="L61" s="595"/>
      <c r="M61" s="1126" t="s">
        <v>1336</v>
      </c>
      <c r="N61" s="1127" t="s">
        <v>3601</v>
      </c>
      <c r="O61" s="1006">
        <v>1250000</v>
      </c>
      <c r="P61" s="1006" t="s">
        <v>3602</v>
      </c>
      <c r="Q61" s="1006" t="s">
        <v>3603</v>
      </c>
      <c r="R61" s="1128">
        <v>1000000</v>
      </c>
      <c r="S61" s="1129">
        <v>41362</v>
      </c>
      <c r="T61" s="1025"/>
      <c r="U61" s="1025"/>
      <c r="V61" s="599"/>
      <c r="W61" s="599"/>
      <c r="X61" s="599"/>
      <c r="Y61" s="599"/>
      <c r="Z61" s="624">
        <v>1000000</v>
      </c>
      <c r="AA61" s="599"/>
      <c r="AB61" s="599"/>
      <c r="AC61" s="599"/>
      <c r="AD61" s="984"/>
      <c r="AE61" s="599"/>
      <c r="AF61" s="599"/>
    </row>
    <row r="62" spans="1:32" ht="63" customHeight="1">
      <c r="A62" s="1081"/>
      <c r="B62" s="2683"/>
      <c r="C62" s="2607"/>
      <c r="D62" s="2684"/>
      <c r="E62" s="2685"/>
      <c r="F62" s="2646"/>
      <c r="G62" s="1124"/>
      <c r="H62" s="1130"/>
      <c r="I62" s="1130"/>
      <c r="J62" s="1046"/>
      <c r="K62" s="1125"/>
      <c r="L62" s="595"/>
      <c r="M62" s="1131" t="s">
        <v>1337</v>
      </c>
      <c r="N62" s="1132" t="s">
        <v>3604</v>
      </c>
      <c r="O62" s="1006">
        <v>1862639.16</v>
      </c>
      <c r="P62" s="1006"/>
      <c r="Q62" s="1006"/>
      <c r="R62" s="1006" t="s">
        <v>1338</v>
      </c>
      <c r="S62" s="1025"/>
      <c r="T62" s="1025"/>
      <c r="U62" s="1025"/>
      <c r="V62" s="599"/>
      <c r="W62" s="599"/>
      <c r="X62" s="599"/>
      <c r="Y62" s="599"/>
      <c r="Z62" s="624"/>
      <c r="AA62" s="599"/>
      <c r="AB62" s="599"/>
      <c r="AC62" s="599"/>
      <c r="AD62" s="984"/>
      <c r="AE62" s="599"/>
      <c r="AF62" s="599"/>
    </row>
    <row r="63" spans="1:32" ht="60" customHeight="1">
      <c r="A63" s="1133">
        <v>12</v>
      </c>
      <c r="B63" s="1050" t="s">
        <v>1339</v>
      </c>
      <c r="C63" s="741" t="s">
        <v>3605</v>
      </c>
      <c r="D63" s="1134" t="s">
        <v>1340</v>
      </c>
      <c r="E63" s="1135" t="s">
        <v>1341</v>
      </c>
      <c r="F63" s="1136">
        <v>663500</v>
      </c>
      <c r="G63" s="1137">
        <f>513500+150000</f>
        <v>663500</v>
      </c>
      <c r="H63" s="1124">
        <f>513500+150000</f>
        <v>663500</v>
      </c>
      <c r="I63" s="1124"/>
      <c r="J63" s="1136">
        <v>663500</v>
      </c>
      <c r="K63" s="1138"/>
      <c r="L63" s="442" t="s">
        <v>401</v>
      </c>
      <c r="M63" s="1139" t="s">
        <v>1342</v>
      </c>
      <c r="N63" s="1076" t="s">
        <v>3606</v>
      </c>
      <c r="O63" s="1140">
        <v>600000</v>
      </c>
      <c r="P63" s="1006">
        <v>550000</v>
      </c>
      <c r="Q63" s="1006"/>
      <c r="R63" s="1140">
        <v>600000</v>
      </c>
      <c r="S63" s="1025">
        <v>40151</v>
      </c>
      <c r="T63" s="1025"/>
      <c r="U63" s="1025"/>
      <c r="V63" s="1141"/>
      <c r="W63" s="599"/>
      <c r="X63" s="599"/>
      <c r="Y63" s="599"/>
      <c r="Z63" s="599"/>
      <c r="AA63" s="599"/>
      <c r="AB63" s="599"/>
      <c r="AC63" s="599"/>
      <c r="AD63" s="984"/>
      <c r="AE63" s="599"/>
      <c r="AF63" s="599"/>
    </row>
    <row r="64" spans="1:32" ht="37.5" customHeight="1">
      <c r="A64" s="1133"/>
      <c r="B64" s="2652" t="s">
        <v>1343</v>
      </c>
      <c r="C64" s="2542" t="s">
        <v>1344</v>
      </c>
      <c r="D64" s="2687" t="s">
        <v>1345</v>
      </c>
      <c r="E64" s="2567" t="s">
        <v>1346</v>
      </c>
      <c r="F64" s="2544">
        <f>1950000+28500</f>
        <v>1978500</v>
      </c>
      <c r="G64" s="2544">
        <f>76800+1015000</f>
        <v>1091800</v>
      </c>
      <c r="H64" s="2544">
        <f>1950000+28500</f>
        <v>1978500</v>
      </c>
      <c r="I64" s="1142"/>
      <c r="J64" s="2688">
        <v>1978500</v>
      </c>
      <c r="K64" s="2559"/>
      <c r="L64" s="2686" t="s">
        <v>401</v>
      </c>
      <c r="M64" s="1001" t="s">
        <v>1347</v>
      </c>
      <c r="N64" s="446" t="s">
        <v>1348</v>
      </c>
      <c r="O64" s="599" t="s">
        <v>1349</v>
      </c>
      <c r="P64" s="599" t="s">
        <v>1350</v>
      </c>
      <c r="Q64" s="984"/>
      <c r="R64" s="984"/>
      <c r="S64" s="984"/>
      <c r="T64" s="984"/>
      <c r="U64" s="984"/>
      <c r="V64" s="599"/>
      <c r="W64" s="599"/>
      <c r="X64" s="599"/>
      <c r="Y64" s="599"/>
      <c r="Z64" s="599"/>
      <c r="AA64" s="599"/>
      <c r="AB64" s="599"/>
      <c r="AC64" s="599"/>
      <c r="AD64" s="984"/>
      <c r="AE64" s="599"/>
      <c r="AF64" s="599"/>
    </row>
    <row r="65" spans="1:32" ht="36.75" customHeight="1">
      <c r="A65" s="1133">
        <v>13</v>
      </c>
      <c r="B65" s="2652"/>
      <c r="C65" s="2542"/>
      <c r="D65" s="2687"/>
      <c r="E65" s="2567"/>
      <c r="F65" s="2544"/>
      <c r="G65" s="2544"/>
      <c r="H65" s="2544"/>
      <c r="I65" s="1143"/>
      <c r="J65" s="2688"/>
      <c r="K65" s="2559"/>
      <c r="L65" s="2686"/>
      <c r="M65" s="1001" t="s">
        <v>1351</v>
      </c>
      <c r="N65" s="594" t="s">
        <v>3607</v>
      </c>
      <c r="O65" s="1006">
        <v>250000</v>
      </c>
      <c r="P65" s="1006">
        <v>187000</v>
      </c>
      <c r="Q65" s="1007"/>
      <c r="R65" s="1144">
        <v>250000</v>
      </c>
      <c r="S65" s="1145">
        <v>40312</v>
      </c>
      <c r="T65" s="1145"/>
      <c r="U65" s="1145"/>
      <c r="V65" s="1144">
        <v>250000</v>
      </c>
      <c r="W65" s="599"/>
      <c r="X65" s="599"/>
      <c r="Y65" s="599"/>
      <c r="Z65" s="599"/>
      <c r="AA65" s="599"/>
      <c r="AB65" s="599"/>
      <c r="AC65" s="599"/>
      <c r="AD65" s="984"/>
      <c r="AE65" s="599"/>
      <c r="AF65" s="599"/>
    </row>
    <row r="66" spans="1:32" ht="33" customHeight="1">
      <c r="A66" s="1133"/>
      <c r="B66" s="2652"/>
      <c r="C66" s="2542"/>
      <c r="D66" s="2687"/>
      <c r="E66" s="2567"/>
      <c r="F66" s="2544"/>
      <c r="G66" s="2544"/>
      <c r="H66" s="2544"/>
      <c r="I66" s="600"/>
      <c r="J66" s="2688"/>
      <c r="K66" s="2559"/>
      <c r="L66" s="2686"/>
      <c r="M66" s="1001" t="s">
        <v>1352</v>
      </c>
      <c r="N66" s="1076" t="s">
        <v>1353</v>
      </c>
      <c r="O66" s="1006">
        <v>400000</v>
      </c>
      <c r="P66" s="1006">
        <v>400000</v>
      </c>
      <c r="Q66" s="1007"/>
      <c r="R66" s="1007">
        <v>400000</v>
      </c>
      <c r="S66" s="1025">
        <v>40241</v>
      </c>
      <c r="T66" s="1025"/>
      <c r="U66" s="1025"/>
      <c r="V66" s="599"/>
      <c r="W66" s="446" t="s">
        <v>401</v>
      </c>
      <c r="X66" s="446"/>
      <c r="Y66" s="599"/>
      <c r="Z66" s="599"/>
      <c r="AA66" s="599"/>
      <c r="AB66" s="599"/>
      <c r="AC66" s="599"/>
      <c r="AD66" s="984"/>
      <c r="AE66" s="599"/>
      <c r="AF66" s="599"/>
    </row>
    <row r="67" spans="1:32" ht="52.5" customHeight="1">
      <c r="A67" s="2641">
        <v>14</v>
      </c>
      <c r="B67" s="2652" t="s">
        <v>1354</v>
      </c>
      <c r="C67" s="2542" t="s">
        <v>1355</v>
      </c>
      <c r="D67" s="2687" t="s">
        <v>1356</v>
      </c>
      <c r="E67" s="2689" t="s">
        <v>1357</v>
      </c>
      <c r="F67" s="2508">
        <v>4050000</v>
      </c>
      <c r="G67" s="2508">
        <v>1877000</v>
      </c>
      <c r="H67" s="2508" t="s">
        <v>3608</v>
      </c>
      <c r="I67" s="1142"/>
      <c r="J67" s="2667">
        <f>145000+1529789.84+2375210.16</f>
        <v>4050000</v>
      </c>
      <c r="K67" s="2628"/>
      <c r="L67" s="2668" t="s">
        <v>401</v>
      </c>
      <c r="M67" s="1146" t="s">
        <v>1358</v>
      </c>
      <c r="N67" s="1147" t="s">
        <v>1359</v>
      </c>
      <c r="O67" s="1148">
        <v>615000</v>
      </c>
      <c r="P67" s="1148">
        <v>615000</v>
      </c>
      <c r="Q67" s="1148"/>
      <c r="R67" s="1148" t="s">
        <v>1360</v>
      </c>
      <c r="S67" s="984"/>
      <c r="T67" s="984"/>
      <c r="U67" s="984"/>
      <c r="V67" s="599"/>
      <c r="W67" s="599"/>
      <c r="X67" s="599"/>
      <c r="Y67" s="599"/>
      <c r="Z67" s="599"/>
      <c r="AA67" s="599"/>
      <c r="AB67" s="599"/>
      <c r="AC67" s="599"/>
      <c r="AD67" s="984"/>
      <c r="AE67" s="599"/>
      <c r="AF67" s="599"/>
    </row>
    <row r="68" spans="1:32" ht="63.75" customHeight="1">
      <c r="A68" s="2641"/>
      <c r="B68" s="2652"/>
      <c r="C68" s="2542"/>
      <c r="D68" s="2687"/>
      <c r="E68" s="2689"/>
      <c r="F68" s="2508"/>
      <c r="G68" s="2508"/>
      <c r="H68" s="2508"/>
      <c r="I68" s="1143"/>
      <c r="J68" s="2667"/>
      <c r="K68" s="2628"/>
      <c r="L68" s="2668"/>
      <c r="M68" s="1146" t="s">
        <v>1361</v>
      </c>
      <c r="N68" s="1147" t="s">
        <v>1362</v>
      </c>
      <c r="O68" s="1149" t="s">
        <v>1363</v>
      </c>
      <c r="P68" s="1149" t="s">
        <v>1363</v>
      </c>
      <c r="Q68" s="1150"/>
      <c r="R68" s="1098" t="s">
        <v>1364</v>
      </c>
      <c r="S68" s="984"/>
      <c r="T68" s="984"/>
      <c r="U68" s="984"/>
      <c r="V68" s="599"/>
      <c r="W68" s="599"/>
      <c r="X68" s="599"/>
      <c r="Y68" s="599"/>
      <c r="Z68" s="599"/>
      <c r="AA68" s="599"/>
      <c r="AB68" s="599"/>
      <c r="AC68" s="599"/>
      <c r="AD68" s="984"/>
      <c r="AE68" s="599"/>
      <c r="AF68" s="599"/>
    </row>
    <row r="69" spans="1:32" ht="49.5" customHeight="1">
      <c r="A69" s="2641"/>
      <c r="B69" s="2652"/>
      <c r="C69" s="2542"/>
      <c r="D69" s="2687"/>
      <c r="E69" s="2689"/>
      <c r="F69" s="2508"/>
      <c r="G69" s="2508"/>
      <c r="H69" s="2508"/>
      <c r="I69" s="1143"/>
      <c r="J69" s="2667"/>
      <c r="K69" s="2628"/>
      <c r="L69" s="2668"/>
      <c r="M69" s="2663" t="s">
        <v>1365</v>
      </c>
      <c r="N69" s="594" t="s">
        <v>3609</v>
      </c>
      <c r="O69" s="1006">
        <f>870000</f>
        <v>870000</v>
      </c>
      <c r="P69" s="890" t="s">
        <v>1366</v>
      </c>
      <c r="Q69" s="1080"/>
      <c r="R69" s="1151" t="s">
        <v>3610</v>
      </c>
      <c r="S69" s="1152" t="s">
        <v>3611</v>
      </c>
      <c r="T69" s="1152"/>
      <c r="U69" s="1152"/>
      <c r="V69" s="1128" t="s">
        <v>1367</v>
      </c>
      <c r="W69" s="599"/>
      <c r="X69" s="599"/>
      <c r="Y69" s="599"/>
      <c r="Z69" s="599"/>
      <c r="AA69" s="599"/>
      <c r="AB69" s="599"/>
      <c r="AC69" s="599"/>
      <c r="AD69" s="984"/>
      <c r="AE69" s="599"/>
      <c r="AF69" s="599"/>
    </row>
    <row r="70" spans="1:32" ht="6.75" hidden="1" customHeight="1">
      <c r="A70" s="2641"/>
      <c r="B70" s="2652"/>
      <c r="C70" s="2542"/>
      <c r="D70" s="2687"/>
      <c r="E70" s="2689"/>
      <c r="F70" s="2508"/>
      <c r="G70" s="2508"/>
      <c r="H70" s="2508"/>
      <c r="I70" s="1143"/>
      <c r="J70" s="2667"/>
      <c r="K70" s="2628"/>
      <c r="L70" s="2668"/>
      <c r="M70" s="2663"/>
      <c r="N70" s="446" t="s">
        <v>3612</v>
      </c>
      <c r="O70" s="1006">
        <v>100000</v>
      </c>
      <c r="P70" s="1006">
        <v>100000</v>
      </c>
      <c r="Q70" s="1007"/>
      <c r="R70" s="1153">
        <v>100000</v>
      </c>
      <c r="S70" s="1154">
        <v>40241</v>
      </c>
      <c r="T70" s="1154"/>
      <c r="U70" s="1154"/>
      <c r="V70" s="599"/>
      <c r="W70" s="446" t="s">
        <v>401</v>
      </c>
      <c r="X70" s="446"/>
      <c r="Y70" s="599"/>
      <c r="Z70" s="599"/>
      <c r="AA70" s="599"/>
      <c r="AB70" s="599"/>
      <c r="AC70" s="599"/>
      <c r="AD70" s="984"/>
      <c r="AE70" s="599"/>
      <c r="AF70" s="599"/>
    </row>
    <row r="71" spans="1:32" ht="37.5" customHeight="1">
      <c r="A71" s="2641"/>
      <c r="B71" s="2652"/>
      <c r="C71" s="2542"/>
      <c r="D71" s="2687"/>
      <c r="E71" s="2689"/>
      <c r="F71" s="2508"/>
      <c r="G71" s="2508"/>
      <c r="H71" s="2508"/>
      <c r="I71" s="1143"/>
      <c r="J71" s="2667"/>
      <c r="K71" s="2628"/>
      <c r="L71" s="2668"/>
      <c r="M71" s="1017" t="s">
        <v>1368</v>
      </c>
      <c r="N71" s="594" t="s">
        <v>3613</v>
      </c>
      <c r="O71" s="1006">
        <v>530000</v>
      </c>
      <c r="P71" s="1006">
        <f>130000+100000+300000</f>
        <v>530000</v>
      </c>
      <c r="Q71" s="1007"/>
      <c r="R71" s="1144">
        <v>530000</v>
      </c>
      <c r="S71" s="1145">
        <v>40359</v>
      </c>
      <c r="T71" s="1145"/>
      <c r="U71" s="1145"/>
      <c r="V71" s="1128" t="s">
        <v>1369</v>
      </c>
      <c r="W71" s="599"/>
      <c r="X71" s="599"/>
      <c r="Y71" s="599"/>
      <c r="Z71" s="599"/>
      <c r="AA71" s="599"/>
      <c r="AB71" s="599"/>
      <c r="AC71" s="599"/>
      <c r="AD71" s="984"/>
      <c r="AE71" s="599"/>
      <c r="AF71" s="599"/>
    </row>
    <row r="72" spans="1:32" ht="24" customHeight="1">
      <c r="A72" s="2641"/>
      <c r="B72" s="2652"/>
      <c r="C72" s="2542"/>
      <c r="D72" s="2687"/>
      <c r="E72" s="1155"/>
      <c r="F72" s="1143"/>
      <c r="G72" s="1143"/>
      <c r="H72" s="600"/>
      <c r="I72" s="1143"/>
      <c r="J72" s="1156"/>
      <c r="K72" s="1157"/>
      <c r="L72" s="971"/>
      <c r="M72" s="1158" t="s">
        <v>1370</v>
      </c>
      <c r="N72" s="594" t="s">
        <v>3614</v>
      </c>
      <c r="O72" s="1006">
        <v>387000</v>
      </c>
      <c r="P72" s="594">
        <v>387000</v>
      </c>
      <c r="Q72" s="594"/>
      <c r="R72" s="1054"/>
      <c r="S72" s="1025"/>
      <c r="T72" s="1025"/>
      <c r="U72" s="1025"/>
      <c r="V72" s="599"/>
      <c r="W72" s="446" t="s">
        <v>1371</v>
      </c>
      <c r="X72" s="446"/>
      <c r="Y72" s="599"/>
      <c r="Z72" s="599"/>
      <c r="AA72" s="599"/>
      <c r="AB72" s="599"/>
      <c r="AC72" s="599"/>
      <c r="AD72" s="984"/>
      <c r="AE72" s="599"/>
      <c r="AF72" s="599"/>
    </row>
    <row r="73" spans="1:32" ht="69.75" customHeight="1">
      <c r="A73" s="1133">
        <v>15</v>
      </c>
      <c r="B73" s="1050" t="s">
        <v>1372</v>
      </c>
      <c r="C73" s="741" t="s">
        <v>1373</v>
      </c>
      <c r="D73" s="743" t="s">
        <v>1374</v>
      </c>
      <c r="E73" s="1159" t="s">
        <v>1375</v>
      </c>
      <c r="F73" s="1124">
        <v>1800000</v>
      </c>
      <c r="G73" s="1124">
        <v>540000</v>
      </c>
      <c r="H73" s="1124">
        <v>1800000</v>
      </c>
      <c r="I73" s="1124"/>
      <c r="J73" s="1124">
        <v>1800000</v>
      </c>
      <c r="K73" s="1160"/>
      <c r="L73" s="446" t="s">
        <v>401</v>
      </c>
      <c r="M73" s="1161" t="s">
        <v>1376</v>
      </c>
      <c r="N73" s="1076" t="s">
        <v>3615</v>
      </c>
      <c r="O73" s="599">
        <v>600000</v>
      </c>
      <c r="P73" s="972"/>
      <c r="Q73" s="972"/>
      <c r="R73" s="1006">
        <v>600000</v>
      </c>
      <c r="S73" s="1007" t="s">
        <v>1377</v>
      </c>
      <c r="T73" s="1007"/>
      <c r="U73" s="1007"/>
      <c r="V73" s="599"/>
      <c r="W73" s="446" t="s">
        <v>401</v>
      </c>
      <c r="X73" s="446"/>
      <c r="Y73" s="599"/>
      <c r="Z73" s="599"/>
      <c r="AA73" s="599"/>
      <c r="AB73" s="599"/>
      <c r="AC73" s="599"/>
      <c r="AD73" s="984"/>
      <c r="AE73" s="599"/>
      <c r="AF73" s="599"/>
    </row>
    <row r="74" spans="1:32" ht="63" customHeight="1">
      <c r="A74" s="1133"/>
      <c r="B74" s="1050" t="s">
        <v>1378</v>
      </c>
      <c r="C74" s="741" t="s">
        <v>1379</v>
      </c>
      <c r="D74" s="743" t="s">
        <v>1380</v>
      </c>
      <c r="E74" s="1159" t="s">
        <v>1381</v>
      </c>
      <c r="F74" s="601">
        <v>822712.02</v>
      </c>
      <c r="G74" s="1124">
        <f>F74</f>
        <v>822712.02</v>
      </c>
      <c r="H74" s="1124">
        <f>F74</f>
        <v>822712.02</v>
      </c>
      <c r="I74" s="1124"/>
      <c r="J74" s="1046" t="s">
        <v>1382</v>
      </c>
      <c r="K74" s="997"/>
      <c r="L74" s="446" t="s">
        <v>401</v>
      </c>
      <c r="M74" s="1001"/>
      <c r="N74" s="446"/>
      <c r="O74" s="599"/>
      <c r="P74" s="599"/>
      <c r="Q74" s="984"/>
      <c r="R74" s="984"/>
      <c r="S74" s="984"/>
      <c r="T74" s="984"/>
      <c r="U74" s="984"/>
      <c r="V74" s="599"/>
      <c r="W74" s="599"/>
      <c r="X74" s="599"/>
      <c r="Y74" s="599"/>
      <c r="Z74" s="599"/>
      <c r="AA74" s="599"/>
      <c r="AB74" s="599"/>
      <c r="AC74" s="599"/>
      <c r="AD74" s="984"/>
      <c r="AE74" s="599"/>
      <c r="AF74" s="599"/>
    </row>
    <row r="75" spans="1:32" ht="61.5" customHeight="1">
      <c r="A75" s="1133"/>
      <c r="B75" s="2664" t="s">
        <v>1383</v>
      </c>
      <c r="C75" s="2542" t="s">
        <v>3616</v>
      </c>
      <c r="D75" s="743" t="s">
        <v>1384</v>
      </c>
      <c r="E75" s="1159" t="s">
        <v>1385</v>
      </c>
      <c r="F75" s="1124">
        <v>3052000</v>
      </c>
      <c r="G75" s="1162" t="s">
        <v>3617</v>
      </c>
      <c r="H75" s="1124">
        <f>300000+1100000+400000+1052000</f>
        <v>2852000</v>
      </c>
      <c r="I75" s="1124"/>
      <c r="J75" s="1046">
        <v>680000</v>
      </c>
      <c r="K75" s="1163"/>
      <c r="L75" s="822" t="s">
        <v>567</v>
      </c>
      <c r="M75" s="1146" t="s">
        <v>1386</v>
      </c>
      <c r="N75" s="1147" t="s">
        <v>1387</v>
      </c>
      <c r="O75" s="1164" t="s">
        <v>3618</v>
      </c>
      <c r="P75" s="1165">
        <f>1113760+597100</f>
        <v>1710860</v>
      </c>
      <c r="Q75" s="1166"/>
      <c r="R75" s="1007" t="s">
        <v>3619</v>
      </c>
      <c r="S75" s="1025"/>
      <c r="T75" s="1025"/>
      <c r="U75" s="1025"/>
      <c r="V75" s="599"/>
      <c r="W75" s="599"/>
      <c r="X75" s="599"/>
      <c r="Y75" s="599"/>
      <c r="Z75" s="599"/>
      <c r="AA75" s="599"/>
      <c r="AB75" s="599"/>
      <c r="AC75" s="599"/>
      <c r="AD75" s="984"/>
      <c r="AE75" s="599"/>
      <c r="AF75" s="599"/>
    </row>
    <row r="76" spans="1:32" ht="57" customHeight="1">
      <c r="A76" s="1133"/>
      <c r="B76" s="2664"/>
      <c r="C76" s="2542"/>
      <c r="D76" s="743" t="s">
        <v>1388</v>
      </c>
      <c r="E76" s="1159"/>
      <c r="F76" s="1124"/>
      <c r="G76" s="1162"/>
      <c r="H76" s="1162"/>
      <c r="I76" s="1162"/>
      <c r="J76" s="1046"/>
      <c r="K76" s="997"/>
      <c r="L76" s="741"/>
      <c r="M76" s="743" t="s">
        <v>1389</v>
      </c>
      <c r="N76" s="624" t="s">
        <v>3620</v>
      </c>
      <c r="O76" s="1141">
        <v>580000</v>
      </c>
      <c r="P76" s="599">
        <f>340000+200000</f>
        <v>540000</v>
      </c>
      <c r="Q76" s="984"/>
      <c r="R76" s="1052">
        <f>580000</f>
        <v>580000</v>
      </c>
      <c r="S76" s="1025">
        <v>40451</v>
      </c>
      <c r="T76" s="1025"/>
      <c r="U76" s="1025"/>
      <c r="V76" s="599"/>
      <c r="W76" s="599"/>
      <c r="X76" s="599"/>
      <c r="Y76" s="599"/>
      <c r="Z76" s="599"/>
      <c r="AA76" s="599"/>
      <c r="AB76" s="599"/>
      <c r="AC76" s="599"/>
      <c r="AD76" s="984"/>
      <c r="AE76" s="599"/>
      <c r="AF76" s="599"/>
    </row>
    <row r="77" spans="1:32" ht="92.25" customHeight="1">
      <c r="A77" s="1133"/>
      <c r="B77" s="2664"/>
      <c r="C77" s="2542"/>
      <c r="D77" s="743" t="s">
        <v>1390</v>
      </c>
      <c r="E77" s="1159"/>
      <c r="F77" s="1124">
        <v>532000</v>
      </c>
      <c r="G77" s="1162"/>
      <c r="H77" s="1124"/>
      <c r="I77" s="1124"/>
      <c r="J77" s="1124">
        <v>532000</v>
      </c>
      <c r="K77" s="1163"/>
      <c r="L77" s="446" t="s">
        <v>401</v>
      </c>
      <c r="M77" s="1146"/>
      <c r="N77" s="1147"/>
      <c r="O77" s="1164"/>
      <c r="P77" s="1165"/>
      <c r="Q77" s="1166"/>
      <c r="R77" s="1007"/>
      <c r="S77" s="1025"/>
      <c r="T77" s="1025"/>
      <c r="U77" s="1025"/>
      <c r="V77" s="599"/>
      <c r="W77" s="599"/>
      <c r="X77" s="599"/>
      <c r="Y77" s="599"/>
      <c r="Z77" s="599"/>
      <c r="AA77" s="599"/>
      <c r="AB77" s="599"/>
      <c r="AC77" s="599"/>
      <c r="AD77" s="984"/>
      <c r="AE77" s="599"/>
      <c r="AF77" s="599"/>
    </row>
    <row r="78" spans="1:32" s="1010" customFormat="1" ht="26.25" customHeight="1">
      <c r="A78" s="1081"/>
      <c r="B78" s="594"/>
      <c r="C78" s="1064"/>
      <c r="D78" s="594"/>
      <c r="E78" s="1064"/>
      <c r="F78" s="584"/>
      <c r="G78" s="1167"/>
      <c r="H78" s="584"/>
      <c r="I78" s="584"/>
      <c r="J78" s="1167"/>
      <c r="K78" s="1168"/>
      <c r="L78" s="1169"/>
      <c r="M78" s="1058"/>
      <c r="N78" s="594"/>
      <c r="O78" s="1006"/>
      <c r="P78" s="1006"/>
      <c r="Q78" s="1007"/>
      <c r="R78" s="1007"/>
      <c r="S78" s="1007"/>
      <c r="T78" s="1007"/>
      <c r="U78" s="1007"/>
      <c r="V78" s="1006"/>
      <c r="W78" s="1006"/>
      <c r="X78" s="1006"/>
      <c r="Y78" s="1006"/>
      <c r="Z78" s="1006"/>
      <c r="AA78" s="1006"/>
      <c r="AB78" s="1006"/>
      <c r="AC78" s="1006"/>
      <c r="AD78" s="1007"/>
      <c r="AE78" s="1006"/>
      <c r="AF78" s="1006"/>
    </row>
    <row r="79" spans="1:32" s="1180" customFormat="1" ht="30.75" customHeight="1">
      <c r="A79" s="1170"/>
      <c r="B79" s="1171"/>
      <c r="C79" s="1172" t="s">
        <v>1391</v>
      </c>
      <c r="D79" s="1171"/>
      <c r="E79" s="1173"/>
      <c r="F79" s="1174"/>
      <c r="G79" s="1175"/>
      <c r="H79" s="1174"/>
      <c r="I79" s="1174"/>
      <c r="J79" s="1175"/>
      <c r="K79" s="1176"/>
      <c r="L79" s="1177"/>
      <c r="M79" s="1179"/>
      <c r="N79" s="1128"/>
      <c r="O79" s="1128"/>
      <c r="P79" s="1128"/>
      <c r="Q79" s="1144"/>
      <c r="R79" s="1144"/>
      <c r="S79" s="1144"/>
      <c r="T79" s="1144"/>
      <c r="U79" s="1144"/>
      <c r="V79" s="1128"/>
      <c r="W79" s="1128"/>
      <c r="X79" s="1128"/>
      <c r="Y79" s="1128"/>
      <c r="Z79" s="1128"/>
      <c r="AA79" s="1128"/>
      <c r="AB79" s="1128"/>
      <c r="AC79" s="1128"/>
      <c r="AD79" s="1144"/>
      <c r="AE79" s="1128"/>
      <c r="AF79" s="1128"/>
    </row>
    <row r="80" spans="1:32" ht="78" customHeight="1">
      <c r="A80" s="1133"/>
      <c r="B80" s="1181" t="s">
        <v>1392</v>
      </c>
      <c r="C80" s="741" t="s">
        <v>1393</v>
      </c>
      <c r="D80" s="1182" t="s">
        <v>1394</v>
      </c>
      <c r="E80" s="1159" t="s">
        <v>1395</v>
      </c>
      <c r="F80" s="1124">
        <v>655000</v>
      </c>
      <c r="G80" s="1162">
        <v>327500</v>
      </c>
      <c r="H80" s="1124">
        <v>150000</v>
      </c>
      <c r="I80" s="1124"/>
      <c r="J80" s="1046"/>
      <c r="K80" s="997"/>
      <c r="L80" s="1183" t="s">
        <v>1396</v>
      </c>
      <c r="M80" s="1184" t="s">
        <v>1397</v>
      </c>
      <c r="N80" s="1147" t="s">
        <v>1398</v>
      </c>
      <c r="O80" s="1148">
        <v>9293.7900000000009</v>
      </c>
      <c r="P80" s="599"/>
      <c r="Q80" s="984"/>
      <c r="R80" s="984"/>
      <c r="S80" s="984"/>
      <c r="T80" s="984"/>
      <c r="U80" s="984"/>
      <c r="V80" s="599"/>
      <c r="W80" s="599"/>
      <c r="X80" s="599"/>
      <c r="Y80" s="599"/>
      <c r="Z80" s="599"/>
      <c r="AA80" s="599"/>
      <c r="AB80" s="599"/>
      <c r="AC80" s="599"/>
      <c r="AD80" s="984"/>
      <c r="AE80" s="599"/>
      <c r="AF80" s="599"/>
    </row>
    <row r="81" spans="1:32" ht="73.5" customHeight="1">
      <c r="A81" s="1133">
        <v>1</v>
      </c>
      <c r="B81" s="1050" t="s">
        <v>1399</v>
      </c>
      <c r="C81" s="741" t="s">
        <v>1400</v>
      </c>
      <c r="D81" s="1182" t="s">
        <v>1401</v>
      </c>
      <c r="E81" s="1159" t="s">
        <v>1402</v>
      </c>
      <c r="F81" s="1124">
        <v>350000</v>
      </c>
      <c r="G81" s="1124" t="s">
        <v>1403</v>
      </c>
      <c r="H81" s="1124">
        <f>50000+120000+180000</f>
        <v>350000</v>
      </c>
      <c r="I81" s="1124"/>
      <c r="J81" s="1046">
        <f>50000+300000</f>
        <v>350000</v>
      </c>
      <c r="K81" s="997"/>
      <c r="L81" s="594" t="s">
        <v>401</v>
      </c>
      <c r="M81" s="1001" t="s">
        <v>1404</v>
      </c>
      <c r="N81" s="594" t="s">
        <v>3621</v>
      </c>
      <c r="O81" s="1006">
        <v>300000</v>
      </c>
      <c r="P81" s="599">
        <v>300000</v>
      </c>
      <c r="Q81" s="599"/>
      <c r="R81" s="1006">
        <v>300000</v>
      </c>
      <c r="S81" s="1025">
        <v>40263</v>
      </c>
      <c r="T81" s="1025"/>
      <c r="U81" s="1025"/>
      <c r="V81" s="599"/>
      <c r="W81" s="446" t="s">
        <v>401</v>
      </c>
      <c r="X81" s="446"/>
      <c r="Y81" s="599"/>
      <c r="Z81" s="599"/>
      <c r="AA81" s="599"/>
      <c r="AB81" s="599"/>
      <c r="AC81" s="599"/>
      <c r="AD81" s="984"/>
      <c r="AE81" s="599"/>
      <c r="AF81" s="599"/>
    </row>
    <row r="82" spans="1:32" ht="48.75" customHeight="1">
      <c r="A82" s="1133"/>
      <c r="B82" s="2665" t="s">
        <v>1405</v>
      </c>
      <c r="C82" s="2514" t="s">
        <v>1406</v>
      </c>
      <c r="D82" s="2666" t="s">
        <v>1407</v>
      </c>
      <c r="E82" s="1118" t="s">
        <v>1408</v>
      </c>
      <c r="F82" s="601">
        <f>2624000+304353.09</f>
        <v>2928353.09</v>
      </c>
      <c r="G82" s="601">
        <f>142000+1280000</f>
        <v>1422000</v>
      </c>
      <c r="H82" s="601">
        <f>142000+1280000+50000+832000+359000+80000</f>
        <v>2743000</v>
      </c>
      <c r="I82" s="601"/>
      <c r="J82" s="1002">
        <f>142000+2112000+370000+304353.09</f>
        <v>2928353.09</v>
      </c>
      <c r="K82" s="1185"/>
      <c r="L82" s="594" t="s">
        <v>401</v>
      </c>
      <c r="M82" s="1001" t="s">
        <v>1409</v>
      </c>
      <c r="N82" s="594" t="s">
        <v>1410</v>
      </c>
      <c r="O82" s="1006">
        <f>100000+100000</f>
        <v>200000</v>
      </c>
      <c r="P82" s="599">
        <v>200000</v>
      </c>
      <c r="Q82" s="599"/>
      <c r="R82" s="1006" t="s">
        <v>3622</v>
      </c>
      <c r="S82" s="1025" t="s">
        <v>3623</v>
      </c>
      <c r="T82" s="1025"/>
      <c r="U82" s="1025"/>
      <c r="V82" s="599"/>
      <c r="W82" s="599"/>
      <c r="X82" s="599"/>
      <c r="Y82" s="599"/>
      <c r="Z82" s="599"/>
      <c r="AA82" s="599"/>
      <c r="AB82" s="599"/>
      <c r="AC82" s="599"/>
      <c r="AD82" s="984"/>
      <c r="AE82" s="599"/>
      <c r="AF82" s="599"/>
    </row>
    <row r="83" spans="1:32" ht="48.75" customHeight="1">
      <c r="A83" s="1133"/>
      <c r="B83" s="2665"/>
      <c r="C83" s="2514"/>
      <c r="D83" s="2666"/>
      <c r="E83" s="1186"/>
      <c r="F83" s="1105"/>
      <c r="G83" s="1105"/>
      <c r="H83" s="1105"/>
      <c r="I83" s="1105"/>
      <c r="J83" s="1187"/>
      <c r="K83" s="1088"/>
      <c r="L83" s="607"/>
      <c r="M83" s="1001" t="s">
        <v>1411</v>
      </c>
      <c r="N83" s="1076" t="s">
        <v>3624</v>
      </c>
      <c r="O83" s="1006">
        <v>750000</v>
      </c>
      <c r="P83" s="599">
        <v>550000</v>
      </c>
      <c r="Q83" s="984"/>
      <c r="R83" s="1189">
        <v>750000</v>
      </c>
      <c r="S83" s="1145">
        <v>40333</v>
      </c>
      <c r="T83" s="1145"/>
      <c r="U83" s="1145"/>
      <c r="V83" s="599"/>
      <c r="W83" s="599"/>
      <c r="X83" s="599"/>
      <c r="Y83" s="599"/>
      <c r="Z83" s="599"/>
      <c r="AA83" s="599"/>
      <c r="AB83" s="599"/>
      <c r="AC83" s="599"/>
      <c r="AD83" s="984"/>
      <c r="AE83" s="599"/>
      <c r="AF83" s="599"/>
    </row>
    <row r="84" spans="1:32" ht="37.5" customHeight="1">
      <c r="A84" s="1133">
        <v>2</v>
      </c>
      <c r="B84" s="2665"/>
      <c r="C84" s="2514"/>
      <c r="D84" s="2666"/>
      <c r="E84" s="1186"/>
      <c r="F84" s="1105"/>
      <c r="G84" s="1105"/>
      <c r="H84" s="1105"/>
      <c r="I84" s="1105"/>
      <c r="J84" s="1187"/>
      <c r="K84" s="1088"/>
      <c r="L84" s="607"/>
      <c r="M84" s="1001" t="s">
        <v>1412</v>
      </c>
      <c r="N84" s="594" t="s">
        <v>3625</v>
      </c>
      <c r="O84" s="599">
        <f>600000+250000</f>
        <v>850000</v>
      </c>
      <c r="P84" s="599">
        <f>180000+250000+45000+110000+70000+195000</f>
        <v>850000</v>
      </c>
      <c r="Q84" s="984"/>
      <c r="R84" s="1189" t="s">
        <v>3626</v>
      </c>
      <c r="S84" s="1145" t="s">
        <v>1413</v>
      </c>
      <c r="T84" s="1145"/>
      <c r="U84" s="1145"/>
      <c r="V84" s="599"/>
      <c r="W84" s="599"/>
      <c r="X84" s="599"/>
      <c r="Y84" s="599"/>
      <c r="Z84" s="599"/>
      <c r="AA84" s="599"/>
      <c r="AB84" s="599"/>
      <c r="AC84" s="599"/>
      <c r="AD84" s="984"/>
      <c r="AE84" s="599"/>
      <c r="AF84" s="599"/>
    </row>
    <row r="85" spans="1:32" ht="39" customHeight="1">
      <c r="A85" s="1133"/>
      <c r="B85" s="967"/>
      <c r="C85" s="967"/>
      <c r="D85" s="1190"/>
      <c r="E85" s="1186"/>
      <c r="F85" s="1105"/>
      <c r="G85" s="1105"/>
      <c r="H85" s="1105"/>
      <c r="I85" s="1105"/>
      <c r="J85" s="1187"/>
      <c r="K85" s="1088"/>
      <c r="L85" s="607"/>
      <c r="M85" s="1001" t="s">
        <v>1414</v>
      </c>
      <c r="N85" s="594" t="s">
        <v>1415</v>
      </c>
      <c r="O85" s="583">
        <v>248994.45</v>
      </c>
      <c r="P85" s="601">
        <v>248994.45</v>
      </c>
      <c r="Q85" s="601"/>
      <c r="R85" s="601" t="s">
        <v>1416</v>
      </c>
      <c r="S85" s="601" t="s">
        <v>1417</v>
      </c>
      <c r="T85" s="601"/>
      <c r="U85" s="601"/>
      <c r="V85" s="599"/>
      <c r="W85" s="599"/>
      <c r="X85" s="599"/>
      <c r="Y85" s="599"/>
      <c r="Z85" s="599"/>
      <c r="AA85" s="599"/>
      <c r="AB85" s="599"/>
      <c r="AC85" s="599"/>
      <c r="AD85" s="984"/>
      <c r="AE85" s="599"/>
      <c r="AF85" s="599"/>
    </row>
    <row r="86" spans="1:32" ht="40.5" customHeight="1">
      <c r="A86" s="311"/>
      <c r="B86" s="446" t="s">
        <v>3627</v>
      </c>
      <c r="C86" s="599" t="s">
        <v>1418</v>
      </c>
      <c r="D86" s="1191" t="s">
        <v>1419</v>
      </c>
      <c r="E86" s="1192" t="s">
        <v>1420</v>
      </c>
      <c r="F86" s="1105">
        <v>244000</v>
      </c>
      <c r="G86" s="1193">
        <v>195200</v>
      </c>
      <c r="H86" s="1105">
        <v>244000</v>
      </c>
      <c r="I86" s="1105"/>
      <c r="J86" s="1105" t="s">
        <v>1421</v>
      </c>
      <c r="K86" s="1194"/>
      <c r="L86" s="594" t="s">
        <v>401</v>
      </c>
      <c r="M86" s="1195" t="s">
        <v>1422</v>
      </c>
      <c r="N86" s="1147" t="s">
        <v>1423</v>
      </c>
      <c r="O86" s="1006" t="s">
        <v>65</v>
      </c>
      <c r="P86" s="1006">
        <f>92000+23000</f>
        <v>115000</v>
      </c>
      <c r="Q86" s="1007"/>
      <c r="R86" s="1052">
        <v>115000</v>
      </c>
      <c r="S86" s="1196">
        <v>40297</v>
      </c>
      <c r="T86" s="1196"/>
      <c r="U86" s="1196"/>
      <c r="V86" s="599"/>
      <c r="W86" s="446" t="s">
        <v>401</v>
      </c>
      <c r="X86" s="446"/>
      <c r="Y86" s="599"/>
      <c r="Z86" s="599"/>
      <c r="AA86" s="599"/>
      <c r="AB86" s="599"/>
      <c r="AC86" s="599"/>
      <c r="AD86" s="984"/>
      <c r="AE86" s="599"/>
      <c r="AF86" s="599"/>
    </row>
    <row r="87" spans="1:32" ht="27" customHeight="1">
      <c r="A87" s="1133"/>
      <c r="B87" s="2652" t="s">
        <v>1424</v>
      </c>
      <c r="C87" s="2558" t="s">
        <v>1425</v>
      </c>
      <c r="D87" s="1191" t="s">
        <v>1426</v>
      </c>
      <c r="E87" s="1118"/>
      <c r="F87" s="1118"/>
      <c r="G87" s="601"/>
      <c r="H87" s="1185"/>
      <c r="I87" s="1185"/>
      <c r="J87" s="1027"/>
      <c r="K87" s="599"/>
      <c r="L87" s="1183"/>
      <c r="M87" s="1001" t="s">
        <v>1427</v>
      </c>
      <c r="N87" s="2659" t="s">
        <v>3628</v>
      </c>
      <c r="O87" s="599"/>
      <c r="P87" s="599"/>
      <c r="Q87" s="984"/>
      <c r="R87" s="984"/>
      <c r="S87" s="984"/>
      <c r="T87" s="984"/>
      <c r="U87" s="984"/>
      <c r="V87" s="599"/>
      <c r="W87" s="599"/>
      <c r="X87" s="599"/>
      <c r="Y87" s="599"/>
      <c r="Z87" s="599"/>
      <c r="AA87" s="599"/>
      <c r="AB87" s="599"/>
      <c r="AC87" s="599"/>
      <c r="AD87" s="984"/>
      <c r="AE87" s="599"/>
      <c r="AF87" s="599"/>
    </row>
    <row r="88" spans="1:32" ht="24.75" customHeight="1">
      <c r="A88" s="1133"/>
      <c r="B88" s="2652"/>
      <c r="C88" s="2558"/>
      <c r="D88" s="1191" t="s">
        <v>1428</v>
      </c>
      <c r="E88" s="1118"/>
      <c r="F88" s="1118"/>
      <c r="G88" s="601"/>
      <c r="H88" s="1185"/>
      <c r="I88" s="1185"/>
      <c r="J88" s="1002">
        <v>1000800</v>
      </c>
      <c r="K88" s="599"/>
      <c r="L88" s="899"/>
      <c r="M88" s="1195" t="s">
        <v>1428</v>
      </c>
      <c r="N88" s="2659"/>
      <c r="O88" s="599"/>
      <c r="P88" s="599"/>
      <c r="Q88" s="984"/>
      <c r="R88" s="984">
        <v>973278</v>
      </c>
      <c r="S88" s="984"/>
      <c r="T88" s="984"/>
      <c r="U88" s="984"/>
      <c r="V88" s="599"/>
      <c r="W88" s="599"/>
      <c r="X88" s="599"/>
      <c r="Y88" s="599"/>
      <c r="Z88" s="599"/>
      <c r="AA88" s="599"/>
      <c r="AB88" s="599"/>
      <c r="AC88" s="599"/>
      <c r="AD88" s="984"/>
      <c r="AE88" s="599"/>
      <c r="AF88" s="599"/>
    </row>
    <row r="89" spans="1:32" ht="24.75" customHeight="1">
      <c r="A89" s="1133"/>
      <c r="B89" s="2652"/>
      <c r="C89" s="2558"/>
      <c r="D89" s="1191" t="s">
        <v>1429</v>
      </c>
      <c r="E89" s="1118"/>
      <c r="F89" s="1118"/>
      <c r="G89" s="601"/>
      <c r="H89" s="1185"/>
      <c r="I89" s="1185"/>
      <c r="J89" s="1002">
        <v>960000</v>
      </c>
      <c r="K89" s="599"/>
      <c r="L89" s="594" t="s">
        <v>401</v>
      </c>
      <c r="M89" s="1195" t="s">
        <v>1429</v>
      </c>
      <c r="N89" s="2659"/>
      <c r="O89" s="599"/>
      <c r="P89" s="599"/>
      <c r="Q89" s="984"/>
      <c r="R89" s="1007">
        <v>933600</v>
      </c>
      <c r="S89" s="1024" t="s">
        <v>1430</v>
      </c>
      <c r="T89" s="1024"/>
      <c r="U89" s="1024"/>
      <c r="V89" s="599"/>
      <c r="W89" s="599"/>
      <c r="X89" s="599"/>
      <c r="Y89" s="599"/>
      <c r="Z89" s="599"/>
      <c r="AA89" s="599"/>
      <c r="AB89" s="599"/>
      <c r="AC89" s="599"/>
      <c r="AD89" s="984"/>
      <c r="AE89" s="599"/>
      <c r="AF89" s="599"/>
    </row>
    <row r="90" spans="1:32" ht="63.75" customHeight="1">
      <c r="A90" s="2660">
        <v>3</v>
      </c>
      <c r="B90" s="2652" t="s">
        <v>3629</v>
      </c>
      <c r="C90" s="2564" t="s">
        <v>1431</v>
      </c>
      <c r="D90" s="1198"/>
      <c r="E90" s="1199"/>
      <c r="F90" s="1199"/>
      <c r="G90" s="1200"/>
      <c r="H90" s="1201"/>
      <c r="I90" s="1201"/>
      <c r="J90" s="1202"/>
      <c r="K90" s="2660"/>
      <c r="L90" s="1203"/>
      <c r="M90" s="1146" t="s">
        <v>1432</v>
      </c>
      <c r="N90" s="1147" t="s">
        <v>1362</v>
      </c>
      <c r="O90" s="1055">
        <v>556659</v>
      </c>
      <c r="P90" s="1055">
        <v>556659</v>
      </c>
      <c r="Q90" s="1204"/>
      <c r="R90" s="1007" t="s">
        <v>1433</v>
      </c>
      <c r="S90" s="1024"/>
      <c r="T90" s="1024"/>
      <c r="U90" s="1024"/>
      <c r="V90" s="599"/>
      <c r="W90" s="599"/>
      <c r="X90" s="599"/>
      <c r="Y90" s="599"/>
      <c r="Z90" s="599"/>
      <c r="AA90" s="599"/>
      <c r="AB90" s="599"/>
      <c r="AC90" s="599"/>
      <c r="AD90" s="984"/>
      <c r="AE90" s="599"/>
      <c r="AF90" s="599"/>
    </row>
    <row r="91" spans="1:32" s="1010" customFormat="1" ht="37.5" customHeight="1">
      <c r="A91" s="2660"/>
      <c r="B91" s="2652"/>
      <c r="C91" s="2564"/>
      <c r="D91" s="1198" t="s">
        <v>1434</v>
      </c>
      <c r="E91" s="1205" t="s">
        <v>1435</v>
      </c>
      <c r="F91" s="1206">
        <v>2582000</v>
      </c>
      <c r="G91" s="1207">
        <v>107000</v>
      </c>
      <c r="H91" s="1207" t="s">
        <v>1436</v>
      </c>
      <c r="I91" s="1207"/>
      <c r="J91" s="1208">
        <f>1508000+380000+1009000+89000+65000</f>
        <v>3051000</v>
      </c>
      <c r="K91" s="2660"/>
      <c r="L91" s="967" t="s">
        <v>401</v>
      </c>
      <c r="M91" s="1195" t="s">
        <v>1437</v>
      </c>
      <c r="N91" s="1147" t="s">
        <v>1438</v>
      </c>
      <c r="O91" s="1006">
        <v>100000</v>
      </c>
      <c r="P91" s="1006">
        <v>100000</v>
      </c>
      <c r="Q91" s="1006"/>
      <c r="R91" s="1148">
        <v>100000</v>
      </c>
      <c r="S91" s="1209">
        <v>40449</v>
      </c>
      <c r="T91" s="1209"/>
      <c r="U91" s="1209"/>
      <c r="V91" s="1006"/>
      <c r="W91" s="624"/>
      <c r="X91" s="624"/>
      <c r="Y91" s="1006"/>
      <c r="Z91" s="1006"/>
      <c r="AA91" s="1006"/>
      <c r="AB91" s="1006"/>
      <c r="AC91" s="1006"/>
      <c r="AD91" s="1007"/>
      <c r="AE91" s="1006"/>
      <c r="AF91" s="1006"/>
    </row>
    <row r="92" spans="1:32" s="1010" customFormat="1" ht="14.25" customHeight="1">
      <c r="A92" s="1210"/>
      <c r="B92" s="2652"/>
      <c r="C92" s="1061"/>
      <c r="D92" s="1198"/>
      <c r="E92" s="1205"/>
      <c r="F92" s="1206"/>
      <c r="G92" s="1207"/>
      <c r="H92" s="1207"/>
      <c r="I92" s="1207"/>
      <c r="J92" s="1208"/>
      <c r="K92" s="2660"/>
      <c r="L92" s="967"/>
      <c r="M92" s="2661" t="s">
        <v>1439</v>
      </c>
      <c r="N92" s="2558" t="s">
        <v>1440</v>
      </c>
      <c r="O92" s="2568">
        <v>1300000</v>
      </c>
      <c r="P92" s="2568">
        <f>850000+80000+120000+70000+50000+130000</f>
        <v>1300000</v>
      </c>
      <c r="Q92" s="1081"/>
      <c r="R92" s="2568">
        <v>1300000</v>
      </c>
      <c r="S92" s="2657">
        <v>40451</v>
      </c>
      <c r="T92" s="1211"/>
      <c r="U92" s="1211"/>
      <c r="V92" s="1006"/>
      <c r="W92" s="624"/>
      <c r="X92" s="624"/>
      <c r="Y92" s="1006"/>
      <c r="Z92" s="1006"/>
      <c r="AA92" s="1006"/>
      <c r="AB92" s="1006"/>
      <c r="AC92" s="1006"/>
      <c r="AD92" s="1007"/>
      <c r="AE92" s="1006"/>
      <c r="AF92" s="1006"/>
    </row>
    <row r="93" spans="1:32" s="1010" customFormat="1" ht="27.75" customHeight="1">
      <c r="A93" s="1210"/>
      <c r="B93" s="2652"/>
      <c r="C93" s="1061" t="s">
        <v>1441</v>
      </c>
      <c r="D93" s="1191" t="s">
        <v>1442</v>
      </c>
      <c r="E93" s="1205"/>
      <c r="F93" s="1055">
        <v>380000</v>
      </c>
      <c r="G93" s="1207"/>
      <c r="H93" s="1207"/>
      <c r="I93" s="1207"/>
      <c r="J93" s="1208"/>
      <c r="K93" s="2660"/>
      <c r="L93" s="967"/>
      <c r="M93" s="2661"/>
      <c r="N93" s="2558"/>
      <c r="O93" s="2568"/>
      <c r="P93" s="2568"/>
      <c r="Q93" s="1090"/>
      <c r="R93" s="2568"/>
      <c r="S93" s="2657"/>
      <c r="T93" s="1212"/>
      <c r="U93" s="1212"/>
      <c r="V93" s="1006"/>
      <c r="W93" s="624"/>
      <c r="X93" s="624"/>
      <c r="Y93" s="1006"/>
      <c r="Z93" s="1006"/>
      <c r="AA93" s="1006"/>
      <c r="AB93" s="1006"/>
      <c r="AC93" s="1006"/>
      <c r="AD93" s="1007"/>
      <c r="AE93" s="1006"/>
      <c r="AF93" s="1006"/>
    </row>
    <row r="94" spans="1:32" s="1010" customFormat="1" ht="27.75" customHeight="1">
      <c r="A94" s="1210"/>
      <c r="B94" s="967"/>
      <c r="C94" s="1061"/>
      <c r="D94" s="1191" t="s">
        <v>1443</v>
      </c>
      <c r="E94" s="1205"/>
      <c r="F94" s="584">
        <v>89000</v>
      </c>
      <c r="G94" s="1207"/>
      <c r="H94" s="1207">
        <f>F91+F93+F94</f>
        <v>3051000</v>
      </c>
      <c r="I94" s="1207"/>
      <c r="J94" s="1208"/>
      <c r="K94" s="1213"/>
      <c r="L94" s="967"/>
      <c r="M94" s="1214"/>
      <c r="N94" s="968"/>
      <c r="O94" s="1090"/>
      <c r="P94" s="1090"/>
      <c r="Q94" s="1215"/>
      <c r="R94" s="1215"/>
      <c r="S94" s="1216"/>
      <c r="T94" s="1216"/>
      <c r="U94" s="1216"/>
      <c r="V94" s="1006"/>
      <c r="W94" s="624"/>
      <c r="X94" s="624"/>
      <c r="Y94" s="1006"/>
      <c r="Z94" s="1006"/>
      <c r="AA94" s="1006"/>
      <c r="AB94" s="1006"/>
      <c r="AC94" s="1006"/>
      <c r="AD94" s="1007"/>
      <c r="AE94" s="1006"/>
      <c r="AF94" s="1006"/>
    </row>
    <row r="95" spans="1:32" s="1010" customFormat="1" ht="37.5" customHeight="1">
      <c r="A95" s="1133"/>
      <c r="B95" s="1050" t="s">
        <v>3630</v>
      </c>
      <c r="C95" s="1050" t="s">
        <v>1444</v>
      </c>
      <c r="D95" s="1217" t="s">
        <v>1445</v>
      </c>
      <c r="E95" s="1218" t="s">
        <v>1446</v>
      </c>
      <c r="F95" s="1218" t="s">
        <v>1447</v>
      </c>
      <c r="G95" s="584"/>
      <c r="H95" s="584">
        <f>270280+109720</f>
        <v>380000</v>
      </c>
      <c r="I95" s="584"/>
      <c r="J95" s="1046">
        <f>232000+187000</f>
        <v>419000</v>
      </c>
      <c r="K95" s="1219"/>
      <c r="L95" s="966" t="s">
        <v>401</v>
      </c>
      <c r="M95" s="1001"/>
      <c r="N95" s="1006"/>
      <c r="O95" s="1006"/>
      <c r="P95" s="1006"/>
      <c r="Q95" s="1007"/>
      <c r="R95" s="1007"/>
      <c r="S95" s="1007"/>
      <c r="T95" s="1007"/>
      <c r="U95" s="1007"/>
      <c r="V95" s="1006"/>
      <c r="W95" s="1006"/>
      <c r="X95" s="1006"/>
      <c r="Y95" s="1006"/>
      <c r="Z95" s="1006"/>
      <c r="AA95" s="1006"/>
      <c r="AB95" s="1006"/>
      <c r="AC95" s="1006"/>
      <c r="AD95" s="1007"/>
      <c r="AE95" s="1006"/>
      <c r="AF95" s="1006"/>
    </row>
    <row r="96" spans="1:32" s="1010" customFormat="1" ht="36.75" customHeight="1">
      <c r="A96" s="2641">
        <v>4</v>
      </c>
      <c r="B96" s="1050"/>
      <c r="C96" s="966"/>
      <c r="D96" s="1221" t="s">
        <v>1448</v>
      </c>
      <c r="E96" s="1222" t="s">
        <v>1449</v>
      </c>
      <c r="F96" s="1223" t="s">
        <v>1450</v>
      </c>
      <c r="G96" s="584">
        <v>1638000</v>
      </c>
      <c r="H96" s="584">
        <f>1638000+1148000+300000+488400</f>
        <v>3574400</v>
      </c>
      <c r="I96" s="584"/>
      <c r="J96" s="1224"/>
      <c r="K96" s="1225"/>
      <c r="L96" s="2558" t="s">
        <v>401</v>
      </c>
      <c r="M96" s="1226" t="s">
        <v>1451</v>
      </c>
      <c r="N96" s="966" t="s">
        <v>3631</v>
      </c>
      <c r="O96" s="1081">
        <v>1450000</v>
      </c>
      <c r="P96" s="1081">
        <v>490000</v>
      </c>
      <c r="Q96" s="1227"/>
      <c r="R96" s="1053">
        <v>1250000</v>
      </c>
      <c r="S96" s="1116">
        <v>40451</v>
      </c>
      <c r="T96" s="1025"/>
      <c r="U96" s="1025"/>
      <c r="V96" s="1006"/>
      <c r="W96" s="1006"/>
      <c r="X96" s="1006"/>
      <c r="Y96" s="1006"/>
      <c r="Z96" s="1006"/>
      <c r="AA96" s="1006"/>
      <c r="AB96" s="1006"/>
      <c r="AC96" s="1006"/>
      <c r="AD96" s="1007"/>
      <c r="AE96" s="1006"/>
      <c r="AF96" s="1006"/>
    </row>
    <row r="97" spans="1:33" s="1010" customFormat="1" ht="25.5" customHeight="1">
      <c r="A97" s="2641"/>
      <c r="B97" s="1062"/>
      <c r="C97" s="967"/>
      <c r="D97" s="1221" t="s">
        <v>1452</v>
      </c>
      <c r="E97" s="1228"/>
      <c r="F97" s="1223" t="s">
        <v>1453</v>
      </c>
      <c r="G97" s="584"/>
      <c r="H97" s="584"/>
      <c r="I97" s="584"/>
      <c r="J97" s="1046">
        <f>130000+3370000+592888+98000</f>
        <v>4190888</v>
      </c>
      <c r="K97" s="1168"/>
      <c r="L97" s="2558"/>
      <c r="M97" s="1229"/>
      <c r="N97" s="968"/>
      <c r="O97" s="1090"/>
      <c r="P97" s="1090"/>
      <c r="Q97" s="1090"/>
      <c r="R97" s="624">
        <v>200000</v>
      </c>
      <c r="S97" s="1230">
        <v>40543</v>
      </c>
      <c r="T97" s="1231"/>
      <c r="U97" s="1231"/>
      <c r="V97" s="1064"/>
      <c r="W97" s="1064"/>
      <c r="X97" s="1064"/>
      <c r="Y97" s="1064"/>
      <c r="Z97" s="1064"/>
      <c r="AA97" s="1064"/>
      <c r="AB97" s="1064"/>
      <c r="AC97" s="1064"/>
      <c r="AD97" s="1168"/>
      <c r="AE97" s="1006"/>
      <c r="AF97" s="1006"/>
    </row>
    <row r="98" spans="1:33" s="1010" customFormat="1" ht="38.25" customHeight="1">
      <c r="A98" s="2641"/>
      <c r="B98" s="1062" t="s">
        <v>3632</v>
      </c>
      <c r="C98" s="967" t="s">
        <v>1454</v>
      </c>
      <c r="D98" s="1221" t="s">
        <v>1455</v>
      </c>
      <c r="E98" s="1228"/>
      <c r="F98" s="1232">
        <v>573188</v>
      </c>
      <c r="G98" s="1206">
        <v>480000</v>
      </c>
      <c r="H98" s="1206">
        <v>480000</v>
      </c>
      <c r="I98" s="1206"/>
      <c r="J98" s="1202"/>
      <c r="K98" s="1233"/>
      <c r="L98" s="2558"/>
      <c r="M98" s="1234" t="s">
        <v>1456</v>
      </c>
      <c r="N98" s="1235" t="s">
        <v>1457</v>
      </c>
      <c r="O98" s="1236" t="s">
        <v>1458</v>
      </c>
      <c r="P98" s="1236"/>
      <c r="Q98" s="1237"/>
      <c r="R98" s="1238"/>
      <c r="S98" s="1239"/>
      <c r="T98" s="1239"/>
      <c r="U98" s="1239"/>
      <c r="V98" s="588"/>
      <c r="W98" s="588"/>
      <c r="X98" s="588"/>
      <c r="Y98" s="588"/>
      <c r="Z98" s="588"/>
      <c r="AA98" s="588"/>
      <c r="AB98" s="588"/>
      <c r="AC98" s="588"/>
      <c r="AD98" s="587"/>
      <c r="AE98" s="1006"/>
      <c r="AF98" s="1006"/>
    </row>
    <row r="99" spans="1:33" s="1010" customFormat="1" ht="49.5" customHeight="1">
      <c r="A99" s="2641"/>
      <c r="B99" s="1062"/>
      <c r="C99" s="968"/>
      <c r="D99" s="1221"/>
      <c r="E99" s="1240"/>
      <c r="F99" s="1223">
        <f>F96+F97+F98</f>
        <v>4190888</v>
      </c>
      <c r="G99" s="584"/>
      <c r="H99" s="1241">
        <f>H96+H98</f>
        <v>4054400</v>
      </c>
      <c r="I99" s="1242"/>
      <c r="J99" s="1046">
        <f>130000+3370000+690888</f>
        <v>4190888</v>
      </c>
      <c r="K99" s="1243">
        <f>F99-H99</f>
        <v>136488</v>
      </c>
      <c r="L99" s="2558"/>
      <c r="M99" s="1244" t="s">
        <v>1459</v>
      </c>
      <c r="N99" s="1147" t="s">
        <v>1460</v>
      </c>
      <c r="O99" s="1245" t="s">
        <v>1461</v>
      </c>
      <c r="P99" s="1245" t="s">
        <v>1462</v>
      </c>
      <c r="Q99" s="1246"/>
      <c r="R99" s="1053"/>
      <c r="S99" s="1025"/>
      <c r="T99" s="1025"/>
      <c r="U99" s="1025"/>
      <c r="V99" s="1006"/>
      <c r="W99" s="1006"/>
      <c r="X99" s="1006"/>
      <c r="Y99" s="1006"/>
      <c r="Z99" s="1006"/>
      <c r="AA99" s="1006"/>
      <c r="AB99" s="1006"/>
      <c r="AC99" s="1006"/>
      <c r="AD99" s="1007"/>
      <c r="AE99" s="1006"/>
      <c r="AF99" s="1006"/>
    </row>
    <row r="100" spans="1:33" s="1006" customFormat="1" ht="24" customHeight="1">
      <c r="A100" s="2641"/>
      <c r="B100" s="1070"/>
      <c r="C100" s="310" t="s">
        <v>1463</v>
      </c>
      <c r="D100" s="1247" t="s">
        <v>1464</v>
      </c>
      <c r="E100" s="1004" t="s">
        <v>1465</v>
      </c>
      <c r="F100" s="1004" t="s">
        <v>1466</v>
      </c>
      <c r="G100" s="1055"/>
      <c r="H100" s="1055"/>
      <c r="I100" s="1055"/>
      <c r="J100" s="1002"/>
      <c r="M100" s="1248"/>
      <c r="N100" s="310"/>
      <c r="O100" s="311"/>
      <c r="P100" s="311"/>
      <c r="Q100" s="311"/>
      <c r="R100" s="1249"/>
      <c r="S100" s="1250"/>
      <c r="T100" s="1250"/>
      <c r="U100" s="1250"/>
      <c r="AD100" s="1007"/>
      <c r="AG100" s="1058"/>
    </row>
    <row r="101" spans="1:33" s="1010" customFormat="1" ht="88.5" customHeight="1">
      <c r="A101" s="1133"/>
      <c r="B101" s="2658" t="s">
        <v>1467</v>
      </c>
      <c r="C101" s="2558" t="s">
        <v>1468</v>
      </c>
      <c r="D101" s="2655" t="s">
        <v>1469</v>
      </c>
      <c r="E101" s="1218" t="s">
        <v>1470</v>
      </c>
      <c r="F101" s="1218" t="s">
        <v>1471</v>
      </c>
      <c r="G101" s="584">
        <v>532700</v>
      </c>
      <c r="H101" s="584">
        <v>761000</v>
      </c>
      <c r="I101" s="584"/>
      <c r="J101" s="1251" t="s">
        <v>1472</v>
      </c>
      <c r="K101" s="1168"/>
      <c r="L101" s="1251" t="s">
        <v>1473</v>
      </c>
      <c r="M101" s="1146" t="s">
        <v>1474</v>
      </c>
      <c r="N101" s="1031" t="s">
        <v>3633</v>
      </c>
      <c r="O101" s="1055">
        <v>300000</v>
      </c>
      <c r="P101" s="1006">
        <v>300000</v>
      </c>
      <c r="Q101" s="1007"/>
      <c r="R101" s="1252">
        <v>300000</v>
      </c>
      <c r="S101" s="1253">
        <v>40542</v>
      </c>
      <c r="T101" s="1253"/>
      <c r="U101" s="1253"/>
      <c r="V101" s="1006"/>
      <c r="W101" s="1006"/>
      <c r="X101" s="1006"/>
      <c r="Y101" s="1006"/>
      <c r="Z101" s="1006"/>
      <c r="AA101" s="1006"/>
      <c r="AB101" s="1006"/>
      <c r="AC101" s="1006"/>
      <c r="AD101" s="1007"/>
      <c r="AE101" s="1006"/>
      <c r="AF101" s="1006"/>
    </row>
    <row r="102" spans="1:33" s="1010" customFormat="1" ht="52.5" customHeight="1">
      <c r="A102" s="1133">
        <v>5</v>
      </c>
      <c r="B102" s="2658"/>
      <c r="C102" s="2558"/>
      <c r="D102" s="2655"/>
      <c r="E102" s="1218"/>
      <c r="F102" s="1218"/>
      <c r="G102" s="584"/>
      <c r="H102" s="1167"/>
      <c r="I102" s="1167"/>
      <c r="J102" s="1046"/>
      <c r="K102" s="1168"/>
      <c r="L102" s="1064"/>
      <c r="M102" s="1244" t="s">
        <v>1474</v>
      </c>
      <c r="N102" s="1147" t="s">
        <v>1475</v>
      </c>
      <c r="O102" s="1245">
        <v>708560.5</v>
      </c>
      <c r="P102" s="1245">
        <v>230000</v>
      </c>
      <c r="Q102" s="1246"/>
      <c r="R102" s="1007" t="s">
        <v>1476</v>
      </c>
      <c r="S102" s="1254"/>
      <c r="T102" s="1254"/>
      <c r="U102" s="1254"/>
      <c r="V102" s="1006"/>
      <c r="W102" s="1006"/>
      <c r="X102" s="1006"/>
      <c r="Y102" s="1006"/>
      <c r="Z102" s="1006"/>
      <c r="AA102" s="1006"/>
      <c r="AB102" s="1006"/>
      <c r="AC102" s="1006"/>
      <c r="AD102" s="1007"/>
      <c r="AE102" s="1006"/>
      <c r="AF102" s="1006"/>
    </row>
    <row r="103" spans="1:33" s="1010" customFormat="1" ht="78" customHeight="1">
      <c r="A103" s="1081">
        <v>1</v>
      </c>
      <c r="B103" s="1050" t="s">
        <v>3634</v>
      </c>
      <c r="C103" s="1050" t="s">
        <v>1477</v>
      </c>
      <c r="D103" s="1217" t="s">
        <v>1478</v>
      </c>
      <c r="E103" s="1064" t="s">
        <v>1479</v>
      </c>
      <c r="F103" s="446" t="s">
        <v>1480</v>
      </c>
      <c r="G103" s="1055">
        <v>103500</v>
      </c>
      <c r="H103" s="1055" t="s">
        <v>1481</v>
      </c>
      <c r="I103" s="1055"/>
      <c r="J103" s="446" t="s">
        <v>1482</v>
      </c>
      <c r="K103" s="1006"/>
      <c r="L103" s="594" t="s">
        <v>401</v>
      </c>
      <c r="M103" s="1006"/>
      <c r="N103" s="1006"/>
      <c r="O103" s="1006"/>
      <c r="P103" s="1006"/>
      <c r="Q103" s="1007"/>
      <c r="R103" s="1007"/>
      <c r="S103" s="1007"/>
      <c r="T103" s="1007"/>
      <c r="U103" s="1007"/>
      <c r="V103" s="1006"/>
      <c r="W103" s="1006"/>
      <c r="X103" s="1006"/>
      <c r="Y103" s="1006"/>
      <c r="Z103" s="1006"/>
      <c r="AA103" s="1006"/>
      <c r="AB103" s="1006"/>
      <c r="AC103" s="1006"/>
      <c r="AD103" s="1007"/>
      <c r="AE103" s="1006"/>
      <c r="AF103" s="1006"/>
    </row>
    <row r="104" spans="1:33" s="1010" customFormat="1" ht="67.5" customHeight="1">
      <c r="A104" s="1133"/>
      <c r="B104" s="2652" t="s">
        <v>3635</v>
      </c>
      <c r="C104" s="2558" t="s">
        <v>1483</v>
      </c>
      <c r="D104" s="2655" t="s">
        <v>1484</v>
      </c>
      <c r="E104" s="2654" t="s">
        <v>1485</v>
      </c>
      <c r="F104" s="2654" t="s">
        <v>1486</v>
      </c>
      <c r="G104" s="584">
        <v>800000</v>
      </c>
      <c r="H104" s="584">
        <f>800000+434056.8</f>
        <v>1234056.8</v>
      </c>
      <c r="I104" s="584"/>
      <c r="J104" s="1255">
        <f>434056.8+1182979.71+182963.49</f>
        <v>1800000</v>
      </c>
      <c r="K104" s="1256"/>
      <c r="L104" s="594" t="s">
        <v>401</v>
      </c>
      <c r="M104" s="1257" t="s">
        <v>1487</v>
      </c>
      <c r="N104" s="1147" t="s">
        <v>1488</v>
      </c>
      <c r="O104" s="1006">
        <v>1040000</v>
      </c>
      <c r="P104" s="1006" t="s">
        <v>1489</v>
      </c>
      <c r="Q104" s="1007"/>
      <c r="R104" s="1007" t="s">
        <v>1490</v>
      </c>
      <c r="S104" s="1007"/>
      <c r="T104" s="1007"/>
      <c r="U104" s="1007"/>
      <c r="V104" s="1006"/>
      <c r="W104" s="1006"/>
      <c r="X104" s="1006"/>
      <c r="Y104" s="1006"/>
      <c r="Z104" s="1006"/>
      <c r="AA104" s="1006"/>
      <c r="AB104" s="1006"/>
      <c r="AC104" s="1006"/>
      <c r="AD104" s="1007"/>
      <c r="AE104" s="1006"/>
      <c r="AF104" s="1006"/>
    </row>
    <row r="105" spans="1:33" s="1010" customFormat="1" ht="92.25" customHeight="1">
      <c r="A105" s="1133">
        <v>6</v>
      </c>
      <c r="B105" s="2652"/>
      <c r="C105" s="2558"/>
      <c r="D105" s="2655"/>
      <c r="E105" s="2654"/>
      <c r="F105" s="2654"/>
      <c r="G105" s="584"/>
      <c r="H105" s="584">
        <f>F104-H104</f>
        <v>565943.19999999995</v>
      </c>
      <c r="I105" s="584"/>
      <c r="J105" s="1258"/>
      <c r="K105" s="1168"/>
      <c r="L105" s="1064"/>
      <c r="M105" s="1146" t="s">
        <v>1491</v>
      </c>
      <c r="N105" s="1031" t="s">
        <v>3633</v>
      </c>
      <c r="O105" s="1006">
        <v>500000</v>
      </c>
      <c r="P105" s="1006">
        <f>300000+30000</f>
        <v>330000</v>
      </c>
      <c r="Q105" s="1007"/>
      <c r="R105" s="1007">
        <v>500000</v>
      </c>
      <c r="S105" s="1259">
        <v>40542</v>
      </c>
      <c r="T105" s="1259"/>
      <c r="U105" s="1259"/>
      <c r="V105" s="1006"/>
      <c r="W105" s="1006"/>
      <c r="X105" s="1006"/>
      <c r="Y105" s="1006"/>
      <c r="Z105" s="1006"/>
      <c r="AA105" s="1006"/>
      <c r="AB105" s="1006"/>
      <c r="AC105" s="1006"/>
      <c r="AD105" s="1007"/>
      <c r="AE105" s="1006"/>
      <c r="AF105" s="1006"/>
    </row>
    <row r="106" spans="1:33" s="1010" customFormat="1" ht="61.5" customHeight="1">
      <c r="A106" s="1133"/>
      <c r="B106" s="2652" t="s">
        <v>3636</v>
      </c>
      <c r="C106" s="2558" t="s">
        <v>1492</v>
      </c>
      <c r="D106" s="2655" t="s">
        <v>1493</v>
      </c>
      <c r="E106" s="2654" t="s">
        <v>1494</v>
      </c>
      <c r="F106" s="2654" t="s">
        <v>1495</v>
      </c>
      <c r="G106" s="1260" t="s">
        <v>1495</v>
      </c>
      <c r="H106" s="1260" t="s">
        <v>1495</v>
      </c>
      <c r="I106" s="1260"/>
      <c r="J106" s="1260" t="s">
        <v>1496</v>
      </c>
      <c r="K106" s="1168"/>
      <c r="L106" s="594" t="s">
        <v>401</v>
      </c>
      <c r="M106" s="1244" t="s">
        <v>1497</v>
      </c>
      <c r="N106" s="1147" t="s">
        <v>1488</v>
      </c>
      <c r="O106" s="1245">
        <v>244000</v>
      </c>
      <c r="P106" s="1245">
        <v>244000</v>
      </c>
      <c r="Q106" s="1246"/>
      <c r="R106" s="1007" t="s">
        <v>1498</v>
      </c>
      <c r="S106" s="1254"/>
      <c r="T106" s="1254"/>
      <c r="U106" s="1254"/>
      <c r="V106" s="1006"/>
      <c r="W106" s="1006"/>
      <c r="X106" s="1006"/>
      <c r="Y106" s="1006"/>
      <c r="Z106" s="1006"/>
      <c r="AA106" s="1006"/>
      <c r="AB106" s="1006"/>
      <c r="AC106" s="1006"/>
      <c r="AD106" s="1007"/>
      <c r="AE106" s="1006"/>
      <c r="AF106" s="1006"/>
    </row>
    <row r="107" spans="1:33" s="1010" customFormat="1" ht="90.75" customHeight="1">
      <c r="A107" s="1133">
        <v>7</v>
      </c>
      <c r="B107" s="2652"/>
      <c r="C107" s="2558"/>
      <c r="D107" s="2655"/>
      <c r="E107" s="2654"/>
      <c r="F107" s="2654"/>
      <c r="G107" s="1218"/>
      <c r="H107" s="1167"/>
      <c r="I107" s="1167"/>
      <c r="J107" s="1261"/>
      <c r="K107" s="1168"/>
      <c r="L107" s="1064"/>
      <c r="M107" s="1146" t="s">
        <v>1499</v>
      </c>
      <c r="N107" s="1031" t="s">
        <v>3633</v>
      </c>
      <c r="O107" s="1006">
        <v>60000</v>
      </c>
      <c r="P107" s="1006">
        <v>60000</v>
      </c>
      <c r="Q107" s="1007"/>
      <c r="R107" s="1007">
        <v>60000</v>
      </c>
      <c r="S107" s="1259">
        <v>40542</v>
      </c>
      <c r="T107" s="1254"/>
      <c r="U107" s="1254"/>
      <c r="V107" s="1006"/>
      <c r="W107" s="1006"/>
      <c r="X107" s="1006"/>
      <c r="Y107" s="1006"/>
      <c r="Z107" s="1006"/>
      <c r="AA107" s="1006"/>
      <c r="AB107" s="1006"/>
      <c r="AC107" s="1006"/>
      <c r="AD107" s="1007"/>
      <c r="AE107" s="1006"/>
      <c r="AF107" s="1006"/>
    </row>
    <row r="108" spans="1:33" s="1010" customFormat="1" ht="29.25" customHeight="1">
      <c r="A108" s="1133"/>
      <c r="B108" s="2558" t="s">
        <v>3637</v>
      </c>
      <c r="C108" s="2558" t="s">
        <v>1500</v>
      </c>
      <c r="D108" s="2655" t="s">
        <v>1501</v>
      </c>
      <c r="E108" s="2654"/>
      <c r="F108" s="2560">
        <f>4239443.01+2000556.99</f>
        <v>6240000</v>
      </c>
      <c r="G108" s="2560"/>
      <c r="H108" s="2643">
        <f>2000000+2731295.96+1009188.06</f>
        <v>5740484.0199999996</v>
      </c>
      <c r="I108" s="1262"/>
      <c r="J108" s="2568">
        <f>1508147.05+491852.95+2731295.96+1009188.06+499515.98</f>
        <v>6240000</v>
      </c>
      <c r="K108" s="1168"/>
      <c r="L108" s="1064"/>
      <c r="M108" s="1244" t="s">
        <v>1502</v>
      </c>
      <c r="N108" s="1147" t="s">
        <v>1348</v>
      </c>
      <c r="O108" s="1245" t="s">
        <v>1503</v>
      </c>
      <c r="P108" s="1245">
        <v>933000</v>
      </c>
      <c r="Q108" s="1246"/>
      <c r="R108" s="1007"/>
      <c r="S108" s="1254"/>
      <c r="T108" s="1254"/>
      <c r="U108" s="1254"/>
      <c r="V108" s="1006"/>
      <c r="W108" s="1006"/>
      <c r="X108" s="1006"/>
      <c r="Y108" s="1006"/>
      <c r="Z108" s="1006"/>
      <c r="AA108" s="1006"/>
      <c r="AB108" s="1006"/>
      <c r="AC108" s="1006"/>
      <c r="AD108" s="1007"/>
      <c r="AE108" s="1006"/>
      <c r="AF108" s="1006"/>
    </row>
    <row r="109" spans="1:33" s="1010" customFormat="1" ht="97.5" customHeight="1">
      <c r="A109" s="1133"/>
      <c r="B109" s="2558"/>
      <c r="C109" s="2558"/>
      <c r="D109" s="2655"/>
      <c r="E109" s="2654"/>
      <c r="F109" s="2560"/>
      <c r="G109" s="2560"/>
      <c r="H109" s="2643"/>
      <c r="I109" s="1263"/>
      <c r="J109" s="2568"/>
      <c r="K109" s="1168"/>
      <c r="L109" s="1064"/>
      <c r="M109" s="1146" t="s">
        <v>1504</v>
      </c>
      <c r="N109" s="1031" t="s">
        <v>3633</v>
      </c>
      <c r="O109" s="1006">
        <v>1940000</v>
      </c>
      <c r="P109" s="624" t="s">
        <v>1505</v>
      </c>
      <c r="Q109" s="1053"/>
      <c r="R109" s="1007">
        <v>1940000</v>
      </c>
      <c r="S109" s="1259">
        <v>40542</v>
      </c>
      <c r="T109" s="1264"/>
      <c r="U109" s="1264"/>
      <c r="V109" s="1006"/>
      <c r="W109" s="1006"/>
      <c r="X109" s="1006"/>
      <c r="Y109" s="1006"/>
      <c r="Z109" s="1006"/>
      <c r="AA109" s="1006"/>
      <c r="AB109" s="1006"/>
      <c r="AC109" s="1006"/>
      <c r="AD109" s="1007"/>
      <c r="AE109" s="1006"/>
      <c r="AF109" s="1006"/>
    </row>
    <row r="110" spans="1:33" s="1010" customFormat="1" ht="40.5" customHeight="1">
      <c r="A110" s="1133">
        <v>8</v>
      </c>
      <c r="B110" s="2558"/>
      <c r="C110" s="2558"/>
      <c r="D110" s="2655"/>
      <c r="E110" s="2654"/>
      <c r="F110" s="1265"/>
      <c r="G110" s="2560"/>
      <c r="H110" s="2643"/>
      <c r="I110" s="1266"/>
      <c r="J110" s="2568"/>
      <c r="K110" s="1267"/>
      <c r="L110" s="594" t="s">
        <v>401</v>
      </c>
      <c r="M110" s="1146" t="s">
        <v>1506</v>
      </c>
      <c r="N110" s="1268" t="s">
        <v>1507</v>
      </c>
      <c r="O110" s="972">
        <v>330000</v>
      </c>
      <c r="P110" s="1006"/>
      <c r="Q110" s="1006"/>
      <c r="R110" s="972">
        <v>330000</v>
      </c>
      <c r="S110" s="1253" t="s">
        <v>1508</v>
      </c>
      <c r="T110" s="1254"/>
      <c r="U110" s="1254"/>
      <c r="V110" s="1006"/>
      <c r="W110" s="1006"/>
      <c r="X110" s="1006"/>
      <c r="Y110" s="1006"/>
      <c r="Z110" s="1006"/>
      <c r="AA110" s="1006"/>
      <c r="AB110" s="1006"/>
      <c r="AC110" s="1006"/>
      <c r="AD110" s="1007"/>
      <c r="AE110" s="1006"/>
      <c r="AF110" s="1006"/>
    </row>
    <row r="111" spans="1:33" s="1010" customFormat="1" ht="84" customHeight="1">
      <c r="A111" s="1133"/>
      <c r="B111" s="2558"/>
      <c r="C111" s="1070" t="s">
        <v>1509</v>
      </c>
      <c r="D111" s="1190" t="s">
        <v>1510</v>
      </c>
      <c r="E111" s="1228"/>
      <c r="F111" s="1269">
        <v>1850000</v>
      </c>
      <c r="G111" s="1228"/>
      <c r="H111" s="1130">
        <v>1850000</v>
      </c>
      <c r="I111" s="1130"/>
      <c r="J111" s="1228" t="s">
        <v>1511</v>
      </c>
      <c r="K111" s="1256"/>
      <c r="L111" s="1050" t="s">
        <v>401</v>
      </c>
      <c r="M111" s="1146" t="s">
        <v>3638</v>
      </c>
      <c r="N111" s="1076" t="s">
        <v>3639</v>
      </c>
      <c r="O111" s="972">
        <v>1400000</v>
      </c>
      <c r="P111" s="1002">
        <f>560000+500000+250000+90000</f>
        <v>1400000</v>
      </c>
      <c r="Q111" s="1003"/>
      <c r="R111" s="1252">
        <v>1400000</v>
      </c>
      <c r="S111" s="1270" t="s">
        <v>3640</v>
      </c>
      <c r="T111" s="1271">
        <v>1400000</v>
      </c>
      <c r="U111" s="1271"/>
      <c r="V111" s="1006"/>
      <c r="W111" s="1006"/>
      <c r="X111" s="1006"/>
      <c r="Y111" s="1006"/>
      <c r="Z111" s="1006"/>
      <c r="AA111" s="1006"/>
      <c r="AB111" s="1006"/>
      <c r="AC111" s="1006"/>
      <c r="AD111" s="1007"/>
      <c r="AE111" s="1006"/>
      <c r="AF111" s="1006"/>
    </row>
    <row r="112" spans="1:33" s="1010" customFormat="1" ht="78" customHeight="1">
      <c r="A112" s="1133">
        <v>9</v>
      </c>
      <c r="B112" s="966" t="s">
        <v>3641</v>
      </c>
      <c r="C112" s="966" t="s">
        <v>1512</v>
      </c>
      <c r="D112" s="1272" t="s">
        <v>3642</v>
      </c>
      <c r="E112" s="964" t="s">
        <v>3643</v>
      </c>
      <c r="F112" s="970">
        <f>2937000+248000</f>
        <v>3185000</v>
      </c>
      <c r="G112" s="584" t="s">
        <v>1513</v>
      </c>
      <c r="H112" s="584">
        <f>2235000</f>
        <v>2235000</v>
      </c>
      <c r="I112" s="584"/>
      <c r="J112" s="1046" t="s">
        <v>1514</v>
      </c>
      <c r="K112" s="1256" t="s">
        <v>1515</v>
      </c>
      <c r="L112" s="1050" t="s">
        <v>1516</v>
      </c>
      <c r="M112" s="1244" t="s">
        <v>1517</v>
      </c>
      <c r="N112" s="594" t="s">
        <v>1518</v>
      </c>
      <c r="O112" s="1006">
        <v>1990000</v>
      </c>
      <c r="P112" s="1006">
        <v>900000</v>
      </c>
      <c r="Q112" s="1007"/>
      <c r="R112" s="1007"/>
      <c r="S112" s="1254"/>
      <c r="T112" s="1254"/>
      <c r="U112" s="1254"/>
      <c r="V112" s="1006"/>
      <c r="W112" s="1006"/>
      <c r="X112" s="1006"/>
      <c r="Y112" s="1006"/>
      <c r="Z112" s="1006"/>
      <c r="AA112" s="1006"/>
      <c r="AB112" s="1006"/>
      <c r="AC112" s="1006"/>
      <c r="AD112" s="1007"/>
      <c r="AE112" s="1006"/>
      <c r="AF112" s="1006"/>
    </row>
    <row r="113" spans="1:32" s="1010" customFormat="1" ht="86.25" customHeight="1">
      <c r="A113" s="1133"/>
      <c r="B113" s="2652" t="s">
        <v>3644</v>
      </c>
      <c r="C113" s="2558" t="s">
        <v>1519</v>
      </c>
      <c r="D113" s="2655" t="s">
        <v>1520</v>
      </c>
      <c r="E113" s="2542" t="s">
        <v>1320</v>
      </c>
      <c r="F113" s="2595">
        <v>2100000</v>
      </c>
      <c r="G113" s="584" t="s">
        <v>3645</v>
      </c>
      <c r="H113" s="584" t="s">
        <v>1521</v>
      </c>
      <c r="I113" s="584"/>
      <c r="J113" s="1046" t="s">
        <v>1522</v>
      </c>
      <c r="K113" s="1256"/>
      <c r="L113" s="1050" t="s">
        <v>401</v>
      </c>
      <c r="M113" s="1146" t="s">
        <v>1523</v>
      </c>
      <c r="N113" s="1031" t="s">
        <v>3633</v>
      </c>
      <c r="O113" s="1006">
        <v>1900000</v>
      </c>
      <c r="P113" s="1006" t="s">
        <v>3646</v>
      </c>
      <c r="Q113" s="1007"/>
      <c r="R113" s="1007">
        <v>1900000</v>
      </c>
      <c r="S113" s="1259">
        <v>40542</v>
      </c>
      <c r="T113" s="1254"/>
      <c r="U113" s="1254"/>
      <c r="V113" s="1006"/>
      <c r="W113" s="1006"/>
      <c r="X113" s="1006"/>
      <c r="Y113" s="1006"/>
      <c r="Z113" s="1006"/>
      <c r="AA113" s="1006"/>
      <c r="AB113" s="1006"/>
      <c r="AC113" s="1006"/>
      <c r="AD113" s="1007"/>
      <c r="AE113" s="1006"/>
      <c r="AF113" s="1006"/>
    </row>
    <row r="114" spans="1:32" s="1010" customFormat="1" ht="75" customHeight="1">
      <c r="A114" s="1133">
        <v>10</v>
      </c>
      <c r="B114" s="2652"/>
      <c r="C114" s="2558"/>
      <c r="D114" s="2655"/>
      <c r="E114" s="2542"/>
      <c r="F114" s="2595"/>
      <c r="G114" s="584"/>
      <c r="H114" s="584"/>
      <c r="I114" s="584"/>
      <c r="J114" s="1046"/>
      <c r="K114" s="1168"/>
      <c r="L114" s="1064"/>
      <c r="M114" s="1244" t="s">
        <v>1524</v>
      </c>
      <c r="N114" s="1147" t="s">
        <v>1525</v>
      </c>
      <c r="O114" s="1273">
        <v>320352</v>
      </c>
      <c r="P114" s="1006"/>
      <c r="Q114" s="1007"/>
      <c r="R114" s="1007"/>
      <c r="S114" s="1254"/>
      <c r="T114" s="1254"/>
      <c r="U114" s="1254"/>
      <c r="V114" s="1006"/>
      <c r="W114" s="1006"/>
      <c r="X114" s="1006"/>
      <c r="Y114" s="1006"/>
      <c r="Z114" s="1006"/>
      <c r="AA114" s="1006"/>
      <c r="AB114" s="1006"/>
      <c r="AC114" s="1006"/>
      <c r="AD114" s="1007"/>
      <c r="AE114" s="1006"/>
      <c r="AF114" s="1006"/>
    </row>
    <row r="115" spans="1:32" s="1010" customFormat="1" ht="18.75" customHeight="1">
      <c r="A115" s="1133"/>
      <c r="B115" s="1050" t="s">
        <v>1526</v>
      </c>
      <c r="C115" s="1050"/>
      <c r="D115" s="1217"/>
      <c r="E115" s="1218"/>
      <c r="F115" s="1218"/>
      <c r="G115" s="1241"/>
      <c r="H115" s="1167"/>
      <c r="I115" s="1167"/>
      <c r="J115" s="1046"/>
      <c r="K115" s="1168"/>
      <c r="L115" s="1064"/>
      <c r="M115" s="1115"/>
      <c r="N115" s="1006"/>
      <c r="O115" s="1006"/>
      <c r="P115" s="1006"/>
      <c r="Q115" s="1007"/>
      <c r="R115" s="1053" t="s">
        <v>1527</v>
      </c>
      <c r="S115" s="1053">
        <v>4900000</v>
      </c>
      <c r="T115" s="1053"/>
      <c r="U115" s="1053"/>
      <c r="V115" s="972"/>
      <c r="W115" s="1006"/>
      <c r="X115" s="1006"/>
      <c r="Y115" s="1006"/>
      <c r="Z115" s="1006"/>
      <c r="AA115" s="1006"/>
      <c r="AB115" s="1006"/>
      <c r="AC115" s="1006"/>
      <c r="AD115" s="1007"/>
      <c r="AE115" s="1006"/>
      <c r="AF115" s="1006"/>
    </row>
    <row r="116" spans="1:32" s="1010" customFormat="1" ht="18.75" customHeight="1">
      <c r="A116" s="1133"/>
      <c r="B116" s="1050"/>
      <c r="C116" s="1050"/>
      <c r="D116" s="1217"/>
      <c r="E116" s="1218"/>
      <c r="F116" s="1218"/>
      <c r="G116" s="1241"/>
      <c r="H116" s="1167"/>
      <c r="I116" s="1167"/>
      <c r="J116" s="1046"/>
      <c r="K116" s="1168"/>
      <c r="L116" s="1064"/>
      <c r="M116" s="1115"/>
      <c r="N116" s="1006"/>
      <c r="O116" s="1006"/>
      <c r="P116" s="1006"/>
      <c r="Q116" s="1007"/>
      <c r="R116" s="1052">
        <f>R113+R109+R107+R105+R101+R97</f>
        <v>4900000</v>
      </c>
      <c r="S116" s="1007"/>
      <c r="T116" s="1007"/>
      <c r="U116" s="1007"/>
      <c r="V116" s="1006"/>
      <c r="W116" s="1006"/>
      <c r="X116" s="1006"/>
      <c r="Y116" s="1006"/>
      <c r="Z116" s="1006"/>
      <c r="AA116" s="1006"/>
      <c r="AB116" s="1006"/>
      <c r="AC116" s="1006"/>
      <c r="AD116" s="1007"/>
      <c r="AE116" s="1006"/>
      <c r="AF116" s="1006"/>
    </row>
    <row r="117" spans="1:32" s="1180" customFormat="1" ht="30.75" customHeight="1">
      <c r="A117" s="1170"/>
      <c r="B117" s="1171"/>
      <c r="C117" s="1172" t="s">
        <v>1528</v>
      </c>
      <c r="D117" s="1171"/>
      <c r="E117" s="1173"/>
      <c r="F117" s="1174"/>
      <c r="G117" s="1175"/>
      <c r="H117" s="1174"/>
      <c r="I117" s="1174"/>
      <c r="J117" s="1175"/>
      <c r="K117" s="1176"/>
      <c r="L117" s="1177"/>
      <c r="M117" s="1178"/>
      <c r="N117" s="1128"/>
      <c r="O117" s="1128"/>
      <c r="P117" s="1128"/>
      <c r="Q117" s="1144"/>
      <c r="R117" s="1144"/>
      <c r="S117" s="1144"/>
      <c r="T117" s="1144"/>
      <c r="U117" s="1144"/>
      <c r="V117" s="1128"/>
      <c r="W117" s="1128"/>
      <c r="X117" s="1128"/>
      <c r="Y117" s="1128"/>
      <c r="Z117" s="1128"/>
      <c r="AA117" s="1128"/>
      <c r="AB117" s="1128"/>
      <c r="AC117" s="1128"/>
      <c r="AD117" s="1144"/>
      <c r="AE117" s="1128"/>
      <c r="AF117" s="1128"/>
    </row>
    <row r="118" spans="1:32" s="1010" customFormat="1" ht="81.75" customHeight="1">
      <c r="A118" s="1081"/>
      <c r="B118" s="2558" t="s">
        <v>3647</v>
      </c>
      <c r="C118" s="1050" t="s">
        <v>3648</v>
      </c>
      <c r="D118" s="1274" t="s">
        <v>1529</v>
      </c>
      <c r="E118" s="1275" t="s">
        <v>3649</v>
      </c>
      <c r="F118" s="1276" t="s">
        <v>3650</v>
      </c>
      <c r="G118" s="584" t="s">
        <v>3651</v>
      </c>
      <c r="H118" s="584" t="s">
        <v>3652</v>
      </c>
      <c r="I118" s="1167" t="s">
        <v>1530</v>
      </c>
      <c r="J118" s="1167"/>
      <c r="K118" s="1168"/>
      <c r="L118" s="1169"/>
      <c r="M118" s="1277" t="s">
        <v>1531</v>
      </c>
      <c r="N118" s="594" t="s">
        <v>3653</v>
      </c>
      <c r="O118" s="1006">
        <v>5066000</v>
      </c>
      <c r="P118" s="1006"/>
      <c r="Q118" s="1053" t="s">
        <v>1532</v>
      </c>
      <c r="R118" s="1074" t="s">
        <v>1533</v>
      </c>
      <c r="S118" s="1278" t="s">
        <v>1534</v>
      </c>
      <c r="T118" s="1007"/>
      <c r="U118" s="1007"/>
      <c r="V118" s="1006"/>
      <c r="W118" s="1006"/>
      <c r="X118" s="1006"/>
      <c r="Y118" s="1006"/>
      <c r="Z118" s="1006"/>
      <c r="AA118" s="1006"/>
      <c r="AB118" s="594">
        <v>2080000</v>
      </c>
      <c r="AC118" s="594">
        <v>5000000</v>
      </c>
      <c r="AD118" s="1007"/>
      <c r="AE118" s="1006"/>
      <c r="AF118" s="1006"/>
    </row>
    <row r="119" spans="1:32" s="1010" customFormat="1" ht="105.75" customHeight="1">
      <c r="A119" s="1133">
        <v>1</v>
      </c>
      <c r="B119" s="2558"/>
      <c r="C119" s="594"/>
      <c r="D119" s="1191" t="s">
        <v>1535</v>
      </c>
      <c r="E119" s="1275" t="s">
        <v>1536</v>
      </c>
      <c r="F119" s="1276"/>
      <c r="G119" s="584"/>
      <c r="H119" s="584"/>
      <c r="I119" s="1167"/>
      <c r="J119" s="1279">
        <v>140000</v>
      </c>
      <c r="K119" s="1256" t="s">
        <v>1537</v>
      </c>
      <c r="L119" s="1064"/>
      <c r="M119" s="1244" t="s">
        <v>1538</v>
      </c>
      <c r="N119" s="1147" t="s">
        <v>1348</v>
      </c>
      <c r="O119" s="1245" t="s">
        <v>1539</v>
      </c>
      <c r="P119" s="1245" t="s">
        <v>1540</v>
      </c>
      <c r="Q119" s="1007" t="s">
        <v>1541</v>
      </c>
      <c r="R119" s="1007"/>
      <c r="S119" s="1007"/>
      <c r="T119" s="1007"/>
      <c r="U119" s="1007"/>
      <c r="V119" s="1006"/>
      <c r="W119" s="1006"/>
      <c r="X119" s="1006"/>
      <c r="Y119" s="1006"/>
      <c r="Z119" s="1006"/>
      <c r="AA119" s="1006"/>
      <c r="AB119" s="1006"/>
      <c r="AC119" s="1006"/>
      <c r="AD119" s="1007"/>
      <c r="AE119" s="1006"/>
      <c r="AF119" s="1006"/>
    </row>
    <row r="120" spans="1:32" s="1010" customFormat="1" ht="76.5" customHeight="1">
      <c r="A120" s="1133">
        <v>2</v>
      </c>
      <c r="B120" s="966" t="s">
        <v>3654</v>
      </c>
      <c r="C120" s="967" t="s">
        <v>1542</v>
      </c>
      <c r="D120" s="1190" t="s">
        <v>1543</v>
      </c>
      <c r="E120" s="1218" t="s">
        <v>1544</v>
      </c>
      <c r="F120" s="1218" t="s">
        <v>1545</v>
      </c>
      <c r="G120" s="584">
        <f>524790+50000*(18/4/11)</f>
        <v>545244.54545454541</v>
      </c>
      <c r="H120" s="584">
        <f>524790+50000+224910+207840+138560</f>
        <v>1146100</v>
      </c>
      <c r="I120" s="584"/>
      <c r="J120" s="1046">
        <f>50000+1096100.01+24999.99</f>
        <v>1171100</v>
      </c>
      <c r="K120" s="1256"/>
      <c r="L120" s="594" t="s">
        <v>401</v>
      </c>
      <c r="M120" s="1184" t="s">
        <v>1546</v>
      </c>
      <c r="N120" s="1147" t="s">
        <v>1547</v>
      </c>
      <c r="O120" s="1148">
        <v>649700</v>
      </c>
      <c r="P120" s="1148">
        <v>324850</v>
      </c>
      <c r="Q120" s="1280"/>
      <c r="R120" s="1007" t="s">
        <v>1548</v>
      </c>
      <c r="S120" s="1007"/>
      <c r="T120" s="1007"/>
      <c r="U120" s="1007"/>
      <c r="V120" s="1006"/>
      <c r="W120" s="1006"/>
      <c r="X120" s="1006"/>
      <c r="Y120" s="1006"/>
      <c r="Z120" s="1006"/>
      <c r="AA120" s="1006"/>
      <c r="AB120" s="1006"/>
      <c r="AC120" s="1006"/>
      <c r="AD120" s="1007"/>
      <c r="AE120" s="1006"/>
      <c r="AF120" s="1006"/>
    </row>
    <row r="121" spans="1:32" s="1010" customFormat="1" ht="71.25" customHeight="1">
      <c r="A121" s="1133"/>
      <c r="B121" s="446" t="s">
        <v>3655</v>
      </c>
      <c r="C121" s="594" t="s">
        <v>3656</v>
      </c>
      <c r="D121" s="446" t="s">
        <v>1549</v>
      </c>
      <c r="E121" s="1218" t="s">
        <v>1550</v>
      </c>
      <c r="F121" s="1218" t="s">
        <v>1551</v>
      </c>
      <c r="G121" s="584">
        <v>45000</v>
      </c>
      <c r="H121" s="584">
        <v>45000</v>
      </c>
      <c r="I121" s="584"/>
      <c r="J121" s="1046">
        <v>45000</v>
      </c>
      <c r="K121" s="1256"/>
      <c r="L121" s="594" t="s">
        <v>401</v>
      </c>
      <c r="M121" s="1115"/>
      <c r="N121" s="1006"/>
      <c r="O121" s="1006"/>
      <c r="P121" s="1006"/>
      <c r="Q121" s="1007"/>
      <c r="R121" s="1007"/>
      <c r="S121" s="1007"/>
      <c r="T121" s="1007"/>
      <c r="U121" s="1007"/>
      <c r="V121" s="1006"/>
      <c r="W121" s="1006"/>
      <c r="X121" s="1006"/>
      <c r="Y121" s="1006"/>
      <c r="Z121" s="1006"/>
      <c r="AA121" s="1006"/>
      <c r="AB121" s="1006"/>
      <c r="AC121" s="1006"/>
      <c r="AD121" s="1007"/>
      <c r="AE121" s="1006"/>
      <c r="AF121" s="1006"/>
    </row>
    <row r="122" spans="1:32" s="1010" customFormat="1" ht="67.349999999999994" customHeight="1">
      <c r="A122" s="1133"/>
      <c r="B122" s="1050" t="s">
        <v>3657</v>
      </c>
      <c r="C122" s="1050" t="s">
        <v>1552</v>
      </c>
      <c r="D122" s="1217" t="s">
        <v>1553</v>
      </c>
      <c r="E122" s="1218" t="s">
        <v>1554</v>
      </c>
      <c r="F122" s="1218" t="s">
        <v>1555</v>
      </c>
      <c r="G122" s="584">
        <v>133000</v>
      </c>
      <c r="H122" s="584">
        <v>133000</v>
      </c>
      <c r="I122" s="584"/>
      <c r="J122" s="1281">
        <v>190000</v>
      </c>
      <c r="K122" s="1168"/>
      <c r="L122" s="594" t="s">
        <v>401</v>
      </c>
      <c r="M122" s="1115"/>
      <c r="N122" s="1006"/>
      <c r="O122" s="1006"/>
      <c r="P122" s="1006"/>
      <c r="Q122" s="1007"/>
      <c r="R122" s="1007"/>
      <c r="S122" s="1007"/>
      <c r="T122" s="1007"/>
      <c r="U122" s="1007"/>
      <c r="V122" s="1006"/>
      <c r="W122" s="1006"/>
      <c r="X122" s="1006"/>
      <c r="Y122" s="1006"/>
      <c r="Z122" s="1006"/>
      <c r="AA122" s="1006"/>
      <c r="AB122" s="1006"/>
      <c r="AC122" s="1006"/>
      <c r="AD122" s="1007"/>
      <c r="AE122" s="1006"/>
      <c r="AF122" s="1006"/>
    </row>
    <row r="123" spans="1:32" s="1010" customFormat="1" ht="108" customHeight="1">
      <c r="A123" s="1133"/>
      <c r="B123" s="1050" t="s">
        <v>3658</v>
      </c>
      <c r="C123" s="1282" t="s">
        <v>3659</v>
      </c>
      <c r="D123" s="1217" t="s">
        <v>1556</v>
      </c>
      <c r="E123" s="1218" t="s">
        <v>1557</v>
      </c>
      <c r="F123" s="1218" t="s">
        <v>1558</v>
      </c>
      <c r="G123" s="584">
        <v>130200</v>
      </c>
      <c r="H123" s="584" t="s">
        <v>3660</v>
      </c>
      <c r="I123" s="1167" t="s">
        <v>1559</v>
      </c>
      <c r="J123" s="1283">
        <v>160000</v>
      </c>
      <c r="K123" s="1256"/>
      <c r="L123" s="594" t="s">
        <v>401</v>
      </c>
      <c r="M123" s="1115"/>
      <c r="N123" s="1006"/>
      <c r="O123" s="1006"/>
      <c r="P123" s="1006"/>
      <c r="Q123" s="1007"/>
      <c r="R123" s="1007"/>
      <c r="S123" s="1007"/>
      <c r="T123" s="1007"/>
      <c r="U123" s="1007"/>
      <c r="V123" s="1006"/>
      <c r="W123" s="1006"/>
      <c r="X123" s="1006"/>
      <c r="Y123" s="1006"/>
      <c r="Z123" s="1006"/>
      <c r="AA123" s="1006"/>
      <c r="AB123" s="1006"/>
      <c r="AC123" s="1006"/>
      <c r="AD123" s="1007"/>
      <c r="AE123" s="1006"/>
      <c r="AF123" s="1006"/>
    </row>
    <row r="124" spans="1:32" s="1010" customFormat="1" ht="71.25" customHeight="1">
      <c r="A124" s="1133"/>
      <c r="B124" s="1050" t="s">
        <v>3661</v>
      </c>
      <c r="C124" s="1050" t="s">
        <v>1560</v>
      </c>
      <c r="D124" s="446" t="s">
        <v>1561</v>
      </c>
      <c r="E124" s="1218" t="s">
        <v>1562</v>
      </c>
      <c r="F124" s="599" t="s">
        <v>1563</v>
      </c>
      <c r="G124" s="584">
        <v>110000</v>
      </c>
      <c r="H124" s="584">
        <v>110000</v>
      </c>
      <c r="I124" s="584"/>
      <c r="J124" s="1046">
        <v>220000</v>
      </c>
      <c r="K124" s="1168"/>
      <c r="L124" s="594" t="s">
        <v>401</v>
      </c>
      <c r="M124" s="594"/>
      <c r="N124" s="1006"/>
      <c r="O124" s="1006"/>
      <c r="P124" s="1006"/>
      <c r="Q124" s="1006"/>
      <c r="R124" s="1006"/>
      <c r="S124" s="624"/>
      <c r="T124" s="1006"/>
      <c r="U124" s="1006"/>
      <c r="V124" s="1006"/>
      <c r="W124" s="1006"/>
      <c r="X124" s="1006"/>
      <c r="Y124" s="1006"/>
      <c r="Z124" s="1006"/>
      <c r="AA124" s="1006"/>
      <c r="AB124" s="1006"/>
      <c r="AC124" s="1006"/>
      <c r="AD124" s="1007"/>
      <c r="AE124" s="1006"/>
      <c r="AF124" s="1006"/>
    </row>
    <row r="125" spans="1:32" s="1010" customFormat="1" ht="77.25" customHeight="1">
      <c r="A125" s="1133"/>
      <c r="B125" s="1050" t="s">
        <v>3662</v>
      </c>
      <c r="C125" s="1050" t="s">
        <v>1564</v>
      </c>
      <c r="D125" s="1217" t="s">
        <v>1565</v>
      </c>
      <c r="E125" s="1218" t="s">
        <v>1566</v>
      </c>
      <c r="F125" s="1218" t="s">
        <v>1567</v>
      </c>
      <c r="G125" s="1241"/>
      <c r="H125" s="584" t="s">
        <v>1568</v>
      </c>
      <c r="I125" s="584"/>
      <c r="J125" s="1050">
        <v>95000</v>
      </c>
      <c r="K125" s="1284" t="s">
        <v>1569</v>
      </c>
      <c r="L125" s="594" t="s">
        <v>401</v>
      </c>
      <c r="M125" s="1115"/>
      <c r="N125" s="1006"/>
      <c r="O125" s="1006"/>
      <c r="P125" s="1006"/>
      <c r="Q125" s="1007"/>
      <c r="R125" s="1007"/>
      <c r="S125" s="1007"/>
      <c r="T125" s="1007"/>
      <c r="U125" s="1007"/>
      <c r="V125" s="1006"/>
      <c r="W125" s="1006"/>
      <c r="X125" s="1006"/>
      <c r="Y125" s="1006"/>
      <c r="Z125" s="1006"/>
      <c r="AA125" s="1006"/>
      <c r="AB125" s="1006"/>
      <c r="AC125" s="1006"/>
      <c r="AD125" s="1007"/>
      <c r="AE125" s="1006"/>
      <c r="AF125" s="1006"/>
    </row>
    <row r="126" spans="1:32" s="1010" customFormat="1" ht="82.5" customHeight="1">
      <c r="A126" s="1133"/>
      <c r="B126" s="1285" t="s">
        <v>3663</v>
      </c>
      <c r="C126" s="1050" t="s">
        <v>1570</v>
      </c>
      <c r="D126" s="446" t="s">
        <v>1571</v>
      </c>
      <c r="E126" s="1218" t="s">
        <v>1572</v>
      </c>
      <c r="F126" s="1141">
        <v>826500</v>
      </c>
      <c r="G126" s="584">
        <v>413250</v>
      </c>
      <c r="H126" s="584" t="s">
        <v>1573</v>
      </c>
      <c r="I126" s="584" t="s">
        <v>1574</v>
      </c>
      <c r="J126" s="1046">
        <f>475000+351500</f>
        <v>826500</v>
      </c>
      <c r="K126" s="1256"/>
      <c r="L126" s="594" t="s">
        <v>401</v>
      </c>
      <c r="M126" s="594"/>
      <c r="N126" s="1006"/>
      <c r="O126" s="1006"/>
      <c r="P126" s="1006"/>
      <c r="Q126" s="1006"/>
      <c r="R126" s="1006"/>
      <c r="S126" s="624"/>
      <c r="T126" s="1006"/>
      <c r="U126" s="1006"/>
      <c r="V126" s="1006"/>
      <c r="W126" s="1006"/>
      <c r="X126" s="1006"/>
      <c r="Y126" s="1006"/>
      <c r="Z126" s="1006"/>
      <c r="AA126" s="1006"/>
      <c r="AB126" s="1006"/>
      <c r="AC126" s="1006"/>
      <c r="AD126" s="1007"/>
      <c r="AE126" s="1006"/>
      <c r="AF126" s="1006"/>
    </row>
    <row r="127" spans="1:32" s="1010" customFormat="1" ht="42" customHeight="1">
      <c r="A127" s="2568">
        <v>3</v>
      </c>
      <c r="B127" s="2558" t="s">
        <v>3664</v>
      </c>
      <c r="C127" s="2558" t="s">
        <v>1575</v>
      </c>
      <c r="D127" s="310" t="s">
        <v>1576</v>
      </c>
      <c r="E127" s="1004" t="s">
        <v>1577</v>
      </c>
      <c r="F127" s="1286" t="s">
        <v>1578</v>
      </c>
      <c r="G127" s="584">
        <v>1280000</v>
      </c>
      <c r="H127" s="584">
        <f>1280000+345000+100000</f>
        <v>1725000</v>
      </c>
      <c r="I127" s="2656" t="s">
        <v>1579</v>
      </c>
      <c r="J127" s="1287">
        <f>1150000+950000</f>
        <v>2100000</v>
      </c>
      <c r="K127" s="1168"/>
      <c r="L127" s="2610" t="s">
        <v>401</v>
      </c>
      <c r="M127" s="1017" t="s">
        <v>1580</v>
      </c>
      <c r="N127" s="2653" t="s">
        <v>3665</v>
      </c>
      <c r="O127" s="996">
        <v>1100000</v>
      </c>
      <c r="P127" s="1006">
        <f>490000+580000+30000+50000</f>
        <v>1150000</v>
      </c>
      <c r="Q127" s="1059" t="s">
        <v>1581</v>
      </c>
      <c r="R127" s="996">
        <v>1100000</v>
      </c>
      <c r="S127" s="1288" t="s">
        <v>1582</v>
      </c>
      <c r="T127" s="1006"/>
      <c r="U127" s="1006"/>
      <c r="V127" s="1006"/>
      <c r="W127" s="1006"/>
      <c r="X127" s="1006"/>
      <c r="Y127" s="1006"/>
      <c r="Z127" s="1006"/>
      <c r="AA127" s="1006"/>
      <c r="AB127" s="1006"/>
      <c r="AC127" s="1006"/>
      <c r="AD127" s="1007"/>
      <c r="AE127" s="1006"/>
      <c r="AF127" s="1006"/>
    </row>
    <row r="128" spans="1:32" s="1010" customFormat="1" ht="37.5" customHeight="1">
      <c r="A128" s="2568"/>
      <c r="B128" s="2558"/>
      <c r="C128" s="2558"/>
      <c r="D128" s="310" t="s">
        <v>1583</v>
      </c>
      <c r="E128" s="1222" t="s">
        <v>1584</v>
      </c>
      <c r="F128" s="1286" t="s">
        <v>1585</v>
      </c>
      <c r="G128" s="584"/>
      <c r="H128" s="584">
        <f>497500+300000+400000+400000</f>
        <v>1597500</v>
      </c>
      <c r="I128" s="2656"/>
      <c r="J128" s="1064">
        <v>1400000</v>
      </c>
      <c r="K128" s="1289"/>
      <c r="L128" s="2610"/>
      <c r="M128" s="1017" t="s">
        <v>1586</v>
      </c>
      <c r="N128" s="2653"/>
      <c r="O128" s="996">
        <v>1200000</v>
      </c>
      <c r="P128" s="2634">
        <f>250000+150000+250000+580000+150000+170000</f>
        <v>1550000</v>
      </c>
      <c r="Q128" s="1059" t="s">
        <v>1587</v>
      </c>
      <c r="R128" s="996">
        <v>1200000</v>
      </c>
      <c r="S128" s="1290">
        <v>41018</v>
      </c>
      <c r="T128" s="594">
        <v>50000</v>
      </c>
      <c r="U128" s="594"/>
      <c r="V128" s="1006"/>
      <c r="W128" s="1291" t="s">
        <v>1588</v>
      </c>
      <c r="X128" s="972"/>
      <c r="Y128" s="1006"/>
      <c r="Z128" s="1006"/>
      <c r="AA128" s="1006"/>
      <c r="AB128" s="1006"/>
      <c r="AC128" s="1006"/>
      <c r="AD128" s="1007"/>
      <c r="AE128" s="1006"/>
      <c r="AF128" s="1006"/>
    </row>
    <row r="129" spans="1:32" s="1010" customFormat="1" ht="27.75" customHeight="1">
      <c r="A129" s="2568"/>
      <c r="B129" s="2558"/>
      <c r="C129" s="2558"/>
      <c r="D129" s="310" t="s">
        <v>1589</v>
      </c>
      <c r="E129" s="1222" t="s">
        <v>1590</v>
      </c>
      <c r="F129" s="1286" t="s">
        <v>1591</v>
      </c>
      <c r="G129" s="584"/>
      <c r="H129" s="584">
        <f>H127+H128</f>
        <v>3322500</v>
      </c>
      <c r="I129" s="584">
        <f>F127+F128+F129</f>
        <v>3920000</v>
      </c>
      <c r="J129" s="1286" t="s">
        <v>1591</v>
      </c>
      <c r="K129" s="1292"/>
      <c r="L129" s="1064"/>
      <c r="M129" s="1017" t="s">
        <v>1592</v>
      </c>
      <c r="N129" s="2653"/>
      <c r="O129" s="996">
        <v>400000</v>
      </c>
      <c r="P129" s="2634"/>
      <c r="Q129" s="1006"/>
      <c r="R129" s="996">
        <v>400000</v>
      </c>
      <c r="S129" s="1290">
        <v>41089</v>
      </c>
      <c r="T129" s="1006"/>
      <c r="U129" s="1006"/>
      <c r="V129" s="1006"/>
      <c r="W129" s="1293">
        <v>400000</v>
      </c>
      <c r="X129" s="972"/>
      <c r="Y129" s="1006"/>
      <c r="Z129" s="1006"/>
      <c r="AA129" s="1006"/>
      <c r="AB129" s="1006"/>
      <c r="AC129" s="1006"/>
      <c r="AD129" s="1007"/>
      <c r="AE129" s="1006"/>
      <c r="AF129" s="1006"/>
    </row>
    <row r="130" spans="1:32" s="1010" customFormat="1" ht="72.75" customHeight="1">
      <c r="A130" s="1133">
        <v>4</v>
      </c>
      <c r="B130" s="1050" t="s">
        <v>1593</v>
      </c>
      <c r="C130" s="1050" t="s">
        <v>1594</v>
      </c>
      <c r="D130" s="446" t="s">
        <v>1595</v>
      </c>
      <c r="E130" s="1218" t="s">
        <v>1572</v>
      </c>
      <c r="F130" s="1286" t="s">
        <v>1596</v>
      </c>
      <c r="G130" s="584">
        <f>83400+912300</f>
        <v>995700</v>
      </c>
      <c r="H130" s="584">
        <f>83400+918300+419100</f>
        <v>1420800</v>
      </c>
      <c r="I130" s="1167"/>
      <c r="J130" s="1046">
        <f>139000+1446000</f>
        <v>1585000</v>
      </c>
      <c r="K130" s="1219">
        <f>F130-H130</f>
        <v>164200</v>
      </c>
      <c r="L130" s="594" t="s">
        <v>401</v>
      </c>
      <c r="M130" s="1017" t="s">
        <v>1597</v>
      </c>
      <c r="N130" s="1127" t="s">
        <v>3666</v>
      </c>
      <c r="O130" s="1294">
        <v>1300000</v>
      </c>
      <c r="P130" s="1006">
        <f>370000+480000+450000</f>
        <v>1300000</v>
      </c>
      <c r="Q130" s="1006"/>
      <c r="R130" s="1294" t="s">
        <v>1598</v>
      </c>
      <c r="S130" s="1295" t="s">
        <v>1599</v>
      </c>
      <c r="T130" s="1006"/>
      <c r="U130" s="1006"/>
      <c r="V130" s="1006"/>
      <c r="W130" s="1006"/>
      <c r="X130" s="1006"/>
      <c r="Y130" s="1006"/>
      <c r="Z130" s="1006"/>
      <c r="AA130" s="1006"/>
      <c r="AB130" s="1006"/>
      <c r="AC130" s="1006"/>
      <c r="AD130" s="1007"/>
      <c r="AE130" s="1006"/>
      <c r="AF130" s="1006"/>
    </row>
    <row r="131" spans="1:32" s="1010" customFormat="1" ht="102.75" customHeight="1">
      <c r="A131" s="1133"/>
      <c r="B131" s="1050" t="s">
        <v>3667</v>
      </c>
      <c r="C131" s="1050" t="s">
        <v>1600</v>
      </c>
      <c r="D131" s="446" t="s">
        <v>3668</v>
      </c>
      <c r="E131" s="1218" t="s">
        <v>1601</v>
      </c>
      <c r="F131" s="891" t="s">
        <v>1602</v>
      </c>
      <c r="G131" s="1296" t="s">
        <v>1603</v>
      </c>
      <c r="H131" s="584">
        <v>497615.2</v>
      </c>
      <c r="I131" s="584"/>
      <c r="J131" s="1297" t="s">
        <v>1602</v>
      </c>
      <c r="K131" s="1256"/>
      <c r="L131" s="594" t="s">
        <v>401</v>
      </c>
      <c r="M131" s="1147" t="s">
        <v>1604</v>
      </c>
      <c r="N131" s="1148" t="s">
        <v>1605</v>
      </c>
      <c r="O131" s="1006">
        <v>18347.07</v>
      </c>
      <c r="P131" s="1054"/>
      <c r="Q131" s="1054"/>
      <c r="R131" s="1006"/>
      <c r="S131" s="624"/>
      <c r="T131" s="1006"/>
      <c r="U131" s="1006"/>
      <c r="V131" s="1006"/>
      <c r="W131" s="1006"/>
      <c r="X131" s="1006"/>
      <c r="Y131" s="1006"/>
      <c r="Z131" s="1006"/>
      <c r="AA131" s="1006"/>
      <c r="AB131" s="1006"/>
      <c r="AC131" s="1006"/>
      <c r="AD131" s="1007"/>
      <c r="AE131" s="1006"/>
      <c r="AF131" s="1006"/>
    </row>
    <row r="132" spans="1:32" s="1010" customFormat="1" ht="33" customHeight="1">
      <c r="A132" s="2641">
        <v>5</v>
      </c>
      <c r="B132" s="2558" t="s">
        <v>3669</v>
      </c>
      <c r="C132" s="2558" t="s">
        <v>1606</v>
      </c>
      <c r="D132" s="446" t="s">
        <v>1607</v>
      </c>
      <c r="E132" s="2654" t="s">
        <v>1608</v>
      </c>
      <c r="F132" s="1298" t="s">
        <v>1609</v>
      </c>
      <c r="G132" s="584">
        <f>F132+F133+F134</f>
        <v>8150000</v>
      </c>
      <c r="H132" s="2643">
        <f>7375000+775000</f>
        <v>8150000</v>
      </c>
      <c r="I132" s="1296"/>
      <c r="J132" s="1046">
        <v>5000000</v>
      </c>
      <c r="K132" s="1168"/>
      <c r="L132" s="2558" t="s">
        <v>401</v>
      </c>
      <c r="M132" s="1031"/>
      <c r="N132" s="2558" t="s">
        <v>1610</v>
      </c>
      <c r="O132" s="2568">
        <v>8055000</v>
      </c>
      <c r="P132" s="2583">
        <f>6390000+270000+290000+100000+100000+405000+120000+450000</f>
        <v>8125000</v>
      </c>
      <c r="Q132" s="2645" t="s">
        <v>1611</v>
      </c>
      <c r="R132" s="1299"/>
      <c r="S132" s="1299"/>
      <c r="T132" s="1006"/>
      <c r="U132" s="1006"/>
      <c r="V132" s="1006"/>
      <c r="W132" s="1006"/>
      <c r="X132" s="1006"/>
      <c r="Y132" s="1006"/>
      <c r="Z132" s="1006"/>
      <c r="AA132" s="1006"/>
      <c r="AB132" s="1006"/>
      <c r="AC132" s="1006"/>
      <c r="AD132" s="1007"/>
      <c r="AE132" s="1006"/>
      <c r="AF132" s="1006"/>
    </row>
    <row r="133" spans="1:32" s="1010" customFormat="1" ht="27.75" customHeight="1">
      <c r="A133" s="2641"/>
      <c r="B133" s="2558"/>
      <c r="C133" s="2558"/>
      <c r="D133" s="446" t="s">
        <v>1612</v>
      </c>
      <c r="E133" s="2654"/>
      <c r="F133" s="1298" t="s">
        <v>1613</v>
      </c>
      <c r="G133" s="584"/>
      <c r="H133" s="2643"/>
      <c r="I133" s="1130"/>
      <c r="J133" s="1046">
        <v>2400000</v>
      </c>
      <c r="K133" s="1256"/>
      <c r="L133" s="2558"/>
      <c r="M133" s="446"/>
      <c r="N133" s="2558"/>
      <c r="O133" s="2568"/>
      <c r="P133" s="2583"/>
      <c r="Q133" s="2645"/>
      <c r="R133" s="1006"/>
      <c r="S133" s="624"/>
      <c r="T133" s="1006"/>
      <c r="U133" s="1006"/>
      <c r="V133" s="1006"/>
      <c r="W133" s="1006"/>
      <c r="X133" s="1006"/>
      <c r="Y133" s="1006"/>
      <c r="Z133" s="1006"/>
      <c r="AA133" s="1006"/>
      <c r="AB133" s="1006"/>
      <c r="AC133" s="1006"/>
      <c r="AD133" s="1007"/>
      <c r="AE133" s="1006"/>
      <c r="AF133" s="1006"/>
    </row>
    <row r="134" spans="1:32" s="1010" customFormat="1" ht="40.5" customHeight="1">
      <c r="A134" s="2641"/>
      <c r="B134" s="2558"/>
      <c r="C134" s="2558"/>
      <c r="D134" s="1033" t="s">
        <v>1614</v>
      </c>
      <c r="E134" s="2654"/>
      <c r="F134" s="1298" t="s">
        <v>1615</v>
      </c>
      <c r="G134" s="584"/>
      <c r="H134" s="2643"/>
      <c r="I134" s="1130"/>
      <c r="J134" s="1300">
        <v>750000</v>
      </c>
      <c r="K134" s="1256"/>
      <c r="L134" s="2558"/>
      <c r="M134" s="1301" t="s">
        <v>1616</v>
      </c>
      <c r="N134" s="2558"/>
      <c r="O134" s="2568"/>
      <c r="P134" s="2583"/>
      <c r="Q134" s="2645"/>
      <c r="R134" s="1051">
        <f>1180000+1170000+5205000+500000</f>
        <v>8055000</v>
      </c>
      <c r="S134" s="1295" t="s">
        <v>1617</v>
      </c>
      <c r="T134" s="2568"/>
      <c r="U134" s="2568"/>
      <c r="V134" s="2568"/>
      <c r="W134" s="1054"/>
      <c r="X134" s="1054"/>
      <c r="Y134" s="1302" t="s">
        <v>1618</v>
      </c>
      <c r="Z134" s="1006"/>
      <c r="AA134" s="1006"/>
      <c r="AB134" s="1006"/>
      <c r="AC134" s="1006"/>
      <c r="AD134" s="1007"/>
      <c r="AE134" s="1006"/>
      <c r="AF134" s="1006"/>
    </row>
    <row r="135" spans="1:32" s="1010" customFormat="1" ht="51.75" customHeight="1">
      <c r="A135" s="1303"/>
      <c r="B135" s="2586" t="s">
        <v>3670</v>
      </c>
      <c r="C135" s="1304" t="s">
        <v>1619</v>
      </c>
      <c r="D135" s="822" t="s">
        <v>1620</v>
      </c>
      <c r="E135" s="741" t="s">
        <v>1621</v>
      </c>
      <c r="F135" s="1305">
        <v>18900000</v>
      </c>
      <c r="G135" s="1109" t="s">
        <v>1622</v>
      </c>
      <c r="H135" s="2646">
        <v>20496200</v>
      </c>
      <c r="I135" s="1167"/>
      <c r="J135" s="1046">
        <f>250000+510000+100000+6180000+11585000+1650000+275000</f>
        <v>20550000</v>
      </c>
      <c r="K135" s="2647"/>
      <c r="L135" s="1306"/>
      <c r="M135" s="594" t="s">
        <v>1623</v>
      </c>
      <c r="N135" s="594" t="s">
        <v>3671</v>
      </c>
      <c r="O135" s="1006" t="s">
        <v>1624</v>
      </c>
      <c r="P135" s="1006" t="s">
        <v>1625</v>
      </c>
      <c r="Q135" s="1006" t="s">
        <v>1626</v>
      </c>
      <c r="R135" s="1006"/>
      <c r="S135" s="1006"/>
      <c r="T135" s="1006"/>
      <c r="U135" s="1006"/>
      <c r="V135" s="1006"/>
      <c r="W135" s="1006"/>
      <c r="X135" s="1006"/>
      <c r="Y135" s="1006"/>
      <c r="Z135" s="1006"/>
      <c r="AA135" s="1006"/>
      <c r="AB135" s="1006"/>
      <c r="AC135" s="1006"/>
      <c r="AD135" s="1007"/>
      <c r="AE135" s="1006"/>
      <c r="AF135" s="1006"/>
    </row>
    <row r="136" spans="1:32" s="1010" customFormat="1" ht="50.25" customHeight="1">
      <c r="A136" s="1303"/>
      <c r="B136" s="2586"/>
      <c r="C136" s="991" t="s">
        <v>1627</v>
      </c>
      <c r="D136" s="446" t="s">
        <v>1628</v>
      </c>
      <c r="E136" s="741" t="s">
        <v>1629</v>
      </c>
      <c r="F136" s="1305">
        <v>253000</v>
      </c>
      <c r="G136" s="584"/>
      <c r="H136" s="2646"/>
      <c r="I136" s="584" t="s">
        <v>1630</v>
      </c>
      <c r="J136" s="1305">
        <v>253000</v>
      </c>
      <c r="K136" s="2647"/>
      <c r="L136" s="1050" t="s">
        <v>401</v>
      </c>
      <c r="M136" s="594" t="s">
        <v>1631</v>
      </c>
      <c r="N136" s="1107" t="s">
        <v>1632</v>
      </c>
      <c r="O136" s="1294" t="s">
        <v>1633</v>
      </c>
      <c r="P136" s="1051" t="s">
        <v>1634</v>
      </c>
      <c r="Q136" s="1006"/>
      <c r="R136" s="1294" t="s">
        <v>1635</v>
      </c>
      <c r="S136" s="1307" t="s">
        <v>3672</v>
      </c>
      <c r="T136" s="1308" t="s">
        <v>1636</v>
      </c>
      <c r="U136" s="1308"/>
      <c r="V136" s="1309">
        <v>4750000</v>
      </c>
      <c r="W136" s="624"/>
      <c r="X136" s="1310">
        <v>3500000</v>
      </c>
      <c r="Y136" s="1054"/>
      <c r="Z136" s="1006"/>
      <c r="AA136" s="1006"/>
      <c r="AB136" s="1006"/>
      <c r="AC136" s="1006"/>
      <c r="AD136" s="1007"/>
      <c r="AE136" s="1006"/>
      <c r="AF136" s="1006"/>
    </row>
    <row r="137" spans="1:32" s="1010" customFormat="1" ht="57" customHeight="1">
      <c r="A137" s="1303">
        <v>6</v>
      </c>
      <c r="B137" s="2586"/>
      <c r="C137" s="991" t="s">
        <v>1637</v>
      </c>
      <c r="D137" s="606" t="s">
        <v>1638</v>
      </c>
      <c r="E137" s="741" t="s">
        <v>1639</v>
      </c>
      <c r="F137" s="1305">
        <v>1650000</v>
      </c>
      <c r="G137" s="584">
        <v>1155000</v>
      </c>
      <c r="H137" s="2646"/>
      <c r="I137" s="584" t="s">
        <v>1640</v>
      </c>
      <c r="J137" s="1002"/>
      <c r="K137" s="2647"/>
      <c r="L137" s="1064"/>
      <c r="M137" s="594" t="s">
        <v>1641</v>
      </c>
      <c r="N137" s="594" t="s">
        <v>1642</v>
      </c>
      <c r="O137" s="446">
        <v>1340000</v>
      </c>
      <c r="P137" s="446">
        <v>1340000</v>
      </c>
      <c r="Q137" s="1054"/>
      <c r="R137" s="1171" t="s">
        <v>3673</v>
      </c>
      <c r="S137" s="1299" t="s">
        <v>1643</v>
      </c>
      <c r="T137" s="1006"/>
      <c r="U137" s="1006"/>
      <c r="V137" s="1006"/>
      <c r="W137" s="1006"/>
      <c r="X137" s="972"/>
      <c r="Y137" s="1006">
        <v>354000</v>
      </c>
      <c r="Z137" s="1006">
        <v>450000</v>
      </c>
      <c r="AA137" s="1006">
        <v>354000</v>
      </c>
      <c r="AB137" s="1311">
        <v>182000</v>
      </c>
      <c r="AC137" s="624"/>
      <c r="AD137" s="1007"/>
      <c r="AE137" s="1006"/>
      <c r="AF137" s="1006"/>
    </row>
    <row r="138" spans="1:32" s="1010" customFormat="1" ht="60.75" customHeight="1">
      <c r="A138" s="1303"/>
      <c r="B138" s="2586"/>
      <c r="C138" s="991" t="s">
        <v>1644</v>
      </c>
      <c r="D138" s="606" t="s">
        <v>1645</v>
      </c>
      <c r="E138" s="741" t="s">
        <v>1639</v>
      </c>
      <c r="F138" s="1305">
        <v>120000</v>
      </c>
      <c r="G138" s="584">
        <v>120000</v>
      </c>
      <c r="H138" s="2646"/>
      <c r="I138" s="584" t="s">
        <v>1646</v>
      </c>
      <c r="J138" s="1002">
        <v>120000</v>
      </c>
      <c r="K138" s="2647"/>
      <c r="L138" s="1064"/>
      <c r="M138" s="594" t="s">
        <v>1647</v>
      </c>
      <c r="N138" s="594" t="s">
        <v>1648</v>
      </c>
      <c r="O138" s="446">
        <v>112572.39</v>
      </c>
      <c r="P138" s="1006">
        <v>56286.19</v>
      </c>
      <c r="Q138" s="1054"/>
      <c r="R138" s="624"/>
      <c r="S138" s="1299">
        <v>41274</v>
      </c>
      <c r="T138" s="1006"/>
      <c r="U138" s="1006"/>
      <c r="V138" s="1006"/>
      <c r="W138" s="1006"/>
      <c r="X138" s="1006"/>
      <c r="Y138" s="1006"/>
      <c r="Z138" s="1006"/>
      <c r="AA138" s="1006"/>
      <c r="AB138" s="1006"/>
      <c r="AC138" s="1006"/>
      <c r="AD138" s="1007"/>
      <c r="AE138" s="1006"/>
      <c r="AF138" s="1006"/>
    </row>
    <row r="139" spans="1:32" s="1010" customFormat="1" ht="24" customHeight="1">
      <c r="A139" s="2641">
        <v>7</v>
      </c>
      <c r="B139" s="2558" t="s">
        <v>3674</v>
      </c>
      <c r="C139" s="2558" t="s">
        <v>1649</v>
      </c>
      <c r="D139" s="446" t="s">
        <v>1650</v>
      </c>
      <c r="E139" s="741"/>
      <c r="F139" s="741"/>
      <c r="G139" s="584"/>
      <c r="H139" s="2643" t="s">
        <v>3675</v>
      </c>
      <c r="I139" s="2648" t="s">
        <v>1651</v>
      </c>
      <c r="J139" s="2615">
        <f>149000+190000+2291000</f>
        <v>2630000</v>
      </c>
      <c r="K139" s="1168"/>
      <c r="L139" s="2558" t="s">
        <v>401</v>
      </c>
      <c r="M139" s="2649" t="s">
        <v>1652</v>
      </c>
      <c r="N139" s="2650" t="s">
        <v>3676</v>
      </c>
      <c r="O139" s="1294">
        <v>2200000</v>
      </c>
      <c r="P139" s="2568" t="s">
        <v>1653</v>
      </c>
      <c r="Q139" s="2568" t="s">
        <v>1654</v>
      </c>
      <c r="R139" s="2651" t="s">
        <v>1655</v>
      </c>
      <c r="S139" s="1006"/>
      <c r="T139" s="1006"/>
      <c r="U139" s="1006"/>
      <c r="V139" s="1006"/>
      <c r="W139" s="1006"/>
      <c r="X139" s="1006"/>
      <c r="Y139" s="1006"/>
      <c r="Z139" s="1006"/>
      <c r="AA139" s="1006"/>
      <c r="AB139" s="1006"/>
      <c r="AC139" s="1006"/>
      <c r="AD139" s="1007"/>
      <c r="AE139" s="1006"/>
      <c r="AF139" s="1006"/>
    </row>
    <row r="140" spans="1:32" s="1010" customFormat="1" ht="51.75" customHeight="1">
      <c r="A140" s="2641"/>
      <c r="B140" s="2558"/>
      <c r="C140" s="2558"/>
      <c r="D140" s="446" t="s">
        <v>1656</v>
      </c>
      <c r="E140" s="1218" t="s">
        <v>1657</v>
      </c>
      <c r="F140" s="1312">
        <f>2440000+190000</f>
        <v>2630000</v>
      </c>
      <c r="G140" s="584">
        <v>119200</v>
      </c>
      <c r="H140" s="2643"/>
      <c r="I140" s="2643"/>
      <c r="J140" s="2615"/>
      <c r="K140" s="1256"/>
      <c r="L140" s="2558"/>
      <c r="M140" s="2649"/>
      <c r="N140" s="2650"/>
      <c r="O140" s="1313">
        <v>110000</v>
      </c>
      <c r="P140" s="2568"/>
      <c r="Q140" s="2568"/>
      <c r="R140" s="2651"/>
      <c r="S140" s="1314" t="s">
        <v>3677</v>
      </c>
      <c r="T140" s="1315"/>
      <c r="U140" s="1315"/>
      <c r="V140" s="1059"/>
      <c r="W140" s="624"/>
      <c r="X140" s="1310">
        <v>1000000</v>
      </c>
      <c r="Y140" s="1054"/>
      <c r="Z140" s="1006"/>
      <c r="AA140" s="1006"/>
      <c r="AB140" s="1006"/>
      <c r="AC140" s="1006"/>
      <c r="AD140" s="1007"/>
      <c r="AE140" s="1006"/>
      <c r="AF140" s="1006"/>
    </row>
    <row r="141" spans="1:32" ht="53.25" customHeight="1">
      <c r="A141" s="2641">
        <v>8</v>
      </c>
      <c r="B141" s="2351" t="s">
        <v>3678</v>
      </c>
      <c r="C141" s="2351" t="s">
        <v>1658</v>
      </c>
      <c r="D141" s="2558" t="s">
        <v>1659</v>
      </c>
      <c r="E141" s="2542" t="s">
        <v>1660</v>
      </c>
      <c r="F141" s="2595">
        <v>3977000</v>
      </c>
      <c r="G141" s="2542" t="s">
        <v>1661</v>
      </c>
      <c r="H141" s="2642">
        <f>1142321.01+1021478.7+700000+200000</f>
        <v>3063799.71</v>
      </c>
      <c r="I141" s="2642" t="s">
        <v>1662</v>
      </c>
      <c r="J141" s="2643" t="s">
        <v>3679</v>
      </c>
      <c r="K141" s="2644">
        <v>399000</v>
      </c>
      <c r="L141" s="599" t="s">
        <v>401</v>
      </c>
      <c r="M141" s="1107" t="s">
        <v>1663</v>
      </c>
      <c r="N141" s="1127" t="s">
        <v>3680</v>
      </c>
      <c r="O141" s="1294">
        <v>550000</v>
      </c>
      <c r="P141" s="599">
        <v>550000</v>
      </c>
      <c r="Q141" s="599"/>
      <c r="R141" s="1294">
        <v>550000</v>
      </c>
      <c r="S141" s="1307">
        <v>40978</v>
      </c>
      <c r="T141" s="2635">
        <v>550000</v>
      </c>
      <c r="U141" s="2635"/>
      <c r="V141" s="2635"/>
      <c r="W141" s="890"/>
      <c r="X141" s="890"/>
      <c r="Y141" s="599"/>
      <c r="Z141" s="599"/>
      <c r="AA141" s="599"/>
      <c r="AB141" s="599"/>
      <c r="AC141" s="599"/>
      <c r="AD141" s="984"/>
      <c r="AE141" s="599"/>
      <c r="AF141" s="599"/>
    </row>
    <row r="142" spans="1:32" ht="39" customHeight="1">
      <c r="A142" s="2641"/>
      <c r="B142" s="2351"/>
      <c r="C142" s="2351"/>
      <c r="D142" s="2558"/>
      <c r="E142" s="2542"/>
      <c r="F142" s="2595"/>
      <c r="G142" s="2542"/>
      <c r="H142" s="2642"/>
      <c r="I142" s="2642"/>
      <c r="J142" s="2643"/>
      <c r="K142" s="2644"/>
      <c r="L142" s="890"/>
      <c r="M142" s="1017" t="s">
        <v>1664</v>
      </c>
      <c r="N142" s="594" t="s">
        <v>3681</v>
      </c>
      <c r="O142" s="599">
        <v>1806232</v>
      </c>
      <c r="P142" s="599" t="s">
        <v>1665</v>
      </c>
      <c r="Q142" s="1006" t="s">
        <v>1666</v>
      </c>
      <c r="R142" s="1006"/>
      <c r="S142" s="1307"/>
      <c r="T142" s="1006"/>
      <c r="U142" s="1006"/>
      <c r="V142" s="1006"/>
      <c r="W142" s="599"/>
      <c r="X142" s="599"/>
      <c r="Y142" s="599"/>
      <c r="Z142" s="599"/>
      <c r="AA142" s="599"/>
      <c r="AB142" s="599"/>
      <c r="AC142" s="599"/>
      <c r="AD142" s="984"/>
      <c r="AE142" s="599"/>
      <c r="AF142" s="599"/>
    </row>
    <row r="143" spans="1:32" ht="48.75" customHeight="1">
      <c r="A143" s="311">
        <v>9</v>
      </c>
      <c r="B143" s="446" t="s">
        <v>3682</v>
      </c>
      <c r="C143" s="446" t="s">
        <v>1667</v>
      </c>
      <c r="D143" s="446" t="s">
        <v>1668</v>
      </c>
      <c r="E143" s="599" t="s">
        <v>1669</v>
      </c>
      <c r="F143" s="1316" t="s">
        <v>3683</v>
      </c>
      <c r="G143" s="599">
        <v>750000</v>
      </c>
      <c r="H143" s="599">
        <v>150000</v>
      </c>
      <c r="I143" s="599"/>
      <c r="J143" s="995">
        <v>150000</v>
      </c>
      <c r="K143" s="1317"/>
      <c r="L143" s="1317" t="s">
        <v>567</v>
      </c>
      <c r="M143" s="599"/>
      <c r="N143" s="599"/>
      <c r="O143" s="599"/>
      <c r="P143" s="599"/>
      <c r="Q143" s="599"/>
      <c r="R143" s="599"/>
      <c r="S143" s="599"/>
      <c r="T143" s="599"/>
      <c r="U143" s="599"/>
      <c r="V143" s="599"/>
      <c r="W143" s="599"/>
      <c r="X143" s="599"/>
      <c r="Y143" s="599"/>
      <c r="Z143" s="599"/>
      <c r="AA143" s="599"/>
      <c r="AB143" s="599"/>
      <c r="AC143" s="599"/>
      <c r="AD143" s="984"/>
      <c r="AE143" s="599"/>
      <c r="AF143" s="599"/>
    </row>
    <row r="144" spans="1:32" s="1325" customFormat="1" ht="39" customHeight="1">
      <c r="A144" s="1318"/>
      <c r="B144" s="1319" t="s">
        <v>1670</v>
      </c>
      <c r="C144" s="1320"/>
      <c r="D144" s="1107"/>
      <c r="E144" s="1321"/>
      <c r="F144" s="1321">
        <f>(F141+F140+F134+F133+F132+F130+F129+F128+F127+F120+F119)/8</f>
        <v>2679137.5</v>
      </c>
      <c r="G144" s="1321"/>
      <c r="H144" s="1321"/>
      <c r="I144" s="1321"/>
      <c r="J144" s="1321"/>
      <c r="K144" s="1322"/>
      <c r="L144" s="1321"/>
      <c r="M144" s="1323"/>
      <c r="N144" s="1294"/>
      <c r="O144" s="1294"/>
      <c r="P144" s="1294"/>
      <c r="Q144" s="1324"/>
      <c r="R144" s="1324"/>
      <c r="S144" s="1324"/>
      <c r="T144" s="1324"/>
      <c r="U144" s="1324"/>
      <c r="V144" s="1294"/>
      <c r="W144" s="1294"/>
      <c r="X144" s="1294"/>
      <c r="Y144" s="1294"/>
      <c r="Z144" s="1294"/>
      <c r="AA144" s="1294"/>
      <c r="AB144" s="1294"/>
      <c r="AC144" s="1294"/>
      <c r="AD144" s="1324"/>
      <c r="AE144" s="1294"/>
      <c r="AF144" s="1294"/>
    </row>
    <row r="145" spans="1:32" s="1180" customFormat="1" ht="30.75" customHeight="1">
      <c r="A145" s="1170"/>
      <c r="B145" s="1172"/>
      <c r="C145" s="1172" t="s">
        <v>1671</v>
      </c>
      <c r="D145" s="1171"/>
      <c r="E145" s="1173"/>
      <c r="F145" s="1174"/>
      <c r="G145" s="1175"/>
      <c r="H145" s="1174"/>
      <c r="I145" s="1174"/>
      <c r="J145" s="1175"/>
      <c r="K145" s="1176"/>
      <c r="L145" s="1177"/>
      <c r="M145" s="1178"/>
      <c r="N145" s="1128"/>
      <c r="O145" s="1128"/>
      <c r="P145" s="1128"/>
      <c r="Q145" s="1144"/>
      <c r="R145" s="1144"/>
      <c r="S145" s="1144"/>
      <c r="T145" s="1144"/>
      <c r="U145" s="1144"/>
      <c r="V145" s="1128"/>
      <c r="W145" s="1128"/>
      <c r="X145" s="1128"/>
      <c r="Y145" s="1128"/>
      <c r="Z145" s="1128"/>
      <c r="AA145" s="1128"/>
      <c r="AB145" s="1128"/>
      <c r="AC145" s="1128"/>
      <c r="AD145" s="1144"/>
      <c r="AE145" s="1128"/>
      <c r="AF145" s="1128"/>
    </row>
    <row r="146" spans="1:32" s="1010" customFormat="1" ht="40.5" customHeight="1">
      <c r="A146" s="1133"/>
      <c r="B146" s="478" t="s">
        <v>1672</v>
      </c>
      <c r="C146" s="965" t="s">
        <v>1673</v>
      </c>
      <c r="D146" s="446" t="s">
        <v>1674</v>
      </c>
      <c r="E146" s="741" t="s">
        <v>1675</v>
      </c>
      <c r="F146" s="1305">
        <v>74751.759999999995</v>
      </c>
      <c r="G146" s="584"/>
      <c r="H146" s="1086">
        <v>74751.759999999995</v>
      </c>
      <c r="I146" s="584" t="s">
        <v>1676</v>
      </c>
      <c r="J146" s="1326">
        <v>74751.759999999995</v>
      </c>
      <c r="K146" s="1256"/>
      <c r="L146" s="594" t="s">
        <v>401</v>
      </c>
      <c r="M146" s="1006"/>
      <c r="N146" s="594"/>
      <c r="O146" s="580"/>
      <c r="P146" s="1054"/>
      <c r="Q146" s="1054"/>
      <c r="R146" s="1006"/>
      <c r="S146" s="1006"/>
      <c r="T146" s="1006"/>
      <c r="U146" s="1006"/>
      <c r="V146" s="1006"/>
      <c r="W146" s="1006"/>
      <c r="X146" s="1006"/>
      <c r="Y146" s="1006"/>
      <c r="Z146" s="1006"/>
      <c r="AA146" s="1006"/>
      <c r="AB146" s="1006"/>
      <c r="AC146" s="1006"/>
      <c r="AD146" s="1007"/>
      <c r="AE146" s="1006"/>
      <c r="AF146" s="1006"/>
    </row>
    <row r="147" spans="1:32" ht="131.25" customHeight="1">
      <c r="A147" s="311"/>
      <c r="B147" s="446" t="s">
        <v>3684</v>
      </c>
      <c r="C147" s="599" t="s">
        <v>1677</v>
      </c>
      <c r="D147" s="446" t="s">
        <v>1678</v>
      </c>
      <c r="E147" s="599" t="s">
        <v>1679</v>
      </c>
      <c r="F147" s="599">
        <v>1726000</v>
      </c>
      <c r="G147" s="599">
        <v>870000</v>
      </c>
      <c r="H147" s="891">
        <f>870000+64000+527250+143005</f>
        <v>1604255</v>
      </c>
      <c r="I147" s="599" t="s">
        <v>1680</v>
      </c>
      <c r="J147" s="1006">
        <f>162000+64000+1500000</f>
        <v>1726000</v>
      </c>
      <c r="K147" s="922" t="s">
        <v>1681</v>
      </c>
      <c r="L147" s="594" t="s">
        <v>401</v>
      </c>
      <c r="M147" s="446" t="s">
        <v>1682</v>
      </c>
      <c r="N147" s="1127" t="s">
        <v>3685</v>
      </c>
      <c r="O147" s="1294">
        <v>1400000</v>
      </c>
      <c r="P147" s="1016" t="s">
        <v>3686</v>
      </c>
      <c r="Q147" s="1094" t="s">
        <v>1683</v>
      </c>
      <c r="R147" s="1294">
        <v>1400000</v>
      </c>
      <c r="S147" s="1295">
        <v>41088</v>
      </c>
      <c r="T147" s="1140"/>
      <c r="U147" s="1140"/>
      <c r="V147" s="599"/>
      <c r="W147" s="1302" t="s">
        <v>1585</v>
      </c>
      <c r="X147" s="1006"/>
      <c r="Y147" s="599"/>
      <c r="Z147" s="599"/>
      <c r="AA147" s="599"/>
      <c r="AB147" s="599"/>
      <c r="AC147" s="599"/>
      <c r="AD147" s="984"/>
      <c r="AE147" s="599"/>
      <c r="AF147" s="599"/>
    </row>
    <row r="148" spans="1:32" ht="48.75" customHeight="1">
      <c r="A148" s="599"/>
      <c r="B148" s="446" t="s">
        <v>3687</v>
      </c>
      <c r="C148" s="599" t="s">
        <v>1684</v>
      </c>
      <c r="D148" s="446" t="s">
        <v>1685</v>
      </c>
      <c r="E148" s="599" t="s">
        <v>1686</v>
      </c>
      <c r="F148" s="601">
        <v>2390434.89</v>
      </c>
      <c r="G148" s="601">
        <v>1587395.58</v>
      </c>
      <c r="H148" s="599">
        <v>1587395.58</v>
      </c>
      <c r="I148" s="599"/>
      <c r="J148" s="1006">
        <f>200434.89+2190000</f>
        <v>2390434.89</v>
      </c>
      <c r="K148" s="1113">
        <f>F148-H148</f>
        <v>803039.31</v>
      </c>
      <c r="L148" s="594" t="s">
        <v>401</v>
      </c>
      <c r="M148" s="446" t="s">
        <v>1687</v>
      </c>
      <c r="N148" s="1127" t="s">
        <v>3688</v>
      </c>
      <c r="O148" s="1294">
        <v>2100000</v>
      </c>
      <c r="P148" s="599" t="s">
        <v>3689</v>
      </c>
      <c r="Q148" s="599" t="s">
        <v>3690</v>
      </c>
      <c r="R148" s="1327" t="s">
        <v>1688</v>
      </c>
      <c r="S148" s="1328" t="s">
        <v>3691</v>
      </c>
      <c r="T148" s="1006"/>
      <c r="U148" s="1006"/>
      <c r="V148" s="1309">
        <v>1500000</v>
      </c>
      <c r="W148" s="1302">
        <v>600000</v>
      </c>
      <c r="X148" s="1006"/>
      <c r="Y148" s="599"/>
      <c r="Z148" s="599"/>
      <c r="AA148" s="599"/>
      <c r="AB148" s="599"/>
      <c r="AC148" s="599"/>
      <c r="AD148" s="984"/>
      <c r="AE148" s="599"/>
      <c r="AF148" s="599"/>
    </row>
    <row r="149" spans="1:32" ht="51.75" customHeight="1">
      <c r="A149" s="599"/>
      <c r="B149" s="465" t="s">
        <v>3692</v>
      </c>
      <c r="C149" s="964" t="s">
        <v>1689</v>
      </c>
      <c r="D149" s="465" t="s">
        <v>1690</v>
      </c>
      <c r="E149" s="1222" t="s">
        <v>1691</v>
      </c>
      <c r="F149" s="1329" t="s">
        <v>1692</v>
      </c>
      <c r="G149" s="1329">
        <v>1517626</v>
      </c>
      <c r="H149" s="1142">
        <v>2232501.2400000002</v>
      </c>
      <c r="I149" s="1329" t="s">
        <v>1693</v>
      </c>
      <c r="J149" s="1081">
        <v>2232501.2400000002</v>
      </c>
      <c r="K149" s="964" t="s">
        <v>1694</v>
      </c>
      <c r="L149" s="594" t="s">
        <v>401</v>
      </c>
      <c r="M149" s="446" t="s">
        <v>1695</v>
      </c>
      <c r="N149" s="446" t="s">
        <v>1696</v>
      </c>
      <c r="O149" s="599" t="s">
        <v>1697</v>
      </c>
      <c r="P149" s="1330" t="s">
        <v>1698</v>
      </c>
      <c r="Q149" s="1330" t="s">
        <v>1699</v>
      </c>
      <c r="R149" s="599"/>
      <c r="S149" s="599"/>
      <c r="T149" s="599"/>
      <c r="U149" s="599"/>
      <c r="V149" s="599"/>
      <c r="W149" s="599"/>
      <c r="X149" s="599"/>
      <c r="Y149" s="1054"/>
      <c r="Z149" s="599"/>
      <c r="AA149" s="599"/>
      <c r="AB149" s="599"/>
      <c r="AC149" s="599"/>
      <c r="AD149" s="984"/>
      <c r="AE149" s="599"/>
      <c r="AF149" s="599"/>
    </row>
    <row r="150" spans="1:32" ht="69.75" customHeight="1">
      <c r="A150" s="599"/>
      <c r="B150" s="446" t="s">
        <v>3693</v>
      </c>
      <c r="C150" s="1006" t="s">
        <v>1700</v>
      </c>
      <c r="D150" s="446" t="s">
        <v>1701</v>
      </c>
      <c r="E150" s="599" t="s">
        <v>1702</v>
      </c>
      <c r="F150" s="1141">
        <v>3923000</v>
      </c>
      <c r="G150" s="1141">
        <v>3600000</v>
      </c>
      <c r="H150" s="599" t="s">
        <v>1703</v>
      </c>
      <c r="I150" s="599" t="s">
        <v>1704</v>
      </c>
      <c r="J150" s="1006">
        <v>3923000</v>
      </c>
      <c r="K150" s="1080"/>
      <c r="L150" s="594" t="s">
        <v>401</v>
      </c>
      <c r="M150" s="599"/>
      <c r="N150" s="599"/>
      <c r="O150" s="599"/>
      <c r="P150" s="599"/>
      <c r="Q150" s="599"/>
      <c r="R150" s="599"/>
      <c r="S150" s="1006"/>
      <c r="T150" s="599"/>
      <c r="U150" s="599"/>
      <c r="V150" s="599"/>
      <c r="W150" s="599"/>
      <c r="X150" s="599"/>
      <c r="Y150" s="599"/>
      <c r="Z150" s="599"/>
      <c r="AA150" s="599"/>
      <c r="AB150" s="599"/>
      <c r="AC150" s="599"/>
      <c r="AD150" s="984"/>
      <c r="AE150" s="599"/>
      <c r="AF150" s="599"/>
    </row>
    <row r="151" spans="1:32" s="1010" customFormat="1" ht="51" customHeight="1">
      <c r="A151" s="1006"/>
      <c r="B151" s="2558" t="s">
        <v>3694</v>
      </c>
      <c r="C151" s="2568" t="s">
        <v>1705</v>
      </c>
      <c r="D151" s="594" t="s">
        <v>1706</v>
      </c>
      <c r="E151" s="1006" t="s">
        <v>1572</v>
      </c>
      <c r="F151" s="1140">
        <v>1978000</v>
      </c>
      <c r="G151" s="1140">
        <v>124000</v>
      </c>
      <c r="H151" s="2636">
        <f>124000+1142000+356000+316000</f>
        <v>1938000</v>
      </c>
      <c r="I151" s="2568" t="s">
        <v>1707</v>
      </c>
      <c r="J151" s="2568">
        <f>155000+43000+1068000+320000+1012000</f>
        <v>2598000</v>
      </c>
      <c r="K151" s="2637"/>
      <c r="L151" s="2638" t="s">
        <v>401</v>
      </c>
      <c r="M151" s="1107" t="s">
        <v>1708</v>
      </c>
      <c r="N151" s="1127" t="s">
        <v>3695</v>
      </c>
      <c r="O151" s="1294">
        <v>1700000</v>
      </c>
      <c r="P151" s="582" t="s">
        <v>1709</v>
      </c>
      <c r="Q151" s="1059" t="s">
        <v>1710</v>
      </c>
      <c r="R151" s="1294">
        <v>1700000</v>
      </c>
      <c r="S151" s="1094">
        <v>41271</v>
      </c>
      <c r="T151" s="1331" t="s">
        <v>1144</v>
      </c>
      <c r="U151" s="1331"/>
      <c r="V151" s="1006"/>
      <c r="W151" s="1006"/>
      <c r="X151" s="1006"/>
      <c r="Y151" s="1332">
        <v>1700000</v>
      </c>
      <c r="Z151" s="1006"/>
      <c r="AA151" s="1006"/>
      <c r="AB151" s="1006"/>
      <c r="AC151" s="1006"/>
      <c r="AD151" s="1007"/>
      <c r="AE151" s="1006"/>
      <c r="AF151" s="1006"/>
    </row>
    <row r="152" spans="1:32" s="1010" customFormat="1" ht="25.5" customHeight="1">
      <c r="A152" s="1064"/>
      <c r="B152" s="2558"/>
      <c r="C152" s="2568"/>
      <c r="D152" s="1070" t="s">
        <v>1711</v>
      </c>
      <c r="E152" s="1006"/>
      <c r="F152" s="1140">
        <v>300000</v>
      </c>
      <c r="G152" s="1140"/>
      <c r="H152" s="2636"/>
      <c r="I152" s="2568"/>
      <c r="J152" s="2568"/>
      <c r="K152" s="2637"/>
      <c r="L152" s="2638"/>
      <c r="M152" s="594"/>
      <c r="N152" s="1031"/>
      <c r="O152" s="1006"/>
      <c r="P152" s="582"/>
      <c r="Q152" s="1059"/>
      <c r="R152" s="1006"/>
      <c r="S152" s="1094"/>
      <c r="T152" s="1331"/>
      <c r="U152" s="1331"/>
      <c r="V152" s="1006"/>
      <c r="W152" s="1006"/>
      <c r="X152" s="1006"/>
      <c r="Y152" s="1006"/>
      <c r="Z152" s="1006"/>
      <c r="AA152" s="1006"/>
      <c r="AB152" s="1006"/>
      <c r="AC152" s="1006"/>
      <c r="AD152" s="1007"/>
      <c r="AE152" s="1006"/>
      <c r="AF152" s="1006"/>
    </row>
    <row r="153" spans="1:32" s="1010" customFormat="1" ht="26.25" customHeight="1">
      <c r="A153" s="1064"/>
      <c r="B153" s="2558"/>
      <c r="C153" s="2568"/>
      <c r="D153" s="1070" t="s">
        <v>1712</v>
      </c>
      <c r="E153" s="1006"/>
      <c r="F153" s="1140">
        <v>320000</v>
      </c>
      <c r="G153" s="1140"/>
      <c r="H153" s="2636"/>
      <c r="I153" s="2568"/>
      <c r="J153" s="2568"/>
      <c r="K153" s="2637"/>
      <c r="L153" s="2638"/>
      <c r="M153" s="594"/>
      <c r="N153" s="1031"/>
      <c r="O153" s="1006"/>
      <c r="P153" s="1006"/>
      <c r="Q153" s="1059"/>
      <c r="R153" s="1006"/>
      <c r="S153" s="1094"/>
      <c r="T153" s="1331"/>
      <c r="U153" s="1331"/>
      <c r="V153" s="1006"/>
      <c r="W153" s="1006"/>
      <c r="X153" s="1006"/>
      <c r="Y153" s="1006"/>
      <c r="Z153" s="1006"/>
      <c r="AA153" s="1006"/>
      <c r="AB153" s="1006"/>
      <c r="AC153" s="1006"/>
      <c r="AD153" s="1007"/>
      <c r="AE153" s="1006"/>
      <c r="AF153" s="1006"/>
    </row>
    <row r="154" spans="1:32" s="1010" customFormat="1" ht="63" customHeight="1">
      <c r="A154" s="1064"/>
      <c r="B154" s="2624" t="s">
        <v>3696</v>
      </c>
      <c r="C154" s="2625" t="s">
        <v>1713</v>
      </c>
      <c r="D154" s="2604" t="s">
        <v>1714</v>
      </c>
      <c r="E154" s="2588" t="s">
        <v>1715</v>
      </c>
      <c r="F154" s="2639">
        <f>F151+F152+F153</f>
        <v>2598000</v>
      </c>
      <c r="G154" s="2640"/>
      <c r="H154" s="2588">
        <f>3300000+3000000+1400000+700000+300000+400000+2500000+300000+1600000+500000+300000+250000+96800+400000+1200000+422750+1070008.4+1038488.65+643898.93</f>
        <v>19421945.979999997</v>
      </c>
      <c r="I154" s="2588" t="s">
        <v>1716</v>
      </c>
      <c r="J154" s="2607" t="s">
        <v>1717</v>
      </c>
      <c r="K154" s="1183"/>
      <c r="L154" s="1006"/>
      <c r="M154" s="594" t="s">
        <v>1718</v>
      </c>
      <c r="N154" s="1127" t="s">
        <v>3697</v>
      </c>
      <c r="O154" s="1294">
        <v>1350000</v>
      </c>
      <c r="P154" s="2558"/>
      <c r="Q154" s="1006">
        <v>1350000</v>
      </c>
      <c r="R154" s="1294">
        <v>1350000</v>
      </c>
      <c r="S154" s="1094">
        <v>41271</v>
      </c>
      <c r="T154" s="1094"/>
      <c r="U154" s="1094"/>
      <c r="V154" s="1006"/>
      <c r="W154" s="1006"/>
      <c r="X154" s="1006"/>
      <c r="Y154" s="1332">
        <v>1350000</v>
      </c>
      <c r="Z154" s="1006"/>
      <c r="AA154" s="1006"/>
      <c r="AB154" s="1006"/>
      <c r="AC154" s="1006"/>
      <c r="AD154" s="1007"/>
      <c r="AE154" s="1006"/>
      <c r="AF154" s="1006"/>
    </row>
    <row r="155" spans="1:32" s="1010" customFormat="1" ht="54" customHeight="1">
      <c r="A155" s="1067"/>
      <c r="B155" s="2624"/>
      <c r="C155" s="2625"/>
      <c r="D155" s="2604"/>
      <c r="E155" s="2588"/>
      <c r="F155" s="2639"/>
      <c r="G155" s="2640"/>
      <c r="H155" s="2588"/>
      <c r="I155" s="2588"/>
      <c r="J155" s="2607"/>
      <c r="K155" s="1203"/>
      <c r="L155" s="1006"/>
      <c r="M155" s="594" t="s">
        <v>1719</v>
      </c>
      <c r="N155" s="1127" t="s">
        <v>3698</v>
      </c>
      <c r="O155" s="1107">
        <v>1051714</v>
      </c>
      <c r="P155" s="2558"/>
      <c r="Q155" s="594">
        <v>1051714</v>
      </c>
      <c r="R155" s="1171">
        <v>1051714</v>
      </c>
      <c r="S155" s="1333" t="s">
        <v>1720</v>
      </c>
      <c r="T155" s="1094"/>
      <c r="U155" s="1094"/>
      <c r="V155" s="1006"/>
      <c r="W155" s="1006"/>
      <c r="X155" s="1006"/>
      <c r="Y155" s="1054"/>
      <c r="Z155" s="624">
        <v>1051714</v>
      </c>
      <c r="AA155" s="1006"/>
      <c r="AB155" s="1006"/>
      <c r="AC155" s="1006"/>
      <c r="AD155" s="1007"/>
      <c r="AE155" s="1006"/>
      <c r="AF155" s="1006"/>
    </row>
    <row r="156" spans="1:32" s="1010" customFormat="1" ht="62.25" customHeight="1">
      <c r="A156" s="1067"/>
      <c r="B156" s="2624"/>
      <c r="C156" s="2625"/>
      <c r="D156" s="2604"/>
      <c r="E156" s="2588"/>
      <c r="F156" s="2639"/>
      <c r="G156" s="2640"/>
      <c r="H156" s="2588"/>
      <c r="I156" s="2588"/>
      <c r="J156" s="2607"/>
      <c r="K156" s="1203"/>
      <c r="L156" s="1006"/>
      <c r="M156" s="594" t="s">
        <v>3699</v>
      </c>
      <c r="N156" s="1334" t="s">
        <v>1721</v>
      </c>
      <c r="O156" s="594">
        <v>1300000</v>
      </c>
      <c r="P156" s="2558"/>
      <c r="Q156" s="1006">
        <v>1300000</v>
      </c>
      <c r="R156" s="594">
        <v>1300000</v>
      </c>
      <c r="S156" s="1333">
        <v>41547</v>
      </c>
      <c r="T156" s="1094"/>
      <c r="U156" s="1094"/>
      <c r="V156" s="1006"/>
      <c r="W156" s="1006"/>
      <c r="X156" s="1311"/>
      <c r="Y156" s="1054"/>
      <c r="Z156" s="624"/>
      <c r="AA156" s="1006"/>
      <c r="AB156" s="1335">
        <v>1300000</v>
      </c>
      <c r="AC156" s="1006"/>
      <c r="AD156" s="1007"/>
      <c r="AE156" s="1006"/>
      <c r="AF156" s="1006"/>
    </row>
    <row r="157" spans="1:32" s="1010" customFormat="1" ht="51.75" customHeight="1">
      <c r="A157" s="1067"/>
      <c r="B157" s="2624"/>
      <c r="C157" s="2625"/>
      <c r="D157" s="2604"/>
      <c r="E157" s="2588"/>
      <c r="F157" s="2639"/>
      <c r="G157" s="2640"/>
      <c r="H157" s="2588"/>
      <c r="I157" s="2588"/>
      <c r="J157" s="2607"/>
      <c r="K157" s="1203"/>
      <c r="L157" s="2638" t="s">
        <v>401</v>
      </c>
      <c r="M157" s="594" t="s">
        <v>3700</v>
      </c>
      <c r="N157" s="1334" t="s">
        <v>1722</v>
      </c>
      <c r="O157" s="1006">
        <v>326000</v>
      </c>
      <c r="P157" s="2558"/>
      <c r="Q157" s="1006"/>
      <c r="R157" s="594">
        <v>326000</v>
      </c>
      <c r="S157" s="1333">
        <v>41622</v>
      </c>
      <c r="T157" s="1094"/>
      <c r="U157" s="1094"/>
      <c r="V157" s="1006"/>
      <c r="W157" s="1006"/>
      <c r="X157" s="1311"/>
      <c r="Y157" s="1054"/>
      <c r="Z157" s="624"/>
      <c r="AA157" s="1006"/>
      <c r="AB157" s="1311"/>
      <c r="AC157" s="1335">
        <v>326000</v>
      </c>
      <c r="AD157" s="1007"/>
      <c r="AE157" s="1006"/>
      <c r="AF157" s="1006"/>
    </row>
    <row r="158" spans="1:32" s="1010" customFormat="1" ht="93" customHeight="1">
      <c r="A158" s="1067"/>
      <c r="B158" s="2624"/>
      <c r="C158" s="2625"/>
      <c r="D158" s="2604"/>
      <c r="E158" s="2588"/>
      <c r="F158" s="2639"/>
      <c r="G158" s="2640"/>
      <c r="H158" s="2588"/>
      <c r="I158" s="2588"/>
      <c r="J158" s="2607"/>
      <c r="K158" s="1203"/>
      <c r="L158" s="2638"/>
      <c r="M158" s="594" t="s">
        <v>3701</v>
      </c>
      <c r="N158" s="1336" t="s">
        <v>3702</v>
      </c>
      <c r="O158" s="624">
        <v>1300000</v>
      </c>
      <c r="P158" s="2558"/>
      <c r="Q158" s="1006" t="s">
        <v>1723</v>
      </c>
      <c r="R158" s="594">
        <v>1300000</v>
      </c>
      <c r="S158" s="1333">
        <v>41547</v>
      </c>
      <c r="T158" s="1094"/>
      <c r="U158" s="1337" t="s">
        <v>1724</v>
      </c>
      <c r="V158" s="1006"/>
      <c r="W158" s="1006"/>
      <c r="X158" s="1311"/>
      <c r="Y158" s="1054" t="s">
        <v>65</v>
      </c>
      <c r="Z158" s="624"/>
      <c r="AA158" s="1006"/>
      <c r="AB158" s="624">
        <f>700000+600000</f>
        <v>1300000</v>
      </c>
      <c r="AC158" s="1006"/>
      <c r="AD158" s="1007"/>
      <c r="AE158" s="1006"/>
      <c r="AF158" s="1006"/>
    </row>
    <row r="159" spans="1:32" s="1010" customFormat="1" ht="63.75" customHeight="1">
      <c r="A159" s="1067"/>
      <c r="B159" s="2624"/>
      <c r="C159" s="2625"/>
      <c r="D159" s="2604"/>
      <c r="E159" s="2588"/>
      <c r="F159" s="2639"/>
      <c r="G159" s="2640"/>
      <c r="H159" s="2588"/>
      <c r="I159" s="2588"/>
      <c r="J159" s="2607"/>
      <c r="K159" s="1203"/>
      <c r="L159" s="2638"/>
      <c r="M159" s="594" t="s">
        <v>3703</v>
      </c>
      <c r="N159" s="1334" t="s">
        <v>1725</v>
      </c>
      <c r="O159" s="594">
        <v>850000</v>
      </c>
      <c r="P159" s="968"/>
      <c r="Q159" s="594">
        <v>850000</v>
      </c>
      <c r="R159" s="594">
        <v>850000</v>
      </c>
      <c r="S159" s="1338">
        <v>41547</v>
      </c>
      <c r="T159" s="1059"/>
      <c r="U159" s="1059"/>
      <c r="V159" s="1006"/>
      <c r="W159" s="1006"/>
      <c r="X159" s="1311"/>
      <c r="Y159" s="1054"/>
      <c r="Z159" s="624"/>
      <c r="AA159" s="1006"/>
      <c r="AB159" s="1335">
        <v>850000</v>
      </c>
      <c r="AC159" s="1006"/>
      <c r="AD159" s="1007"/>
      <c r="AE159" s="1006"/>
      <c r="AF159" s="1006"/>
    </row>
    <row r="160" spans="1:32" ht="57" customHeight="1">
      <c r="A160" s="588"/>
      <c r="B160" s="2624"/>
      <c r="C160" s="2625"/>
      <c r="D160" s="2604"/>
      <c r="E160" s="2588"/>
      <c r="F160" s="2639"/>
      <c r="G160" s="2640"/>
      <c r="H160" s="2588"/>
      <c r="I160" s="2588"/>
      <c r="J160" s="2607"/>
      <c r="K160" s="1203"/>
      <c r="L160" s="2638"/>
      <c r="M160" s="446" t="s">
        <v>1726</v>
      </c>
      <c r="N160" s="446" t="s">
        <v>3704</v>
      </c>
      <c r="O160" s="599"/>
      <c r="P160" s="891"/>
      <c r="Q160" s="599"/>
      <c r="R160" s="599"/>
      <c r="S160" s="599"/>
      <c r="T160" s="599"/>
      <c r="U160" s="599"/>
      <c r="V160" s="599"/>
      <c r="W160" s="599"/>
      <c r="X160" s="599"/>
      <c r="Y160" s="1054"/>
      <c r="Z160" s="599"/>
      <c r="AA160" s="599"/>
      <c r="AB160" s="599"/>
      <c r="AC160" s="599"/>
      <c r="AD160" s="984"/>
      <c r="AE160" s="599"/>
      <c r="AF160" s="599"/>
    </row>
    <row r="161" spans="1:32" ht="49.5" customHeight="1">
      <c r="A161" s="588"/>
      <c r="B161" s="1339" t="s">
        <v>3705</v>
      </c>
      <c r="C161" s="1340" t="s">
        <v>1727</v>
      </c>
      <c r="D161" s="478" t="s">
        <v>1728</v>
      </c>
      <c r="E161" s="602" t="s">
        <v>1729</v>
      </c>
      <c r="F161" s="1341">
        <v>198000</v>
      </c>
      <c r="G161" s="1342"/>
      <c r="H161" s="602"/>
      <c r="I161" s="602"/>
      <c r="J161" s="1343" t="s">
        <v>1730</v>
      </c>
      <c r="K161" s="1344"/>
      <c r="L161" s="1345"/>
      <c r="M161" s="446"/>
      <c r="N161" s="446"/>
      <c r="O161" s="599"/>
      <c r="P161" s="891"/>
      <c r="Q161" s="599"/>
      <c r="R161" s="599"/>
      <c r="S161" s="599"/>
      <c r="T161" s="599"/>
      <c r="U161" s="599"/>
      <c r="V161" s="599"/>
      <c r="W161" s="599"/>
      <c r="X161" s="599"/>
      <c r="Y161" s="1054"/>
      <c r="Z161" s="599"/>
      <c r="AA161" s="599"/>
      <c r="AB161" s="599"/>
      <c r="AC161" s="599"/>
      <c r="AD161" s="984"/>
      <c r="AE161" s="599"/>
      <c r="AF161" s="599"/>
    </row>
    <row r="162" spans="1:32" ht="48.75" customHeight="1">
      <c r="A162" s="2568"/>
      <c r="B162" s="2351" t="s">
        <v>3706</v>
      </c>
      <c r="C162" s="2649" t="s">
        <v>1731</v>
      </c>
      <c r="D162" s="2351" t="s">
        <v>1732</v>
      </c>
      <c r="E162" s="2542" t="s">
        <v>1733</v>
      </c>
      <c r="F162" s="2595" t="s">
        <v>1734</v>
      </c>
      <c r="G162" s="1342"/>
      <c r="H162" s="1346"/>
      <c r="I162" s="602"/>
      <c r="J162" s="1343"/>
      <c r="K162" s="989"/>
      <c r="L162" s="1345"/>
      <c r="M162" s="822" t="s">
        <v>3707</v>
      </c>
      <c r="N162" s="1171" t="s">
        <v>1735</v>
      </c>
      <c r="O162" s="446">
        <v>450000</v>
      </c>
      <c r="P162" s="1057"/>
      <c r="Q162" s="446">
        <v>450000</v>
      </c>
      <c r="R162" s="446">
        <v>450000</v>
      </c>
      <c r="S162" s="1094">
        <v>41544</v>
      </c>
      <c r="T162" s="599"/>
      <c r="U162" s="599"/>
      <c r="V162" s="599"/>
      <c r="W162" s="599"/>
      <c r="X162" s="599"/>
      <c r="Y162" s="1054"/>
      <c r="Z162" s="599"/>
      <c r="AA162" s="599"/>
      <c r="AB162" s="1335">
        <v>450000</v>
      </c>
      <c r="AC162" s="599"/>
      <c r="AD162" s="984"/>
      <c r="AE162" s="599"/>
      <c r="AF162" s="599"/>
    </row>
    <row r="163" spans="1:32" ht="61.35" customHeight="1">
      <c r="A163" s="2568"/>
      <c r="B163" s="2351"/>
      <c r="C163" s="2649"/>
      <c r="D163" s="2351"/>
      <c r="E163" s="2542"/>
      <c r="F163" s="2595"/>
      <c r="G163" s="1141" t="s">
        <v>1736</v>
      </c>
      <c r="H163" s="973">
        <f>658800+163200</f>
        <v>822000</v>
      </c>
      <c r="I163" s="599" t="s">
        <v>1737</v>
      </c>
      <c r="J163" s="1084">
        <f>408000+420000+270000</f>
        <v>1098000</v>
      </c>
      <c r="K163" s="1080"/>
      <c r="L163" s="594" t="s">
        <v>401</v>
      </c>
      <c r="M163" s="822" t="s">
        <v>1738</v>
      </c>
      <c r="N163" s="1127" t="s">
        <v>3708</v>
      </c>
      <c r="O163" s="1294">
        <v>354000</v>
      </c>
      <c r="P163" s="1006">
        <v>354000</v>
      </c>
      <c r="Q163" s="1059" t="s">
        <v>1739</v>
      </c>
      <c r="R163" s="1294">
        <v>354000</v>
      </c>
      <c r="S163" s="1059">
        <v>41253</v>
      </c>
      <c r="T163" s="1059" t="s">
        <v>1144</v>
      </c>
      <c r="U163" s="1059"/>
      <c r="V163" s="1006"/>
      <c r="W163" s="1006"/>
      <c r="X163" s="1006"/>
      <c r="Y163" s="1332">
        <v>354000</v>
      </c>
      <c r="Z163" s="580"/>
      <c r="AA163" s="599"/>
      <c r="AB163" s="599"/>
      <c r="AC163" s="599"/>
      <c r="AD163" s="984"/>
      <c r="AE163" s="599"/>
      <c r="AF163" s="599"/>
    </row>
    <row r="164" spans="1:32" ht="65.25" customHeight="1">
      <c r="A164" s="599"/>
      <c r="B164" s="446" t="s">
        <v>3709</v>
      </c>
      <c r="C164" s="599" t="s">
        <v>1740</v>
      </c>
      <c r="D164" s="446" t="s">
        <v>1741</v>
      </c>
      <c r="E164" s="599" t="s">
        <v>1742</v>
      </c>
      <c r="F164" s="1141">
        <v>3120000</v>
      </c>
      <c r="G164" s="1141">
        <v>1652000</v>
      </c>
      <c r="H164" s="1141">
        <f>1652000+708000+260000+340000</f>
        <v>2960000</v>
      </c>
      <c r="I164" s="599" t="s">
        <v>1743</v>
      </c>
      <c r="J164" s="1002">
        <f>2880000+240000</f>
        <v>3120000</v>
      </c>
      <c r="K164" s="1347"/>
      <c r="L164" s="594" t="s">
        <v>401</v>
      </c>
      <c r="M164" s="446" t="s">
        <v>1744</v>
      </c>
      <c r="N164" s="446" t="s">
        <v>3710</v>
      </c>
      <c r="O164" s="599">
        <v>2052545</v>
      </c>
      <c r="P164" s="599"/>
      <c r="Q164" s="599"/>
      <c r="R164" s="599"/>
      <c r="S164" s="1054"/>
      <c r="T164" s="599"/>
      <c r="U164" s="599"/>
      <c r="V164" s="1348"/>
      <c r="W164" s="599"/>
      <c r="X164" s="599"/>
      <c r="Y164" s="1054"/>
      <c r="Z164" s="599"/>
      <c r="AA164" s="599"/>
      <c r="AB164" s="599"/>
      <c r="AC164" s="599"/>
      <c r="AD164" s="984"/>
      <c r="AE164" s="599"/>
      <c r="AF164" s="599"/>
    </row>
    <row r="165" spans="1:32" ht="48.75" customHeight="1">
      <c r="A165" s="2542"/>
      <c r="B165" s="2351" t="s">
        <v>3711</v>
      </c>
      <c r="C165" s="2542" t="s">
        <v>1745</v>
      </c>
      <c r="D165" s="2351" t="s">
        <v>1746</v>
      </c>
      <c r="E165" s="2542" t="s">
        <v>1747</v>
      </c>
      <c r="F165" s="2595">
        <v>3378000</v>
      </c>
      <c r="G165" s="2542">
        <v>1593600</v>
      </c>
      <c r="H165" s="2542">
        <f>1593600+370000+74400+78000+508000+574000+135000</f>
        <v>3333000</v>
      </c>
      <c r="I165" s="2542" t="s">
        <v>1748</v>
      </c>
      <c r="J165" s="2631" t="s">
        <v>1749</v>
      </c>
      <c r="K165" s="2574"/>
      <c r="L165" s="2351" t="s">
        <v>401</v>
      </c>
      <c r="M165" s="1076" t="s">
        <v>1750</v>
      </c>
      <c r="N165" s="1127" t="s">
        <v>3712</v>
      </c>
      <c r="O165" s="1294">
        <v>846000</v>
      </c>
      <c r="P165" s="972" t="s">
        <v>1751</v>
      </c>
      <c r="Q165" s="972" t="s">
        <v>1752</v>
      </c>
      <c r="R165" s="582" t="s">
        <v>1753</v>
      </c>
      <c r="S165" s="1094" t="s">
        <v>1754</v>
      </c>
      <c r="T165" s="1349"/>
      <c r="U165" s="1349"/>
      <c r="V165" s="1348" t="s">
        <v>1755</v>
      </c>
      <c r="W165" s="599"/>
      <c r="X165" s="1309">
        <v>700000</v>
      </c>
      <c r="Y165" s="1332">
        <v>146000</v>
      </c>
      <c r="Z165" s="599"/>
      <c r="AA165" s="599"/>
      <c r="AB165" s="599"/>
      <c r="AC165" s="599"/>
      <c r="AD165" s="984"/>
      <c r="AE165" s="599"/>
      <c r="AF165" s="599"/>
    </row>
    <row r="166" spans="1:32" ht="54.75" customHeight="1">
      <c r="A166" s="2542"/>
      <c r="B166" s="2351"/>
      <c r="C166" s="2542"/>
      <c r="D166" s="2351"/>
      <c r="E166" s="2542"/>
      <c r="F166" s="2595"/>
      <c r="G166" s="2542"/>
      <c r="H166" s="2542"/>
      <c r="I166" s="2542"/>
      <c r="J166" s="2631"/>
      <c r="K166" s="2574"/>
      <c r="L166" s="2351"/>
      <c r="M166" s="446" t="s">
        <v>1756</v>
      </c>
      <c r="N166" s="1127" t="s">
        <v>3713</v>
      </c>
      <c r="O166" s="1294">
        <v>200000</v>
      </c>
      <c r="P166" s="599"/>
      <c r="Q166" s="599"/>
      <c r="R166" s="1128">
        <v>200000</v>
      </c>
      <c r="S166" s="1059">
        <v>41318</v>
      </c>
      <c r="T166" s="1349"/>
      <c r="U166" s="1349"/>
      <c r="V166" s="1348"/>
      <c r="W166" s="599"/>
      <c r="X166" s="599"/>
      <c r="Y166" s="1054"/>
      <c r="Z166" s="580">
        <v>200000</v>
      </c>
      <c r="AA166" s="599"/>
      <c r="AB166" s="599"/>
      <c r="AC166" s="599"/>
      <c r="AD166" s="984"/>
      <c r="AE166" s="599"/>
      <c r="AF166" s="599"/>
    </row>
    <row r="167" spans="1:32" ht="48" customHeight="1">
      <c r="A167" s="2542"/>
      <c r="B167" s="2351"/>
      <c r="C167" s="2542"/>
      <c r="D167" s="2351"/>
      <c r="E167" s="2542"/>
      <c r="F167" s="2595"/>
      <c r="G167" s="2542"/>
      <c r="H167" s="2542"/>
      <c r="I167" s="2542"/>
      <c r="J167" s="2631"/>
      <c r="K167" s="2574"/>
      <c r="L167" s="2351"/>
      <c r="M167" s="446" t="s">
        <v>1757</v>
      </c>
      <c r="N167" s="594" t="s">
        <v>3714</v>
      </c>
      <c r="O167" s="599" t="s">
        <v>1758</v>
      </c>
      <c r="P167" s="599"/>
      <c r="Q167" s="599"/>
      <c r="R167" s="599"/>
      <c r="S167" s="599"/>
      <c r="T167" s="599"/>
      <c r="U167" s="599"/>
      <c r="V167" s="599"/>
      <c r="W167" s="599"/>
      <c r="X167" s="599"/>
      <c r="Y167" s="599"/>
      <c r="Z167" s="599"/>
      <c r="AA167" s="599"/>
      <c r="AB167" s="599"/>
      <c r="AC167" s="599"/>
      <c r="AD167" s="984"/>
      <c r="AE167" s="599"/>
      <c r="AF167" s="599"/>
    </row>
    <row r="168" spans="1:32" ht="74.25" customHeight="1">
      <c r="A168" s="599"/>
      <c r="B168" s="446" t="s">
        <v>1759</v>
      </c>
      <c r="C168" s="599" t="s">
        <v>1760</v>
      </c>
      <c r="D168" s="446" t="s">
        <v>1761</v>
      </c>
      <c r="E168" s="599" t="s">
        <v>1762</v>
      </c>
      <c r="F168" s="1350" t="s">
        <v>1763</v>
      </c>
      <c r="G168" s="601">
        <v>47000</v>
      </c>
      <c r="H168" s="601" t="s">
        <v>1764</v>
      </c>
      <c r="I168" s="601" t="s">
        <v>1765</v>
      </c>
      <c r="J168" s="1002" t="s">
        <v>1763</v>
      </c>
      <c r="K168" s="1080"/>
      <c r="L168" s="594" t="s">
        <v>401</v>
      </c>
      <c r="M168" s="446" t="s">
        <v>1766</v>
      </c>
      <c r="N168" s="1351" t="s">
        <v>3715</v>
      </c>
      <c r="O168" s="1294">
        <v>200000</v>
      </c>
      <c r="P168" s="599"/>
      <c r="Q168" s="599"/>
      <c r="R168" s="1128">
        <v>200000</v>
      </c>
      <c r="S168" s="1295">
        <v>41284</v>
      </c>
      <c r="T168" s="1352"/>
      <c r="U168" s="1352"/>
      <c r="V168" s="1353"/>
      <c r="W168" s="599"/>
      <c r="X168" s="599"/>
      <c r="Y168" s="1006"/>
      <c r="Z168" s="580">
        <v>200000</v>
      </c>
      <c r="AA168" s="599"/>
      <c r="AB168" s="599"/>
      <c r="AC168" s="599"/>
      <c r="AD168" s="984"/>
      <c r="AE168" s="599"/>
      <c r="AF168" s="599"/>
    </row>
    <row r="169" spans="1:32" ht="56.25" customHeight="1">
      <c r="A169" s="741"/>
      <c r="B169" s="2586" t="s">
        <v>3716</v>
      </c>
      <c r="C169" s="2542" t="s">
        <v>1767</v>
      </c>
      <c r="D169" s="446" t="s">
        <v>1768</v>
      </c>
      <c r="E169" s="599" t="s">
        <v>1762</v>
      </c>
      <c r="F169" s="1354" t="s">
        <v>1769</v>
      </c>
      <c r="G169" s="741"/>
      <c r="H169" s="2542">
        <f>124000+600000</f>
        <v>724000</v>
      </c>
      <c r="I169" s="741" t="s">
        <v>1770</v>
      </c>
      <c r="J169" s="741"/>
      <c r="K169" s="1163"/>
      <c r="L169" s="594" t="s">
        <v>401</v>
      </c>
      <c r="M169" s="446" t="s">
        <v>1771</v>
      </c>
      <c r="N169" s="1127" t="s">
        <v>3712</v>
      </c>
      <c r="O169" s="1294">
        <v>665000</v>
      </c>
      <c r="P169" s="599">
        <v>265000</v>
      </c>
      <c r="Q169" s="984" t="s">
        <v>1772</v>
      </c>
      <c r="R169" s="1128">
        <v>665000</v>
      </c>
      <c r="S169" s="1007" t="s">
        <v>1773</v>
      </c>
      <c r="T169" s="1355"/>
      <c r="U169" s="1355"/>
      <c r="V169" s="1353"/>
      <c r="W169" s="599"/>
      <c r="X169" s="599"/>
      <c r="Y169" s="1006"/>
      <c r="Z169" s="580">
        <v>665000</v>
      </c>
      <c r="AA169" s="599"/>
      <c r="AB169" s="599"/>
      <c r="AC169" s="599"/>
      <c r="AD169" s="984"/>
      <c r="AE169" s="599"/>
      <c r="AF169" s="599"/>
    </row>
    <row r="170" spans="1:32" ht="30">
      <c r="A170" s="741"/>
      <c r="B170" s="2586"/>
      <c r="C170" s="2542"/>
      <c r="D170" s="446" t="s">
        <v>3717</v>
      </c>
      <c r="E170" s="599"/>
      <c r="F170" s="1356">
        <v>724000</v>
      </c>
      <c r="G170" s="1305"/>
      <c r="H170" s="2542"/>
      <c r="I170" s="741" t="s">
        <v>1774</v>
      </c>
      <c r="J170" s="1046">
        <v>724000</v>
      </c>
      <c r="K170" s="1163"/>
      <c r="L170" s="741"/>
      <c r="M170" s="891"/>
      <c r="N170" s="599"/>
      <c r="O170" s="599"/>
      <c r="P170" s="599"/>
      <c r="Q170" s="984"/>
      <c r="R170" s="1252"/>
      <c r="S170" s="1053"/>
      <c r="T170" s="1357"/>
      <c r="U170" s="1357"/>
      <c r="V170" s="599"/>
      <c r="W170" s="599"/>
      <c r="X170" s="599"/>
      <c r="Y170" s="599"/>
      <c r="Z170" s="580"/>
      <c r="AA170" s="599"/>
      <c r="AB170" s="599"/>
      <c r="AC170" s="599"/>
      <c r="AD170" s="984"/>
      <c r="AE170" s="599"/>
      <c r="AF170" s="599"/>
    </row>
    <row r="171" spans="1:32" s="1180" customFormat="1" ht="30.75" customHeight="1">
      <c r="A171" s="1170"/>
      <c r="B171" s="1172"/>
      <c r="C171" s="1172" t="s">
        <v>1775</v>
      </c>
      <c r="D171" s="1171"/>
      <c r="E171" s="1173"/>
      <c r="F171" s="1174"/>
      <c r="G171" s="1175"/>
      <c r="H171" s="1174"/>
      <c r="I171" s="1174"/>
      <c r="J171" s="1175"/>
      <c r="K171" s="1176"/>
      <c r="L171" s="1177"/>
      <c r="M171" s="1178"/>
      <c r="N171" s="1128"/>
      <c r="O171" s="1128"/>
      <c r="P171" s="1128"/>
      <c r="Q171" s="1144"/>
      <c r="R171" s="1144"/>
      <c r="S171" s="1144"/>
      <c r="T171" s="1144"/>
      <c r="U171" s="1144"/>
      <c r="V171" s="1128"/>
      <c r="W171" s="1128"/>
      <c r="X171" s="1128"/>
      <c r="Y171" s="1128"/>
      <c r="Z171" s="1128"/>
      <c r="AA171" s="1128"/>
      <c r="AB171" s="1128"/>
      <c r="AC171" s="1128"/>
      <c r="AD171" s="1144"/>
      <c r="AE171" s="1128"/>
      <c r="AF171" s="1128"/>
    </row>
    <row r="172" spans="1:32" ht="51" customHeight="1">
      <c r="A172" s="997"/>
      <c r="B172" s="1015" t="s">
        <v>3718</v>
      </c>
      <c r="C172" s="599" t="s">
        <v>3719</v>
      </c>
      <c r="D172" s="991" t="s">
        <v>1776</v>
      </c>
      <c r="E172" s="741" t="s">
        <v>1777</v>
      </c>
      <c r="F172" s="1305">
        <v>139000</v>
      </c>
      <c r="G172" s="1305">
        <v>98000</v>
      </c>
      <c r="H172" s="741">
        <v>139000</v>
      </c>
      <c r="I172" s="741" t="s">
        <v>1778</v>
      </c>
      <c r="J172" s="1358"/>
      <c r="K172" s="1053" t="s">
        <v>1779</v>
      </c>
      <c r="L172" s="741"/>
      <c r="M172" s="446"/>
      <c r="N172" s="599"/>
      <c r="O172" s="599"/>
      <c r="P172" s="599"/>
      <c r="Q172" s="984"/>
      <c r="R172" s="1358"/>
      <c r="S172" s="1053"/>
      <c r="T172" s="1359"/>
      <c r="U172" s="1359"/>
      <c r="V172" s="599"/>
      <c r="W172" s="599"/>
      <c r="X172" s="599"/>
      <c r="Y172" s="599"/>
      <c r="Z172" s="599"/>
      <c r="AA172" s="599"/>
      <c r="AB172" s="599"/>
      <c r="AC172" s="599"/>
      <c r="AD172" s="984"/>
      <c r="AE172" s="599"/>
      <c r="AF172" s="599"/>
    </row>
    <row r="173" spans="1:32" ht="67.5" customHeight="1">
      <c r="B173" s="2604" t="s">
        <v>3720</v>
      </c>
      <c r="C173" s="1360"/>
      <c r="D173" s="446" t="s">
        <v>1780</v>
      </c>
      <c r="E173" s="741"/>
      <c r="F173" s="1305">
        <v>1600000</v>
      </c>
      <c r="G173" s="1305"/>
      <c r="H173" s="741"/>
      <c r="I173" s="741"/>
      <c r="J173" s="1361" t="s">
        <v>1781</v>
      </c>
      <c r="K173" s="1362"/>
      <c r="L173" s="741"/>
      <c r="M173" s="594" t="s">
        <v>3721</v>
      </c>
      <c r="N173" s="1171" t="s">
        <v>1782</v>
      </c>
      <c r="O173" s="1006"/>
      <c r="P173" s="1007"/>
      <c r="Q173" s="1053">
        <v>1500000</v>
      </c>
      <c r="R173" s="1007">
        <v>1500000</v>
      </c>
      <c r="S173" s="1254">
        <v>41547</v>
      </c>
      <c r="T173" s="1359"/>
      <c r="U173" s="1359"/>
      <c r="V173" s="599"/>
      <c r="W173" s="984"/>
      <c r="X173" s="984"/>
      <c r="Y173" s="984"/>
      <c r="Z173" s="984"/>
      <c r="AA173" s="599"/>
      <c r="AB173" s="1252">
        <v>1500000</v>
      </c>
      <c r="AC173" s="1363"/>
      <c r="AD173" s="984"/>
      <c r="AE173" s="599"/>
      <c r="AF173" s="599"/>
    </row>
    <row r="174" spans="1:32" ht="59.25" customHeight="1">
      <c r="B174" s="2604"/>
      <c r="C174" s="1364" t="s">
        <v>1783</v>
      </c>
      <c r="D174" s="2586" t="s">
        <v>1784</v>
      </c>
      <c r="E174" s="2588" t="s">
        <v>1785</v>
      </c>
      <c r="F174" s="2588" t="s">
        <v>1786</v>
      </c>
      <c r="G174" s="2639"/>
      <c r="H174" s="2600">
        <f>1701226.8+435099.6+162277.5</f>
        <v>2298603.9</v>
      </c>
      <c r="I174" s="2632" t="s">
        <v>1787</v>
      </c>
      <c r="J174" s="2633">
        <v>2605667.89</v>
      </c>
      <c r="K174" s="2634"/>
      <c r="L174" s="2586" t="s">
        <v>401</v>
      </c>
      <c r="M174" s="446" t="s">
        <v>1788</v>
      </c>
      <c r="N174" s="1031" t="s">
        <v>1789</v>
      </c>
      <c r="O174" s="599">
        <v>260000</v>
      </c>
      <c r="P174" s="599"/>
      <c r="Q174" s="599">
        <v>260000</v>
      </c>
      <c r="R174" s="1363">
        <v>260000</v>
      </c>
      <c r="S174" s="1254">
        <v>41579</v>
      </c>
      <c r="T174" s="1359"/>
      <c r="U174" s="1359"/>
      <c r="V174" s="599"/>
      <c r="W174" s="984"/>
      <c r="X174" s="984"/>
      <c r="Y174" s="984"/>
      <c r="Z174" s="984"/>
      <c r="AA174" s="599"/>
      <c r="AB174" s="599"/>
      <c r="AC174" s="1365">
        <v>260000</v>
      </c>
      <c r="AD174" s="984"/>
      <c r="AE174" s="599"/>
      <c r="AF174" s="599"/>
    </row>
    <row r="175" spans="1:32" ht="75" customHeight="1">
      <c r="A175" s="973" t="s">
        <v>1790</v>
      </c>
      <c r="B175" s="2604"/>
      <c r="C175" s="1366"/>
      <c r="D175" s="2586"/>
      <c r="E175" s="2588"/>
      <c r="F175" s="2588"/>
      <c r="G175" s="2639"/>
      <c r="H175" s="2600"/>
      <c r="I175" s="2632"/>
      <c r="J175" s="2633"/>
      <c r="K175" s="2634"/>
      <c r="L175" s="2586"/>
      <c r="M175" s="594" t="s">
        <v>1791</v>
      </c>
      <c r="N175" s="1127" t="s">
        <v>3713</v>
      </c>
      <c r="O175" s="1294">
        <v>200000</v>
      </c>
      <c r="P175" s="984">
        <v>200000</v>
      </c>
      <c r="Q175" s="984" t="s">
        <v>1792</v>
      </c>
      <c r="R175" s="1367">
        <v>200000</v>
      </c>
      <c r="S175" s="1025">
        <v>41361</v>
      </c>
      <c r="T175" s="1359"/>
      <c r="U175" s="1359"/>
      <c r="V175" s="599"/>
      <c r="W175" s="1368"/>
      <c r="X175" s="1368"/>
      <c r="Y175" s="1052"/>
      <c r="Z175" s="1357">
        <v>200000</v>
      </c>
      <c r="AA175" s="1353"/>
      <c r="AB175" s="599"/>
      <c r="AC175" s="599"/>
      <c r="AD175" s="984"/>
      <c r="AE175" s="599"/>
      <c r="AF175" s="599"/>
    </row>
    <row r="176" spans="1:32" ht="76.5" customHeight="1">
      <c r="A176" s="2542"/>
      <c r="B176" s="2586" t="s">
        <v>3706</v>
      </c>
      <c r="C176" s="2558" t="s">
        <v>1793</v>
      </c>
      <c r="D176" s="465" t="s">
        <v>1794</v>
      </c>
      <c r="E176" s="741"/>
      <c r="F176" s="1305">
        <v>4791900</v>
      </c>
      <c r="G176" s="1305">
        <v>3059520</v>
      </c>
      <c r="H176" s="1369">
        <f>3059520+622380+180000+454000+96000</f>
        <v>4411900</v>
      </c>
      <c r="I176" s="741" t="s">
        <v>1795</v>
      </c>
      <c r="J176" s="1370" t="s">
        <v>1796</v>
      </c>
      <c r="K176" s="2630" t="s">
        <v>1797</v>
      </c>
      <c r="L176" s="2594" t="s">
        <v>401</v>
      </c>
      <c r="M176" s="446" t="s">
        <v>1798</v>
      </c>
      <c r="N176" s="1107" t="s">
        <v>1799</v>
      </c>
      <c r="O176" s="1294">
        <v>835000</v>
      </c>
      <c r="P176" s="599">
        <v>335000</v>
      </c>
      <c r="Q176" s="984" t="s">
        <v>1772</v>
      </c>
      <c r="R176" s="1371">
        <v>835000</v>
      </c>
      <c r="S176" s="1007" t="s">
        <v>1773</v>
      </c>
      <c r="T176" s="1359"/>
      <c r="U176" s="1359" t="s">
        <v>1800</v>
      </c>
      <c r="V176" s="599"/>
      <c r="W176" s="1372"/>
      <c r="X176" s="1372"/>
      <c r="Y176" s="594"/>
      <c r="Z176" s="578">
        <v>835000</v>
      </c>
      <c r="AA176" s="1353"/>
      <c r="AB176" s="599"/>
      <c r="AC176" s="599"/>
      <c r="AD176" s="984"/>
      <c r="AE176" s="599"/>
      <c r="AF176" s="599"/>
    </row>
    <row r="177" spans="1:32" ht="43.5">
      <c r="A177" s="2542"/>
      <c r="B177" s="2586"/>
      <c r="C177" s="2558"/>
      <c r="D177" s="1373">
        <f>F176+F178+F180+38800</f>
        <v>5584200</v>
      </c>
      <c r="E177" s="741"/>
      <c r="F177" s="1305"/>
      <c r="G177" s="1305"/>
      <c r="H177" s="1370"/>
      <c r="I177" s="741"/>
      <c r="J177" s="1370"/>
      <c r="K177" s="2630"/>
      <c r="L177" s="2594"/>
      <c r="M177" s="594" t="s">
        <v>3722</v>
      </c>
      <c r="N177" s="1171" t="s">
        <v>1801</v>
      </c>
      <c r="O177" s="1359">
        <v>1070000</v>
      </c>
      <c r="P177" s="624"/>
      <c r="Q177" s="1359">
        <v>1070000</v>
      </c>
      <c r="R177" s="1359">
        <v>1070000</v>
      </c>
      <c r="S177" s="1374">
        <v>41635</v>
      </c>
      <c r="T177" s="1359"/>
      <c r="U177" s="1359"/>
      <c r="V177" s="599"/>
      <c r="W177" s="1368"/>
      <c r="X177" s="1368"/>
      <c r="Y177" s="1052"/>
      <c r="Z177" s="1357"/>
      <c r="AA177" s="1353"/>
      <c r="AB177" s="580"/>
      <c r="AC177" s="972">
        <v>1070000</v>
      </c>
      <c r="AD177" s="984"/>
      <c r="AE177" s="599"/>
      <c r="AF177" s="599"/>
    </row>
    <row r="178" spans="1:32" ht="57.75">
      <c r="A178" s="2542"/>
      <c r="B178" s="2586"/>
      <c r="C178" s="2558"/>
      <c r="D178" s="446" t="s">
        <v>1802</v>
      </c>
      <c r="E178" s="741"/>
      <c r="F178" s="1305">
        <v>714700</v>
      </c>
      <c r="G178" s="1305">
        <v>593300</v>
      </c>
      <c r="H178" s="1305">
        <f>G178</f>
        <v>593300</v>
      </c>
      <c r="I178" s="1305"/>
      <c r="J178" s="1305">
        <v>714700</v>
      </c>
      <c r="K178" s="2630"/>
      <c r="L178" s="2594"/>
      <c r="M178" s="446" t="s">
        <v>3723</v>
      </c>
      <c r="N178" s="1171" t="s">
        <v>1803</v>
      </c>
      <c r="O178" s="1012">
        <v>600000</v>
      </c>
      <c r="P178" s="1141"/>
      <c r="Q178" s="984">
        <v>600000</v>
      </c>
      <c r="R178" s="1375">
        <v>600000</v>
      </c>
      <c r="S178" s="1376">
        <v>41635</v>
      </c>
      <c r="T178" s="1359"/>
      <c r="U178" s="1359"/>
      <c r="V178" s="599"/>
      <c r="W178" s="1368"/>
      <c r="X178" s="1368"/>
      <c r="Y178" s="1052"/>
      <c r="Z178" s="1357"/>
      <c r="AA178" s="1353"/>
      <c r="AB178" s="599"/>
      <c r="AC178" s="972">
        <v>600000</v>
      </c>
      <c r="AD178" s="984"/>
      <c r="AE178" s="599"/>
      <c r="AF178" s="599"/>
    </row>
    <row r="179" spans="1:32" ht="36" customHeight="1">
      <c r="A179" s="2542"/>
      <c r="B179" s="2586"/>
      <c r="C179" s="2558"/>
      <c r="D179" s="446" t="s">
        <v>1804</v>
      </c>
      <c r="E179" s="741"/>
      <c r="F179" s="1305">
        <v>180700</v>
      </c>
      <c r="G179" s="1305">
        <v>108420</v>
      </c>
      <c r="H179" s="741">
        <f>108420+72280</f>
        <v>180700</v>
      </c>
      <c r="I179" s="741"/>
      <c r="J179" s="1305">
        <v>180700</v>
      </c>
      <c r="K179" s="2630"/>
      <c r="L179" s="2594"/>
      <c r="M179" s="446" t="s">
        <v>1805</v>
      </c>
      <c r="N179" s="1033" t="s">
        <v>1806</v>
      </c>
      <c r="O179" s="1012">
        <v>97500</v>
      </c>
      <c r="P179" s="599"/>
      <c r="Q179" s="984"/>
      <c r="R179" s="1375">
        <v>97500</v>
      </c>
      <c r="S179" s="1376" t="s">
        <v>1807</v>
      </c>
      <c r="T179" s="1359"/>
      <c r="U179" s="1359"/>
      <c r="V179" s="599"/>
      <c r="W179" s="1368"/>
      <c r="X179" s="1368"/>
      <c r="Y179" s="1052"/>
      <c r="Z179" s="1357"/>
      <c r="AA179" s="1353"/>
      <c r="AB179" s="599"/>
      <c r="AC179" s="1363"/>
      <c r="AD179" s="984"/>
      <c r="AE179" s="599"/>
      <c r="AF179" s="599"/>
    </row>
    <row r="180" spans="1:32" ht="32.25" customHeight="1">
      <c r="A180" s="2542"/>
      <c r="B180" s="2586"/>
      <c r="C180" s="2558"/>
      <c r="D180" s="446" t="s">
        <v>1808</v>
      </c>
      <c r="E180" s="741"/>
      <c r="F180" s="1305">
        <v>38800</v>
      </c>
      <c r="G180" s="1305"/>
      <c r="H180" s="741"/>
      <c r="I180" s="741"/>
      <c r="J180" s="1305">
        <v>38800</v>
      </c>
      <c r="K180" s="2630"/>
      <c r="L180" s="2594"/>
      <c r="M180" s="446" t="s">
        <v>1805</v>
      </c>
      <c r="N180" s="1033" t="s">
        <v>1806</v>
      </c>
      <c r="O180" s="1012">
        <v>97500</v>
      </c>
      <c r="P180" s="599"/>
      <c r="Q180" s="984"/>
      <c r="R180" s="1375">
        <v>97500</v>
      </c>
      <c r="S180" s="1376" t="s">
        <v>1807</v>
      </c>
      <c r="T180" s="1359"/>
      <c r="U180" s="1359"/>
      <c r="V180" s="599"/>
      <c r="W180" s="1368"/>
      <c r="X180" s="1368"/>
      <c r="Y180" s="1052"/>
      <c r="Z180" s="1357"/>
      <c r="AA180" s="1353"/>
      <c r="AB180" s="599"/>
      <c r="AC180" s="1363"/>
      <c r="AD180" s="984"/>
      <c r="AE180" s="599"/>
      <c r="AF180" s="599"/>
    </row>
    <row r="181" spans="1:32" ht="64.349999999999994" customHeight="1">
      <c r="A181" s="741"/>
      <c r="B181" s="465" t="s">
        <v>3724</v>
      </c>
      <c r="C181" s="741" t="s">
        <v>1809</v>
      </c>
      <c r="D181" s="822" t="s">
        <v>1810</v>
      </c>
      <c r="E181" s="741" t="s">
        <v>1381</v>
      </c>
      <c r="F181" s="1124">
        <v>398990.43</v>
      </c>
      <c r="G181" s="741"/>
      <c r="H181" s="741"/>
      <c r="I181" s="1066"/>
      <c r="J181" s="1124">
        <v>398990.43</v>
      </c>
      <c r="K181" s="997"/>
      <c r="L181" s="594" t="s">
        <v>401</v>
      </c>
      <c r="M181" s="1115" t="s">
        <v>1811</v>
      </c>
      <c r="N181" s="1127" t="s">
        <v>3708</v>
      </c>
      <c r="O181" s="1294">
        <v>350000</v>
      </c>
      <c r="P181" s="599"/>
      <c r="Q181" s="984"/>
      <c r="R181" s="1128">
        <v>350000</v>
      </c>
      <c r="S181" s="1377">
        <v>41362</v>
      </c>
      <c r="T181" s="1359"/>
      <c r="U181" s="1359"/>
      <c r="V181" s="599"/>
      <c r="W181" s="599"/>
      <c r="X181" s="599"/>
      <c r="Y181" s="599"/>
      <c r="Z181" s="580">
        <v>350000</v>
      </c>
      <c r="AA181" s="599"/>
      <c r="AB181" s="599"/>
      <c r="AC181" s="599"/>
      <c r="AD181" s="984"/>
      <c r="AE181" s="599"/>
      <c r="AF181" s="599"/>
    </row>
    <row r="182" spans="1:32" ht="51.75" customHeight="1">
      <c r="A182" s="741"/>
      <c r="B182" s="2351" t="s">
        <v>3725</v>
      </c>
      <c r="C182" s="2542" t="s">
        <v>1812</v>
      </c>
      <c r="D182" s="822" t="s">
        <v>1813</v>
      </c>
      <c r="E182" s="741" t="s">
        <v>1657</v>
      </c>
      <c r="F182" s="1305">
        <v>421000</v>
      </c>
      <c r="G182" s="1305">
        <v>236800</v>
      </c>
      <c r="H182" s="1305" t="s">
        <v>1814</v>
      </c>
      <c r="I182" s="741" t="s">
        <v>1815</v>
      </c>
      <c r="J182" s="1064">
        <v>296000</v>
      </c>
      <c r="K182" s="2542"/>
      <c r="L182" s="594" t="s">
        <v>401</v>
      </c>
      <c r="M182" s="446" t="s">
        <v>1816</v>
      </c>
      <c r="N182" s="1378" t="s">
        <v>1817</v>
      </c>
      <c r="O182" s="580"/>
      <c r="P182" s="599"/>
      <c r="Q182" s="984">
        <v>220000</v>
      </c>
      <c r="R182" s="1252" t="s">
        <v>1818</v>
      </c>
      <c r="S182" s="1254">
        <v>41542</v>
      </c>
      <c r="T182" s="1359"/>
      <c r="U182" s="1359"/>
      <c r="V182" s="599"/>
      <c r="W182" s="599"/>
      <c r="X182" s="993"/>
      <c r="Y182" s="599"/>
      <c r="Z182" s="580"/>
      <c r="AA182" s="599"/>
      <c r="AB182" s="1335">
        <v>220000</v>
      </c>
      <c r="AC182" s="599"/>
      <c r="AD182" s="984"/>
      <c r="AE182" s="599"/>
      <c r="AF182" s="599"/>
    </row>
    <row r="183" spans="1:32" ht="40.5" customHeight="1">
      <c r="A183" s="741"/>
      <c r="B183" s="2351"/>
      <c r="C183" s="2542"/>
      <c r="D183" s="822" t="s">
        <v>1819</v>
      </c>
      <c r="E183" s="741" t="s">
        <v>1287</v>
      </c>
      <c r="F183" s="1305">
        <v>186000</v>
      </c>
      <c r="G183" s="1305">
        <v>130200</v>
      </c>
      <c r="H183" s="1305">
        <v>186000</v>
      </c>
      <c r="I183" s="741"/>
      <c r="J183" s="1379">
        <v>186000</v>
      </c>
      <c r="K183" s="2542"/>
      <c r="L183" s="1052" t="s">
        <v>401</v>
      </c>
      <c r="M183" s="983"/>
      <c r="N183" s="599"/>
      <c r="O183" s="599"/>
      <c r="P183" s="599"/>
      <c r="Q183" s="984"/>
      <c r="R183" s="984"/>
      <c r="S183" s="1053"/>
      <c r="T183" s="1359"/>
      <c r="U183" s="1359"/>
      <c r="V183" s="599"/>
      <c r="W183" s="599"/>
      <c r="X183" s="599"/>
      <c r="Y183" s="599"/>
      <c r="Z183" s="599"/>
      <c r="AA183" s="599"/>
      <c r="AB183" s="599"/>
      <c r="AC183" s="599"/>
      <c r="AD183" s="984"/>
      <c r="AE183" s="599"/>
      <c r="AF183" s="599"/>
    </row>
    <row r="184" spans="1:32" ht="40.5" customHeight="1">
      <c r="A184" s="2625"/>
      <c r="B184" s="2624" t="s">
        <v>3726</v>
      </c>
      <c r="C184" s="2625" t="s">
        <v>1820</v>
      </c>
      <c r="D184" s="2624" t="s">
        <v>1821</v>
      </c>
      <c r="E184" s="2625" t="s">
        <v>1449</v>
      </c>
      <c r="F184" s="2626">
        <v>4970000</v>
      </c>
      <c r="G184" s="2625"/>
      <c r="H184" s="2625">
        <f>1961200+1000000+899800+456000</f>
        <v>4317000</v>
      </c>
      <c r="I184" s="2625" t="s">
        <v>1822</v>
      </c>
      <c r="J184" s="2607">
        <f>139000+4831000</f>
        <v>4970000</v>
      </c>
      <c r="K184" s="2626" t="s">
        <v>1823</v>
      </c>
      <c r="L184" s="2624" t="s">
        <v>401</v>
      </c>
      <c r="M184" s="594" t="s">
        <v>1824</v>
      </c>
      <c r="N184" s="594" t="s">
        <v>3727</v>
      </c>
      <c r="O184" s="1006" t="s">
        <v>1825</v>
      </c>
      <c r="P184" s="1006" t="s">
        <v>1826</v>
      </c>
      <c r="Q184" s="984"/>
      <c r="R184" s="984"/>
      <c r="S184" s="1053"/>
      <c r="T184" s="1359"/>
      <c r="U184" s="1359"/>
      <c r="V184" s="599"/>
      <c r="W184" s="599"/>
      <c r="X184" s="1380"/>
      <c r="Y184" s="599"/>
      <c r="Z184" s="599"/>
      <c r="AA184" s="599"/>
      <c r="AB184" s="599"/>
      <c r="AC184" s="599"/>
      <c r="AD184" s="984"/>
      <c r="AE184" s="599"/>
      <c r="AF184" s="599"/>
    </row>
    <row r="185" spans="1:32" ht="55.5" customHeight="1">
      <c r="A185" s="2625"/>
      <c r="B185" s="2624"/>
      <c r="C185" s="2625"/>
      <c r="D185" s="2624"/>
      <c r="E185" s="2625"/>
      <c r="F185" s="2626"/>
      <c r="G185" s="2625"/>
      <c r="H185" s="2625"/>
      <c r="I185" s="2625"/>
      <c r="J185" s="2607"/>
      <c r="K185" s="2626"/>
      <c r="L185" s="2624"/>
      <c r="M185" s="594" t="s">
        <v>1827</v>
      </c>
      <c r="N185" s="1107" t="s">
        <v>1828</v>
      </c>
      <c r="O185" s="624">
        <v>1610000</v>
      </c>
      <c r="P185" s="624">
        <v>1610000</v>
      </c>
      <c r="Q185" s="984"/>
      <c r="R185" s="1381" t="s">
        <v>1829</v>
      </c>
      <c r="S185" s="1382" t="s">
        <v>1830</v>
      </c>
      <c r="T185" s="1359"/>
      <c r="U185" s="1359"/>
      <c r="V185" s="599"/>
      <c r="W185" s="599"/>
      <c r="X185" s="993"/>
      <c r="Y185" s="599"/>
      <c r="Z185" s="599"/>
      <c r="AA185" s="992">
        <v>610000</v>
      </c>
      <c r="AB185" s="1383"/>
      <c r="AC185" s="599">
        <v>1000000</v>
      </c>
      <c r="AD185" s="984"/>
      <c r="AE185" s="599"/>
      <c r="AF185" s="599"/>
    </row>
    <row r="186" spans="1:32" ht="14.25" customHeight="1">
      <c r="A186" s="2625"/>
      <c r="B186" s="2624"/>
      <c r="C186" s="2625"/>
      <c r="D186" s="2624"/>
      <c r="E186" s="2625"/>
      <c r="F186" s="2626"/>
      <c r="G186" s="2625"/>
      <c r="H186" s="2625"/>
      <c r="I186" s="2625"/>
      <c r="J186" s="2607"/>
      <c r="K186" s="2626"/>
      <c r="L186" s="2624"/>
      <c r="M186" s="1311"/>
      <c r="N186" s="594"/>
      <c r="O186" s="594"/>
      <c r="P186" s="1052"/>
      <c r="Q186" s="1007"/>
      <c r="R186" s="1074"/>
      <c r="S186" s="1382"/>
      <c r="T186" s="1359"/>
      <c r="U186" s="1355" t="s">
        <v>1831</v>
      </c>
      <c r="V186" s="599"/>
      <c r="W186" s="599"/>
      <c r="X186" s="993"/>
      <c r="Y186" s="599"/>
      <c r="Z186" s="599"/>
      <c r="AA186" s="992"/>
      <c r="AB186" s="993"/>
      <c r="AC186" s="599"/>
      <c r="AD186" s="984"/>
      <c r="AE186" s="599"/>
      <c r="AF186" s="599"/>
    </row>
    <row r="187" spans="1:32" ht="40.5" customHeight="1">
      <c r="A187" s="2625"/>
      <c r="B187" s="2624"/>
      <c r="C187" s="2625"/>
      <c r="D187" s="2624"/>
      <c r="E187" s="2625"/>
      <c r="F187" s="2626"/>
      <c r="G187" s="2625"/>
      <c r="H187" s="2625"/>
      <c r="I187" s="2625"/>
      <c r="J187" s="2607"/>
      <c r="K187" s="2626"/>
      <c r="L187" s="2624"/>
      <c r="M187" s="594" t="s">
        <v>3728</v>
      </c>
      <c r="N187" s="1171" t="s">
        <v>1832</v>
      </c>
      <c r="O187" s="1006">
        <v>580000</v>
      </c>
      <c r="P187" s="984">
        <v>580000</v>
      </c>
      <c r="Q187" s="984"/>
      <c r="R187" s="984">
        <v>580000</v>
      </c>
      <c r="S187" s="1377">
        <v>41547</v>
      </c>
      <c r="T187" s="1359"/>
      <c r="U187" s="1359"/>
      <c r="V187" s="599"/>
      <c r="W187" s="599"/>
      <c r="X187" s="993"/>
      <c r="Y187" s="599"/>
      <c r="Z187" s="599"/>
      <c r="AA187" s="992"/>
      <c r="AB187" s="1384">
        <v>580000</v>
      </c>
      <c r="AC187" s="599"/>
      <c r="AD187" s="984"/>
      <c r="AE187" s="599"/>
      <c r="AF187" s="599"/>
    </row>
    <row r="188" spans="1:32" ht="51.75" customHeight="1">
      <c r="A188" s="2625"/>
      <c r="B188" s="2624"/>
      <c r="C188" s="2625"/>
      <c r="D188" s="2624"/>
      <c r="E188" s="2625"/>
      <c r="F188" s="2626"/>
      <c r="G188" s="2625"/>
      <c r="H188" s="2625"/>
      <c r="I188" s="2625"/>
      <c r="J188" s="2607"/>
      <c r="K188" s="2626"/>
      <c r="L188" s="2624"/>
      <c r="M188" s="446" t="s">
        <v>1833</v>
      </c>
      <c r="N188" s="1031" t="s">
        <v>1834</v>
      </c>
      <c r="O188" s="599">
        <v>550000</v>
      </c>
      <c r="P188" s="599">
        <f>70000+100000+100000+150000</f>
        <v>420000</v>
      </c>
      <c r="Q188" s="599">
        <f>70000+100000+100000+150000</f>
        <v>420000</v>
      </c>
      <c r="R188" s="599">
        <v>550000</v>
      </c>
      <c r="S188" s="1376">
        <v>41628</v>
      </c>
      <c r="T188" s="1359"/>
      <c r="U188" s="1359"/>
      <c r="V188" s="599"/>
      <c r="W188" s="599"/>
      <c r="X188" s="599"/>
      <c r="Y188" s="599"/>
      <c r="Z188" s="580"/>
      <c r="AA188" s="599"/>
      <c r="AB188" s="599"/>
      <c r="AC188" s="1365">
        <v>550000</v>
      </c>
      <c r="AD188" s="984"/>
      <c r="AE188" s="599"/>
      <c r="AF188" s="599"/>
    </row>
    <row r="189" spans="1:32" ht="70.5" customHeight="1">
      <c r="A189" s="1385"/>
      <c r="B189" s="2586" t="s">
        <v>3729</v>
      </c>
      <c r="C189" s="2629" t="s">
        <v>1835</v>
      </c>
      <c r="D189" s="1386" t="s">
        <v>1836</v>
      </c>
      <c r="E189" s="1387" t="s">
        <v>1837</v>
      </c>
      <c r="F189" s="1388">
        <v>5094000</v>
      </c>
      <c r="G189" s="1387">
        <v>198400</v>
      </c>
      <c r="H189" s="1387">
        <f>198400+2275600+1255000+218000+327000+504000+218000</f>
        <v>4996000</v>
      </c>
      <c r="I189" s="1387" t="s">
        <v>1838</v>
      </c>
      <c r="J189" s="1389">
        <f>248000+3580000+654000+662000</f>
        <v>5144000</v>
      </c>
      <c r="K189" s="2600"/>
      <c r="L189" s="2600"/>
      <c r="M189" s="310" t="s">
        <v>3730</v>
      </c>
      <c r="N189" s="1171" t="s">
        <v>1801</v>
      </c>
      <c r="O189" s="1006">
        <v>700000</v>
      </c>
      <c r="P189" s="624"/>
      <c r="Q189" s="1007"/>
      <c r="R189" s="1006">
        <v>700000</v>
      </c>
      <c r="S189" s="1376">
        <v>41544</v>
      </c>
      <c r="T189" s="1359"/>
      <c r="U189" s="1359"/>
      <c r="V189" s="599"/>
      <c r="W189" s="599"/>
      <c r="X189" s="599"/>
      <c r="Y189" s="599"/>
      <c r="Z189" s="580"/>
      <c r="AA189" s="599"/>
      <c r="AB189" s="972">
        <v>700000</v>
      </c>
      <c r="AC189" s="1390"/>
      <c r="AD189" s="984"/>
      <c r="AE189" s="599"/>
      <c r="AF189" s="599"/>
    </row>
    <row r="190" spans="1:32" ht="50.25" customHeight="1">
      <c r="A190" s="1385"/>
      <c r="B190" s="2586"/>
      <c r="C190" s="2629"/>
      <c r="D190" s="442" t="s">
        <v>1839</v>
      </c>
      <c r="E190" s="1387"/>
      <c r="F190" s="1388">
        <v>60500</v>
      </c>
      <c r="G190" s="1387"/>
      <c r="H190" s="1388">
        <v>60500</v>
      </c>
      <c r="I190" s="1387"/>
      <c r="J190" s="1391">
        <v>60500</v>
      </c>
      <c r="K190" s="1392"/>
      <c r="L190" s="1393" t="s">
        <v>401</v>
      </c>
      <c r="M190" s="310"/>
      <c r="N190" s="594"/>
      <c r="O190" s="1054"/>
      <c r="P190" s="580"/>
      <c r="Q190" s="984"/>
      <c r="R190" s="1007"/>
      <c r="S190" s="1376"/>
      <c r="T190" s="1359"/>
      <c r="U190" s="1359"/>
      <c r="V190" s="599"/>
      <c r="W190" s="599"/>
      <c r="X190" s="599"/>
      <c r="Y190" s="599"/>
      <c r="Z190" s="580"/>
      <c r="AA190" s="599"/>
      <c r="AB190" s="599"/>
      <c r="AC190" s="1390"/>
      <c r="AD190" s="984"/>
      <c r="AE190" s="599"/>
      <c r="AF190" s="599"/>
    </row>
    <row r="191" spans="1:32" ht="53.25" customHeight="1">
      <c r="A191" s="2542"/>
      <c r="B191" s="2586"/>
      <c r="C191" s="2629"/>
      <c r="D191" s="1394" t="s">
        <v>1840</v>
      </c>
      <c r="E191" s="1395">
        <f>F189+F190+F191</f>
        <v>5204500</v>
      </c>
      <c r="F191" s="1388">
        <v>50000</v>
      </c>
      <c r="G191" s="1387"/>
      <c r="H191" s="1388">
        <v>50000</v>
      </c>
      <c r="I191" s="1388">
        <f>H189+H190+H191</f>
        <v>5106500</v>
      </c>
      <c r="J191" s="1396"/>
      <c r="K191" s="1185"/>
      <c r="L191" s="843"/>
      <c r="M191" s="446" t="s">
        <v>1841</v>
      </c>
      <c r="N191" s="594" t="s">
        <v>1842</v>
      </c>
      <c r="O191" s="890">
        <v>1375000</v>
      </c>
      <c r="P191" s="599"/>
      <c r="Q191" s="984">
        <v>1375000</v>
      </c>
      <c r="R191" s="1397" t="s">
        <v>1843</v>
      </c>
      <c r="S191" s="1398" t="s">
        <v>1844</v>
      </c>
      <c r="T191" s="1359"/>
      <c r="U191" s="1359"/>
      <c r="V191" s="599"/>
      <c r="W191" s="599"/>
      <c r="X191" s="599"/>
      <c r="Y191" s="599"/>
      <c r="Z191" s="580"/>
      <c r="AA191" s="599"/>
      <c r="AB191" s="599"/>
      <c r="AC191" s="1390"/>
      <c r="AD191" s="984"/>
      <c r="AE191" s="599"/>
      <c r="AF191" s="599"/>
    </row>
    <row r="192" spans="1:32" ht="52.5" customHeight="1">
      <c r="A192" s="2542"/>
      <c r="B192" s="2586"/>
      <c r="C192" s="1399" t="s">
        <v>3731</v>
      </c>
      <c r="D192" s="442" t="s">
        <v>1845</v>
      </c>
      <c r="E192" s="599" t="s">
        <v>1715</v>
      </c>
      <c r="F192" s="1400" t="s">
        <v>1846</v>
      </c>
      <c r="G192" s="1143" t="s">
        <v>1847</v>
      </c>
      <c r="H192" s="899">
        <v>640000</v>
      </c>
      <c r="I192" s="1401" t="s">
        <v>1848</v>
      </c>
      <c r="J192" s="1402"/>
      <c r="K192" s="1403"/>
      <c r="L192" s="741"/>
      <c r="M192" s="310" t="s">
        <v>1849</v>
      </c>
      <c r="N192" s="594" t="s">
        <v>1850</v>
      </c>
      <c r="O192" s="599">
        <v>600000</v>
      </c>
      <c r="P192" s="984"/>
      <c r="Q192" s="984">
        <v>600000</v>
      </c>
      <c r="R192" s="599">
        <v>600000</v>
      </c>
      <c r="S192" s="599" t="s">
        <v>1851</v>
      </c>
      <c r="T192" s="1404"/>
      <c r="U192" s="1355" t="s">
        <v>1852</v>
      </c>
      <c r="V192" s="599"/>
      <c r="W192" s="599"/>
      <c r="X192" s="599"/>
      <c r="Y192" s="599"/>
      <c r="Z192" s="580"/>
      <c r="AA192" s="599"/>
      <c r="AB192" s="599"/>
      <c r="AC192" s="1390"/>
      <c r="AD192" s="984"/>
      <c r="AE192" s="599"/>
      <c r="AF192" s="599"/>
    </row>
    <row r="193" spans="1:32" ht="64.5" customHeight="1">
      <c r="A193" s="2542"/>
      <c r="B193" s="2586"/>
      <c r="C193" s="1405" t="s">
        <v>1853</v>
      </c>
      <c r="D193" s="478" t="s">
        <v>3732</v>
      </c>
      <c r="E193" s="1197" t="s">
        <v>1715</v>
      </c>
      <c r="F193" s="741" t="s">
        <v>1854</v>
      </c>
      <c r="G193" s="741" t="s">
        <v>1854</v>
      </c>
      <c r="H193" s="741" t="s">
        <v>1855</v>
      </c>
      <c r="I193" s="1406" t="s">
        <v>1848</v>
      </c>
      <c r="J193" s="1064" t="s">
        <v>3733</v>
      </c>
      <c r="K193" s="607"/>
      <c r="L193" s="1407"/>
      <c r="M193" s="1304" t="s">
        <v>1856</v>
      </c>
      <c r="N193" s="1031" t="s">
        <v>1857</v>
      </c>
      <c r="O193" s="599" t="s">
        <v>1858</v>
      </c>
      <c r="P193" s="599"/>
      <c r="Q193" s="984"/>
      <c r="R193" s="1088"/>
      <c r="S193" s="1238"/>
      <c r="T193" s="1359"/>
      <c r="U193" s="1359"/>
      <c r="V193" s="599"/>
      <c r="W193" s="599"/>
      <c r="X193" s="599"/>
      <c r="Y193" s="599"/>
      <c r="Z193" s="580"/>
      <c r="AA193" s="599"/>
      <c r="AB193" s="599"/>
      <c r="AC193" s="599"/>
      <c r="AD193" s="984"/>
      <c r="AE193" s="599"/>
      <c r="AF193" s="599"/>
    </row>
    <row r="194" spans="1:32" ht="37.5" customHeight="1">
      <c r="A194" s="1346"/>
      <c r="B194" s="2503" t="s">
        <v>3734</v>
      </c>
      <c r="C194" s="2483" t="s">
        <v>1859</v>
      </c>
      <c r="D194" s="2416" t="s">
        <v>1860</v>
      </c>
      <c r="E194" s="2483" t="s">
        <v>1861</v>
      </c>
      <c r="F194" s="2483" t="s">
        <v>1862</v>
      </c>
      <c r="G194" s="2483" t="s">
        <v>1863</v>
      </c>
      <c r="H194" s="2483">
        <f>1363985.74-584583.76</f>
        <v>779401.98</v>
      </c>
      <c r="I194" s="2483" t="s">
        <v>1864</v>
      </c>
      <c r="J194" s="2627">
        <v>779401.98</v>
      </c>
      <c r="K194" s="2628" t="s">
        <v>1865</v>
      </c>
      <c r="L194" s="741"/>
      <c r="M194" s="446"/>
      <c r="N194" s="1378"/>
      <c r="O194" s="580"/>
      <c r="P194" s="599"/>
      <c r="Q194" s="984"/>
      <c r="R194" s="1007"/>
      <c r="S194" s="1053"/>
      <c r="T194" s="1359"/>
      <c r="U194" s="1359"/>
      <c r="V194" s="599"/>
      <c r="W194" s="599"/>
      <c r="X194" s="993"/>
      <c r="Y194" s="599"/>
      <c r="Z194" s="580"/>
      <c r="AA194" s="599"/>
      <c r="AB194" s="1311"/>
      <c r="AC194" s="599"/>
      <c r="AD194" s="984"/>
      <c r="AE194" s="599"/>
      <c r="AF194" s="599"/>
    </row>
    <row r="195" spans="1:32" ht="52.5" customHeight="1">
      <c r="A195" s="1408"/>
      <c r="B195" s="2503"/>
      <c r="C195" s="2483"/>
      <c r="D195" s="2416"/>
      <c r="E195" s="2483"/>
      <c r="F195" s="2483"/>
      <c r="G195" s="2483"/>
      <c r="H195" s="2483"/>
      <c r="I195" s="2483"/>
      <c r="J195" s="2627"/>
      <c r="K195" s="2628"/>
      <c r="L195" s="741"/>
      <c r="M195" s="446" t="s">
        <v>1866</v>
      </c>
      <c r="N195" s="1378" t="s">
        <v>1867</v>
      </c>
      <c r="O195" s="599" t="s">
        <v>1868</v>
      </c>
      <c r="P195" s="599"/>
      <c r="Q195" s="984"/>
      <c r="R195" s="984"/>
      <c r="S195" s="1053"/>
      <c r="T195" s="1359"/>
      <c r="U195" s="1359"/>
      <c r="V195" s="599"/>
      <c r="W195" s="599"/>
      <c r="X195" s="599"/>
      <c r="Y195" s="599"/>
      <c r="Z195" s="580"/>
      <c r="AA195" s="599"/>
      <c r="AB195" s="599"/>
      <c r="AC195" s="599"/>
      <c r="AD195" s="984"/>
      <c r="AE195" s="599"/>
      <c r="AF195" s="599"/>
    </row>
    <row r="196" spans="1:32" s="1010" customFormat="1" ht="64.5" customHeight="1">
      <c r="A196" s="2568"/>
      <c r="B196" s="2558" t="s">
        <v>3735</v>
      </c>
      <c r="C196" s="2568" t="s">
        <v>1869</v>
      </c>
      <c r="D196" s="594" t="s">
        <v>1870</v>
      </c>
      <c r="E196" s="2568" t="s">
        <v>1657</v>
      </c>
      <c r="F196" s="1409">
        <v>2824000</v>
      </c>
      <c r="G196" s="311">
        <v>1626800</v>
      </c>
      <c r="H196" s="311" t="s">
        <v>1871</v>
      </c>
      <c r="I196" s="1409" t="s">
        <v>3736</v>
      </c>
      <c r="J196" s="1410">
        <v>2824000</v>
      </c>
      <c r="K196" s="1411" t="s">
        <v>1872</v>
      </c>
      <c r="L196" s="1115" t="s">
        <v>401</v>
      </c>
      <c r="M196" s="1131" t="s">
        <v>3737</v>
      </c>
      <c r="N196" s="1334" t="s">
        <v>1873</v>
      </c>
      <c r="O196" s="972">
        <v>1006000</v>
      </c>
      <c r="P196" s="1006"/>
      <c r="Q196" s="1006">
        <v>1006000</v>
      </c>
      <c r="R196" s="1412">
        <v>1006000</v>
      </c>
      <c r="S196" s="1025">
        <v>41927</v>
      </c>
      <c r="T196" s="1355"/>
      <c r="U196" s="1355"/>
      <c r="V196" s="1353"/>
      <c r="W196" s="1006"/>
      <c r="X196" s="1006"/>
      <c r="Y196" s="1006"/>
      <c r="Z196" s="624"/>
      <c r="AA196" s="1006"/>
      <c r="AB196" s="1006"/>
      <c r="AC196" s="1006"/>
      <c r="AD196" s="1007"/>
      <c r="AE196" s="1006"/>
      <c r="AF196" s="1006"/>
    </row>
    <row r="197" spans="1:32" s="1010" customFormat="1" ht="48.75" customHeight="1">
      <c r="A197" s="2568"/>
      <c r="B197" s="2558"/>
      <c r="C197" s="2568"/>
      <c r="D197" s="478" t="s">
        <v>3738</v>
      </c>
      <c r="E197" s="2568"/>
      <c r="F197" s="1413">
        <v>180000</v>
      </c>
      <c r="G197" s="311"/>
      <c r="H197" s="311"/>
      <c r="I197" s="1006"/>
      <c r="J197" s="1054"/>
      <c r="K197" s="1392"/>
      <c r="L197" s="1052"/>
      <c r="M197" s="594"/>
      <c r="N197" s="1378"/>
      <c r="O197" s="1006"/>
      <c r="P197" s="1006"/>
      <c r="Q197" s="1007"/>
      <c r="R197" s="1006"/>
      <c r="S197" s="1025"/>
      <c r="T197" s="1355"/>
      <c r="U197" s="1355"/>
      <c r="V197" s="1353"/>
      <c r="W197" s="1006"/>
      <c r="X197" s="1006"/>
      <c r="Y197" s="1006"/>
      <c r="Z197" s="624"/>
      <c r="AA197" s="1006"/>
      <c r="AB197" s="1006"/>
      <c r="AD197" s="1007"/>
      <c r="AE197" s="1006"/>
      <c r="AF197" s="1006"/>
    </row>
    <row r="198" spans="1:32" ht="69.75" customHeight="1">
      <c r="A198" s="1408"/>
      <c r="B198" s="2620" t="s">
        <v>3739</v>
      </c>
      <c r="C198" s="2621" t="s">
        <v>1874</v>
      </c>
      <c r="D198" s="2620" t="s">
        <v>1875</v>
      </c>
      <c r="E198" s="2622" t="s">
        <v>1715</v>
      </c>
      <c r="F198" s="2623" t="s">
        <v>1876</v>
      </c>
      <c r="G198" s="2588"/>
      <c r="H198" s="2588">
        <f>2257200+461700+535800+96900+391400+413250</f>
        <v>4156250</v>
      </c>
      <c r="I198" s="2588" t="s">
        <v>1877</v>
      </c>
      <c r="J198" s="2592">
        <f>446500+978500+2679000+104500</f>
        <v>4208500</v>
      </c>
      <c r="K198" s="2617"/>
      <c r="L198" s="2618" t="s">
        <v>401</v>
      </c>
      <c r="M198" s="594" t="s">
        <v>3740</v>
      </c>
      <c r="N198" s="1414" t="s">
        <v>3741</v>
      </c>
      <c r="O198" s="1006">
        <v>400000</v>
      </c>
      <c r="P198" s="594"/>
      <c r="Q198" s="1007"/>
      <c r="R198" s="1415">
        <v>400000</v>
      </c>
      <c r="S198" s="1416" t="s">
        <v>1878</v>
      </c>
      <c r="T198" s="1359"/>
      <c r="U198" s="1359"/>
      <c r="V198" s="599"/>
      <c r="W198" s="599"/>
      <c r="X198" s="993"/>
      <c r="Y198" s="599"/>
      <c r="Z198" s="580"/>
      <c r="AA198" s="599"/>
      <c r="AB198" s="972">
        <v>400000</v>
      </c>
      <c r="AD198" s="984"/>
      <c r="AE198" s="599"/>
      <c r="AF198" s="599"/>
    </row>
    <row r="199" spans="1:32" ht="54" customHeight="1">
      <c r="A199" s="2619"/>
      <c r="B199" s="2620"/>
      <c r="C199" s="2621"/>
      <c r="D199" s="2620"/>
      <c r="E199" s="2622"/>
      <c r="F199" s="2623"/>
      <c r="G199" s="2588"/>
      <c r="H199" s="2588"/>
      <c r="I199" s="2588"/>
      <c r="J199" s="2592"/>
      <c r="K199" s="2617"/>
      <c r="L199" s="2618"/>
      <c r="M199" s="823" t="s">
        <v>3742</v>
      </c>
      <c r="N199" s="1414" t="s">
        <v>3743</v>
      </c>
      <c r="O199" s="1141">
        <v>640000</v>
      </c>
      <c r="P199" s="599">
        <v>640000</v>
      </c>
      <c r="Q199" s="1007"/>
      <c r="R199" s="446">
        <v>640000</v>
      </c>
      <c r="S199" s="1417" t="s">
        <v>1878</v>
      </c>
      <c r="T199" s="1359"/>
      <c r="U199" s="1359"/>
      <c r="V199" s="599"/>
      <c r="W199" s="599"/>
      <c r="X199" s="993"/>
      <c r="Y199" s="599"/>
      <c r="Z199" s="580"/>
      <c r="AA199" s="599"/>
      <c r="AB199" s="972">
        <v>640000</v>
      </c>
      <c r="AC199" s="599"/>
      <c r="AD199" s="984"/>
      <c r="AE199" s="599"/>
      <c r="AF199" s="599"/>
    </row>
    <row r="200" spans="1:32" ht="39.75" customHeight="1">
      <c r="A200" s="2619"/>
      <c r="B200" s="2620"/>
      <c r="C200" s="2621"/>
      <c r="D200" s="2620"/>
      <c r="E200" s="2622"/>
      <c r="F200" s="2623"/>
      <c r="G200" s="2588"/>
      <c r="H200" s="2588"/>
      <c r="I200" s="2588"/>
      <c r="J200" s="2592"/>
      <c r="K200" s="2617"/>
      <c r="L200" s="2618"/>
      <c r="M200" s="446" t="s">
        <v>1879</v>
      </c>
      <c r="N200" s="1418" t="s">
        <v>3744</v>
      </c>
      <c r="O200" s="599">
        <v>800000</v>
      </c>
      <c r="P200" s="984"/>
      <c r="Q200" s="599">
        <v>800000</v>
      </c>
      <c r="R200" s="984" t="s">
        <v>1880</v>
      </c>
      <c r="S200" s="984" t="s">
        <v>1881</v>
      </c>
      <c r="T200" s="1359"/>
      <c r="U200" s="1359"/>
      <c r="V200" s="599"/>
      <c r="W200" s="599"/>
      <c r="X200" s="599"/>
      <c r="Y200" s="599"/>
      <c r="Z200" s="1141"/>
      <c r="AA200" s="599"/>
      <c r="AB200" s="599"/>
      <c r="AC200" s="1077">
        <v>450000</v>
      </c>
      <c r="AD200" s="984">
        <v>300000</v>
      </c>
      <c r="AE200" s="599">
        <v>50000</v>
      </c>
      <c r="AF200" s="599"/>
    </row>
    <row r="201" spans="1:32" ht="37.5" customHeight="1">
      <c r="A201" s="2619"/>
      <c r="B201" s="2620"/>
      <c r="C201" s="2621"/>
      <c r="D201" s="2620"/>
      <c r="E201" s="2622"/>
      <c r="F201" s="2623"/>
      <c r="G201" s="2588"/>
      <c r="H201" s="2588"/>
      <c r="I201" s="2588"/>
      <c r="J201" s="2592"/>
      <c r="K201" s="2617"/>
      <c r="L201" s="2618"/>
      <c r="M201" s="599" t="s">
        <v>1882</v>
      </c>
      <c r="N201" s="983" t="s">
        <v>1883</v>
      </c>
      <c r="O201" s="599">
        <v>1652364</v>
      </c>
      <c r="P201" s="599"/>
      <c r="Q201" s="984"/>
      <c r="R201" s="997"/>
      <c r="S201" s="1362"/>
      <c r="T201" s="1359"/>
      <c r="U201" s="1359"/>
      <c r="V201" s="599"/>
      <c r="W201" s="599"/>
      <c r="X201" s="599"/>
      <c r="Y201" s="599"/>
      <c r="Z201" s="1141"/>
      <c r="AA201" s="599"/>
      <c r="AB201" s="599"/>
      <c r="AC201" s="599"/>
      <c r="AD201" s="984"/>
      <c r="AE201" s="599"/>
      <c r="AF201" s="599"/>
    </row>
    <row r="202" spans="1:32" ht="40.5" customHeight="1">
      <c r="A202" s="1346"/>
      <c r="B202" s="2351" t="s">
        <v>3745</v>
      </c>
      <c r="C202" s="2542" t="s">
        <v>1884</v>
      </c>
      <c r="D202" s="2351" t="s">
        <v>1885</v>
      </c>
      <c r="E202" s="2542" t="s">
        <v>1886</v>
      </c>
      <c r="F202" s="2563" t="s">
        <v>1887</v>
      </c>
      <c r="G202" s="741"/>
      <c r="H202" s="741"/>
      <c r="I202" s="741"/>
      <c r="J202" s="1046"/>
      <c r="K202" s="1419"/>
      <c r="L202" s="1420"/>
      <c r="M202" s="1421" t="s">
        <v>3746</v>
      </c>
      <c r="N202" s="1422" t="s">
        <v>1888</v>
      </c>
      <c r="O202" s="1423">
        <v>430000</v>
      </c>
      <c r="P202" s="1423">
        <v>430000</v>
      </c>
      <c r="Q202" s="1423">
        <v>430000</v>
      </c>
      <c r="R202" s="1424" t="s">
        <v>1889</v>
      </c>
      <c r="S202" s="1425"/>
      <c r="T202" s="1404"/>
      <c r="U202" s="1355"/>
      <c r="V202" s="599"/>
      <c r="W202" s="599"/>
      <c r="X202" s="599"/>
      <c r="Y202" s="599"/>
      <c r="Z202" s="1141"/>
      <c r="AA202" s="599"/>
      <c r="AB202" s="599"/>
      <c r="AC202" s="599"/>
      <c r="AD202" s="984"/>
      <c r="AE202" s="599">
        <v>600000</v>
      </c>
      <c r="AF202" s="599"/>
    </row>
    <row r="203" spans="1:32" ht="51.75" customHeight="1">
      <c r="A203" s="599"/>
      <c r="B203" s="2351"/>
      <c r="C203" s="2542"/>
      <c r="D203" s="2351"/>
      <c r="E203" s="2542"/>
      <c r="F203" s="2563"/>
      <c r="G203" s="741">
        <v>1</v>
      </c>
      <c r="H203" s="741">
        <v>4211866.72</v>
      </c>
      <c r="I203" s="741" t="s">
        <v>1890</v>
      </c>
      <c r="J203" s="1426" t="s">
        <v>3747</v>
      </c>
      <c r="K203" s="1163" t="s">
        <v>1891</v>
      </c>
      <c r="L203" s="997"/>
      <c r="M203" s="1372" t="s">
        <v>1892</v>
      </c>
      <c r="N203" s="1115" t="s">
        <v>3748</v>
      </c>
      <c r="O203" s="1352" t="s">
        <v>1893</v>
      </c>
      <c r="P203" s="984" t="s">
        <v>1894</v>
      </c>
      <c r="Q203" s="984"/>
      <c r="R203" s="1427"/>
      <c r="S203" s="1070"/>
      <c r="T203" s="1352"/>
      <c r="U203" s="1352"/>
      <c r="V203" s="1372"/>
      <c r="W203" s="594"/>
      <c r="X203" s="1352"/>
      <c r="Y203" s="1353"/>
      <c r="Z203" s="580"/>
      <c r="AA203" s="1428"/>
      <c r="AB203" s="599"/>
      <c r="AC203" s="599"/>
      <c r="AD203" s="984"/>
      <c r="AE203" s="599"/>
      <c r="AF203" s="599"/>
    </row>
    <row r="204" spans="1:32" ht="46.5" customHeight="1">
      <c r="A204" s="899"/>
      <c r="B204" s="2351" t="s">
        <v>3749</v>
      </c>
      <c r="C204" s="2616" t="s">
        <v>1895</v>
      </c>
      <c r="D204" s="2604" t="s">
        <v>1896</v>
      </c>
      <c r="E204" s="2616" t="s">
        <v>1572</v>
      </c>
      <c r="F204" s="2588">
        <v>2087150</v>
      </c>
      <c r="G204" s="2588">
        <v>120080</v>
      </c>
      <c r="H204" s="2588"/>
      <c r="I204" s="2588">
        <f>1192250+120080</f>
        <v>1312330</v>
      </c>
      <c r="J204" s="2592">
        <f>150100+1937050</f>
        <v>2087150</v>
      </c>
      <c r="K204" s="2600"/>
      <c r="L204" s="2601" t="s">
        <v>401</v>
      </c>
      <c r="M204" s="1429" t="s">
        <v>3750</v>
      </c>
      <c r="N204" s="1430" t="s">
        <v>1897</v>
      </c>
      <c r="O204" s="1431">
        <v>440000</v>
      </c>
      <c r="P204" s="984">
        <v>440000</v>
      </c>
      <c r="Q204" s="984"/>
      <c r="R204" s="1390">
        <v>440000</v>
      </c>
      <c r="S204" s="1052" t="s">
        <v>1898</v>
      </c>
      <c r="T204" s="1355"/>
      <c r="U204" s="1355"/>
      <c r="V204" s="1368"/>
      <c r="W204" s="1052"/>
      <c r="X204" s="1355"/>
      <c r="Y204" s="1353"/>
      <c r="Z204" s="580"/>
      <c r="AA204" s="1428"/>
      <c r="AB204" s="599"/>
      <c r="AC204" s="1432">
        <v>440000</v>
      </c>
      <c r="AD204" s="984"/>
      <c r="AE204" s="599"/>
      <c r="AF204" s="599"/>
    </row>
    <row r="205" spans="1:32" ht="80.25" customHeight="1">
      <c r="A205" s="741"/>
      <c r="B205" s="2351"/>
      <c r="C205" s="2616"/>
      <c r="D205" s="2604"/>
      <c r="E205" s="2616"/>
      <c r="F205" s="2616"/>
      <c r="G205" s="2616"/>
      <c r="H205" s="2616"/>
      <c r="I205" s="2616"/>
      <c r="J205" s="2592"/>
      <c r="K205" s="2600"/>
      <c r="L205" s="2601"/>
      <c r="M205" s="1429" t="s">
        <v>3751</v>
      </c>
      <c r="N205" s="1430" t="s">
        <v>1899</v>
      </c>
      <c r="O205" s="1052">
        <v>1095800</v>
      </c>
      <c r="P205" s="1433" t="s">
        <v>1900</v>
      </c>
      <c r="Q205" s="984"/>
      <c r="R205" s="1434">
        <v>1095800</v>
      </c>
      <c r="S205" s="1052" t="s">
        <v>1901</v>
      </c>
      <c r="T205" s="1355" t="s">
        <v>1902</v>
      </c>
      <c r="U205" s="1355"/>
      <c r="V205" s="1368"/>
      <c r="W205" s="1052"/>
      <c r="X205" s="1355"/>
      <c r="Y205" s="1353"/>
      <c r="Z205" s="599"/>
      <c r="AA205" s="599"/>
      <c r="AB205" s="599"/>
      <c r="AC205" s="1435">
        <v>1095800</v>
      </c>
      <c r="AD205" s="984"/>
      <c r="AE205" s="599"/>
      <c r="AF205" s="599"/>
    </row>
    <row r="206" spans="1:32" ht="89.25" customHeight="1">
      <c r="A206" s="741"/>
      <c r="B206" s="446" t="s">
        <v>3752</v>
      </c>
      <c r="C206" s="1006" t="s">
        <v>1903</v>
      </c>
      <c r="D206" s="446" t="s">
        <v>1904</v>
      </c>
      <c r="E206" s="741" t="s">
        <v>1905</v>
      </c>
      <c r="F206" s="1305">
        <v>550000</v>
      </c>
      <c r="G206" s="741">
        <v>440000</v>
      </c>
      <c r="H206" s="741">
        <v>440000</v>
      </c>
      <c r="I206" s="741"/>
      <c r="J206" s="1046">
        <v>550000</v>
      </c>
      <c r="K206" s="1163"/>
      <c r="L206" s="1052" t="s">
        <v>401</v>
      </c>
      <c r="M206" s="594" t="s">
        <v>3753</v>
      </c>
      <c r="N206" s="1436" t="s">
        <v>3754</v>
      </c>
      <c r="O206" s="1006">
        <v>510000</v>
      </c>
      <c r="P206" s="1006">
        <v>510000</v>
      </c>
      <c r="Q206" s="984"/>
      <c r="R206" s="1437">
        <v>510000</v>
      </c>
      <c r="S206" s="1053" t="s">
        <v>1906</v>
      </c>
      <c r="T206" s="1359"/>
      <c r="U206" s="1359"/>
      <c r="V206" s="599"/>
      <c r="W206" s="599"/>
      <c r="X206" s="599"/>
      <c r="Y206" s="599"/>
      <c r="Z206" s="599"/>
      <c r="AA206" s="599"/>
      <c r="AB206" s="599"/>
      <c r="AC206" s="1438">
        <v>510000</v>
      </c>
      <c r="AD206" s="984"/>
      <c r="AE206" s="599"/>
      <c r="AF206" s="599"/>
    </row>
    <row r="207" spans="1:32" ht="49.5" customHeight="1">
      <c r="A207" s="741"/>
      <c r="B207" s="822" t="s">
        <v>3755</v>
      </c>
      <c r="C207" s="1064" t="s">
        <v>1907</v>
      </c>
      <c r="D207" s="446" t="s">
        <v>1908</v>
      </c>
      <c r="E207" s="741" t="s">
        <v>1909</v>
      </c>
      <c r="F207" s="1305">
        <v>600000</v>
      </c>
      <c r="G207" s="741">
        <v>300000</v>
      </c>
      <c r="H207" s="741" t="s">
        <v>1910</v>
      </c>
      <c r="I207" s="741">
        <v>500000</v>
      </c>
      <c r="J207" s="1046">
        <f>500000+100000</f>
        <v>600000</v>
      </c>
      <c r="K207" s="997" t="s">
        <v>1911</v>
      </c>
      <c r="L207" s="1052" t="s">
        <v>401</v>
      </c>
      <c r="M207" s="599"/>
      <c r="N207" s="983"/>
      <c r="O207" s="599"/>
      <c r="P207" s="599"/>
      <c r="Q207" s="984"/>
      <c r="R207" s="984"/>
      <c r="S207" s="1053"/>
      <c r="T207" s="1359"/>
      <c r="U207" s="1359"/>
      <c r="V207" s="599"/>
      <c r="W207" s="599"/>
      <c r="X207" s="599"/>
      <c r="Y207" s="599"/>
      <c r="Z207" s="599"/>
      <c r="AA207" s="599"/>
      <c r="AB207" s="599"/>
      <c r="AC207" s="599"/>
      <c r="AD207" s="984"/>
      <c r="AE207" s="599"/>
      <c r="AF207" s="599"/>
    </row>
    <row r="208" spans="1:32" ht="48" customHeight="1">
      <c r="A208" s="741"/>
      <c r="B208" s="1439" t="s">
        <v>3756</v>
      </c>
      <c r="C208" s="741" t="s">
        <v>1912</v>
      </c>
      <c r="D208" s="741" t="s">
        <v>1913</v>
      </c>
      <c r="E208" s="741" t="s">
        <v>1914</v>
      </c>
      <c r="F208" s="1124">
        <v>566720</v>
      </c>
      <c r="G208" s="741"/>
      <c r="H208" s="741"/>
      <c r="I208" s="741"/>
      <c r="J208" s="1046"/>
      <c r="K208" s="997"/>
      <c r="L208" s="997"/>
      <c r="M208" s="599"/>
      <c r="N208" s="983"/>
      <c r="O208" s="599"/>
      <c r="P208" s="599"/>
      <c r="Q208" s="984"/>
      <c r="R208" s="984"/>
      <c r="S208" s="1053"/>
      <c r="T208" s="1359"/>
      <c r="U208" s="1359"/>
      <c r="V208" s="599"/>
      <c r="W208" s="599"/>
      <c r="X208" s="599"/>
      <c r="Y208" s="599"/>
      <c r="Z208" s="599"/>
      <c r="AA208" s="599"/>
      <c r="AB208" s="599"/>
      <c r="AC208" s="599"/>
      <c r="AD208" s="984"/>
      <c r="AE208" s="599"/>
      <c r="AF208" s="599"/>
    </row>
    <row r="209" spans="1:32" s="1010" customFormat="1" ht="50.25" customHeight="1">
      <c r="A209" s="1081"/>
      <c r="B209" s="1050" t="s">
        <v>1915</v>
      </c>
      <c r="C209" s="1064" t="s">
        <v>1916</v>
      </c>
      <c r="D209" s="741" t="s">
        <v>1917</v>
      </c>
      <c r="E209" s="1064"/>
      <c r="F209" s="584">
        <v>99500</v>
      </c>
      <c r="G209" s="1167"/>
      <c r="H209" s="584">
        <v>67650.320000000007</v>
      </c>
      <c r="I209" s="584"/>
      <c r="J209" s="584">
        <v>99500</v>
      </c>
      <c r="K209" s="1256"/>
      <c r="L209" s="594" t="s">
        <v>401</v>
      </c>
      <c r="M209" s="588"/>
      <c r="N209" s="1058"/>
      <c r="O209" s="1006"/>
      <c r="P209" s="1006"/>
      <c r="Q209" s="1007"/>
      <c r="R209" s="1007"/>
      <c r="S209" s="1007"/>
      <c r="T209" s="1007"/>
      <c r="U209" s="1007"/>
      <c r="V209" s="1007"/>
      <c r="W209" s="1007"/>
      <c r="X209" s="1007"/>
      <c r="Y209" s="1006"/>
      <c r="Z209" s="1006"/>
      <c r="AA209" s="1006"/>
      <c r="AB209" s="1006"/>
      <c r="AC209" s="1006"/>
      <c r="AD209" s="1007"/>
      <c r="AE209" s="1006"/>
      <c r="AF209" s="1006"/>
    </row>
    <row r="210" spans="1:32" ht="63" customHeight="1">
      <c r="A210" s="741"/>
      <c r="B210" s="2624" t="s">
        <v>3757</v>
      </c>
      <c r="C210" s="2625" t="s">
        <v>1918</v>
      </c>
      <c r="D210" s="2691" t="s">
        <v>1919</v>
      </c>
      <c r="E210" s="599" t="s">
        <v>1861</v>
      </c>
      <c r="F210" s="2692" t="s">
        <v>1920</v>
      </c>
      <c r="G210" s="741"/>
      <c r="H210" s="2542" t="s">
        <v>1921</v>
      </c>
      <c r="I210" s="741"/>
      <c r="J210" s="2615">
        <f>2724512.41+2591700+21865512.58+4250000+8578675+252000</f>
        <v>40262399.989999995</v>
      </c>
      <c r="K210" s="997"/>
      <c r="L210" s="594" t="s">
        <v>401</v>
      </c>
      <c r="M210" s="446" t="s">
        <v>1922</v>
      </c>
      <c r="N210" s="991" t="s">
        <v>3758</v>
      </c>
      <c r="O210" s="599" t="s">
        <v>1923</v>
      </c>
      <c r="P210" s="599" t="s">
        <v>1924</v>
      </c>
      <c r="Q210" s="984"/>
      <c r="R210" s="984"/>
      <c r="S210" s="1053"/>
      <c r="T210" s="1359"/>
      <c r="U210" s="1359"/>
      <c r="V210" s="599"/>
      <c r="W210" s="599"/>
      <c r="X210" s="599"/>
      <c r="Y210" s="599"/>
      <c r="Z210" s="599"/>
      <c r="AA210" s="599"/>
      <c r="AB210" s="599"/>
      <c r="AC210" s="599"/>
      <c r="AD210" s="984"/>
      <c r="AE210" s="599"/>
      <c r="AF210" s="599"/>
    </row>
    <row r="211" spans="1:32" ht="83.25" customHeight="1">
      <c r="A211" s="741"/>
      <c r="B211" s="2624"/>
      <c r="C211" s="2625"/>
      <c r="D211" s="2691"/>
      <c r="E211" s="599"/>
      <c r="F211" s="2692"/>
      <c r="G211" s="741" t="s">
        <v>1925</v>
      </c>
      <c r="H211" s="2542"/>
      <c r="I211" s="1369" t="s">
        <v>1926</v>
      </c>
      <c r="J211" s="2615"/>
      <c r="K211" s="1440">
        <v>448410</v>
      </c>
      <c r="L211" s="1974" t="s">
        <v>1927</v>
      </c>
      <c r="M211" s="446" t="s">
        <v>1928</v>
      </c>
      <c r="N211" s="991" t="s">
        <v>3759</v>
      </c>
      <c r="O211" s="599" t="s">
        <v>1929</v>
      </c>
      <c r="P211" s="599"/>
      <c r="Q211" s="984" t="s">
        <v>1929</v>
      </c>
      <c r="R211" s="984" t="s">
        <v>1930</v>
      </c>
      <c r="S211" s="1053"/>
      <c r="T211" s="1359"/>
      <c r="U211" s="1359"/>
      <c r="V211" s="599"/>
      <c r="W211" s="599"/>
      <c r="X211" s="599"/>
      <c r="Y211" s="599"/>
      <c r="Z211" s="599"/>
      <c r="AA211" s="599"/>
      <c r="AB211" s="599"/>
      <c r="AC211" s="599"/>
      <c r="AD211" s="984"/>
      <c r="AE211" s="599"/>
      <c r="AF211" s="599"/>
    </row>
    <row r="212" spans="1:32" ht="62.25" customHeight="1">
      <c r="A212" s="741"/>
      <c r="B212" s="2624"/>
      <c r="C212" s="1387"/>
      <c r="D212" s="1441" t="s">
        <v>1931</v>
      </c>
      <c r="E212" s="599"/>
      <c r="F212" s="1442">
        <v>4200000</v>
      </c>
      <c r="G212" s="601">
        <v>3131415.41</v>
      </c>
      <c r="H212" s="1443"/>
      <c r="I212" s="741"/>
      <c r="J212" s="1444" t="s">
        <v>1932</v>
      </c>
      <c r="K212" s="997"/>
      <c r="L212" s="1163"/>
      <c r="M212" s="446"/>
      <c r="N212" s="1020"/>
      <c r="O212" s="599"/>
      <c r="P212" s="599"/>
      <c r="Q212" s="984"/>
      <c r="R212" s="984"/>
      <c r="S212" s="1053"/>
      <c r="T212" s="1359"/>
      <c r="U212" s="1359"/>
      <c r="V212" s="599"/>
      <c r="W212" s="599"/>
      <c r="X212" s="599"/>
      <c r="Y212" s="599"/>
      <c r="Z212" s="599"/>
      <c r="AA212" s="599"/>
      <c r="AB212" s="599"/>
      <c r="AC212" s="599"/>
      <c r="AD212" s="984"/>
      <c r="AE212" s="599"/>
      <c r="AF212" s="599"/>
    </row>
    <row r="213" spans="1:32" ht="65.25" customHeight="1">
      <c r="A213" s="741"/>
      <c r="B213" s="2624"/>
      <c r="C213" s="1387"/>
      <c r="D213" s="1041" t="s">
        <v>1933</v>
      </c>
      <c r="E213" s="599"/>
      <c r="F213" s="1445">
        <v>245700</v>
      </c>
      <c r="G213" s="601">
        <v>245700</v>
      </c>
      <c r="H213" s="741"/>
      <c r="I213" s="741"/>
      <c r="J213" s="1446" t="s">
        <v>1934</v>
      </c>
      <c r="K213" s="997"/>
      <c r="L213" s="997"/>
      <c r="M213" s="594" t="s">
        <v>3760</v>
      </c>
      <c r="N213" s="1414" t="s">
        <v>3741</v>
      </c>
      <c r="O213" s="1006"/>
      <c r="P213" s="599"/>
      <c r="Q213" s="984">
        <v>800000</v>
      </c>
      <c r="R213" s="984">
        <v>800000</v>
      </c>
      <c r="S213" s="1052" t="s">
        <v>1935</v>
      </c>
      <c r="T213" s="1359"/>
      <c r="U213" s="1359"/>
      <c r="V213" s="599"/>
      <c r="W213" s="599"/>
      <c r="X213" s="599"/>
      <c r="Y213" s="599"/>
      <c r="Z213" s="599"/>
      <c r="AA213" s="599"/>
      <c r="AB213" s="599"/>
      <c r="AC213" s="972">
        <v>800000</v>
      </c>
      <c r="AD213" s="984"/>
      <c r="AE213" s="599"/>
      <c r="AF213" s="599"/>
    </row>
    <row r="214" spans="1:32" ht="13.5" customHeight="1">
      <c r="A214" s="741"/>
      <c r="B214" s="1447"/>
      <c r="C214" s="1366"/>
      <c r="D214" s="823"/>
      <c r="E214" s="607"/>
      <c r="F214" s="1105"/>
      <c r="G214" s="741"/>
      <c r="H214" s="741"/>
      <c r="I214" s="741"/>
      <c r="J214" s="1046"/>
      <c r="K214" s="997"/>
      <c r="L214" s="997"/>
      <c r="M214" s="1448"/>
      <c r="N214" s="1449"/>
      <c r="O214" s="1073"/>
      <c r="P214" s="1073"/>
      <c r="Q214" s="984"/>
      <c r="R214" s="984"/>
      <c r="S214" s="1053"/>
      <c r="T214" s="1359"/>
      <c r="U214" s="1359"/>
      <c r="V214" s="599"/>
      <c r="W214" s="599"/>
      <c r="X214" s="599"/>
      <c r="Y214" s="599"/>
      <c r="Z214" s="599"/>
      <c r="AA214" s="599"/>
      <c r="AB214" s="599"/>
      <c r="AC214" s="599"/>
      <c r="AD214" s="984"/>
      <c r="AE214" s="599"/>
      <c r="AF214" s="599"/>
    </row>
    <row r="215" spans="1:32" ht="53.25" customHeight="1">
      <c r="A215" s="741"/>
      <c r="B215" s="2586" t="s">
        <v>3761</v>
      </c>
      <c r="C215" s="2611" t="s">
        <v>1936</v>
      </c>
      <c r="D215" s="2612" t="s">
        <v>1937</v>
      </c>
      <c r="E215" s="2613" t="s">
        <v>1938</v>
      </c>
      <c r="F215" s="2584">
        <v>6240000</v>
      </c>
      <c r="G215" s="2614">
        <v>3458000</v>
      </c>
      <c r="H215" s="2588">
        <v>6130000</v>
      </c>
      <c r="I215" s="997"/>
      <c r="J215" s="2592">
        <f>1920400+3539600+580000+345800</f>
        <v>6385800</v>
      </c>
      <c r="K215" s="2574"/>
      <c r="L215" s="2602" t="s">
        <v>401</v>
      </c>
      <c r="M215" s="1076" t="s">
        <v>3762</v>
      </c>
      <c r="N215" s="1436" t="s">
        <v>1939</v>
      </c>
      <c r="O215" s="993">
        <v>4150000</v>
      </c>
      <c r="P215" s="599"/>
      <c r="Q215" s="984"/>
      <c r="R215" s="984" t="s">
        <v>1940</v>
      </c>
      <c r="S215" s="1052" t="s">
        <v>1941</v>
      </c>
      <c r="T215" s="1359"/>
      <c r="U215" s="1359"/>
      <c r="V215" s="599"/>
      <c r="W215" s="599"/>
      <c r="X215" s="599"/>
      <c r="Y215" s="599"/>
      <c r="Z215" s="599"/>
      <c r="AA215" s="599"/>
      <c r="AB215" s="599"/>
      <c r="AC215" s="599"/>
      <c r="AD215" s="984"/>
      <c r="AE215" s="599"/>
      <c r="AF215" s="599"/>
    </row>
    <row r="216" spans="1:32" ht="72.75" customHeight="1">
      <c r="A216" s="741"/>
      <c r="B216" s="2586"/>
      <c r="C216" s="2611"/>
      <c r="D216" s="2612"/>
      <c r="E216" s="2613"/>
      <c r="F216" s="2584"/>
      <c r="G216" s="2614"/>
      <c r="H216" s="2588"/>
      <c r="I216" s="1450">
        <f>F215+F217-H215</f>
        <v>255800</v>
      </c>
      <c r="J216" s="2592"/>
      <c r="K216" s="2574"/>
      <c r="L216" s="2602"/>
      <c r="M216" s="594" t="s">
        <v>3763</v>
      </c>
      <c r="N216" s="1436" t="s">
        <v>3764</v>
      </c>
      <c r="O216" s="1006">
        <v>458200</v>
      </c>
      <c r="P216" s="1006"/>
      <c r="Q216" s="984"/>
      <c r="R216" s="1437">
        <v>458200</v>
      </c>
      <c r="S216" s="1254">
        <v>41624</v>
      </c>
      <c r="T216" s="1359"/>
      <c r="U216" s="1359"/>
      <c r="V216" s="599"/>
      <c r="W216" s="599"/>
      <c r="X216" s="599"/>
      <c r="Y216" s="599"/>
      <c r="Z216" s="599"/>
      <c r="AA216" s="599"/>
      <c r="AB216" s="599"/>
      <c r="AC216" s="1451">
        <v>458200</v>
      </c>
      <c r="AD216" s="984"/>
      <c r="AE216" s="599"/>
      <c r="AF216" s="599"/>
    </row>
    <row r="217" spans="1:32" ht="54" customHeight="1">
      <c r="A217" s="741"/>
      <c r="B217" s="2586"/>
      <c r="C217" s="2611"/>
      <c r="D217" s="1394" t="s">
        <v>1942</v>
      </c>
      <c r="E217" s="2613"/>
      <c r="F217" s="1395">
        <v>145800</v>
      </c>
      <c r="G217" s="2614"/>
      <c r="H217" s="2588"/>
      <c r="I217" s="741"/>
      <c r="J217" s="1452"/>
      <c r="K217" s="607"/>
      <c r="L217" s="2602"/>
      <c r="M217" s="594" t="s">
        <v>3765</v>
      </c>
      <c r="N217" s="1436" t="s">
        <v>3766</v>
      </c>
      <c r="O217" s="984">
        <v>350000</v>
      </c>
      <c r="P217" s="1006"/>
      <c r="Q217" s="984"/>
      <c r="R217" s="1390">
        <v>350000</v>
      </c>
      <c r="S217" s="1053" t="s">
        <v>1898</v>
      </c>
      <c r="T217" s="1359"/>
      <c r="U217" s="1359"/>
      <c r="V217" s="1372"/>
      <c r="W217" s="594"/>
      <c r="X217" s="1352"/>
      <c r="Y217" s="1353"/>
      <c r="Z217" s="580"/>
      <c r="AA217" s="1428"/>
      <c r="AB217" s="993"/>
      <c r="AC217" s="1453">
        <v>350000</v>
      </c>
      <c r="AD217" s="984"/>
      <c r="AE217" s="599"/>
      <c r="AF217" s="599"/>
    </row>
    <row r="218" spans="1:32" ht="54.75" customHeight="1">
      <c r="A218" s="311">
        <v>9</v>
      </c>
      <c r="B218" s="446" t="s">
        <v>3767</v>
      </c>
      <c r="C218" s="922" t="s">
        <v>1943</v>
      </c>
      <c r="D218" s="446" t="s">
        <v>1944</v>
      </c>
      <c r="E218" s="1042"/>
      <c r="F218" s="1316">
        <v>2500000</v>
      </c>
      <c r="G218" s="983"/>
      <c r="H218" s="599">
        <v>2500000</v>
      </c>
      <c r="I218" s="599"/>
      <c r="J218" s="995">
        <v>2500000</v>
      </c>
      <c r="K218" s="1224"/>
      <c r="L218" s="1317" t="s">
        <v>567</v>
      </c>
      <c r="M218" s="1454" t="s">
        <v>3768</v>
      </c>
      <c r="N218" s="1334" t="s">
        <v>1945</v>
      </c>
      <c r="O218" s="1455">
        <v>1824000</v>
      </c>
      <c r="P218" s="1455">
        <v>1824000</v>
      </c>
      <c r="Q218" s="580"/>
      <c r="R218" s="1455">
        <v>1824000</v>
      </c>
      <c r="S218" s="599" t="s">
        <v>1946</v>
      </c>
      <c r="T218" s="599"/>
      <c r="U218" s="599"/>
      <c r="V218" s="599"/>
      <c r="W218" s="599"/>
      <c r="X218" s="599"/>
      <c r="Y218" s="599"/>
      <c r="Z218" s="599"/>
      <c r="AA218" s="599"/>
      <c r="AB218" s="599"/>
      <c r="AC218" s="1456">
        <v>1824000</v>
      </c>
      <c r="AD218" s="984"/>
      <c r="AE218" s="599"/>
      <c r="AF218" s="599"/>
    </row>
    <row r="219" spans="1:32" ht="15.75" customHeight="1">
      <c r="A219" s="1081"/>
      <c r="B219" s="446" t="s">
        <v>1947</v>
      </c>
      <c r="C219" s="822"/>
      <c r="D219" s="823"/>
      <c r="E219" s="741"/>
      <c r="F219" s="1457"/>
      <c r="G219" s="741"/>
      <c r="H219" s="741"/>
      <c r="I219" s="741"/>
      <c r="J219" s="1458"/>
      <c r="K219" s="1027"/>
      <c r="L219" s="1115"/>
      <c r="M219" s="1459"/>
      <c r="N219" s="1031"/>
      <c r="O219" s="1455"/>
      <c r="P219" s="1455"/>
      <c r="Q219" s="1024"/>
      <c r="R219" s="1460"/>
      <c r="S219" s="984"/>
      <c r="T219" s="984"/>
      <c r="U219" s="984"/>
      <c r="V219" s="599"/>
      <c r="W219" s="599"/>
      <c r="X219" s="599"/>
      <c r="Y219" s="599"/>
      <c r="Z219" s="599"/>
      <c r="AA219" s="599"/>
      <c r="AB219" s="599"/>
      <c r="AC219" s="578"/>
      <c r="AD219" s="984"/>
      <c r="AE219" s="599"/>
      <c r="AF219" s="599"/>
    </row>
    <row r="220" spans="1:32" s="1180" customFormat="1" ht="30.75" customHeight="1">
      <c r="A220" s="1170"/>
      <c r="B220" s="1171"/>
      <c r="C220" s="1172" t="s">
        <v>1948</v>
      </c>
      <c r="D220" s="1171"/>
      <c r="E220" s="1173"/>
      <c r="F220" s="1174"/>
      <c r="G220" s="1175"/>
      <c r="H220" s="1174"/>
      <c r="I220" s="1174"/>
      <c r="J220" s="1175"/>
      <c r="K220" s="1176"/>
      <c r="L220" s="1461"/>
      <c r="M220" s="1178"/>
      <c r="N220" s="1128"/>
      <c r="O220" s="1128"/>
      <c r="P220" s="1128"/>
      <c r="Q220" s="1144"/>
      <c r="R220" s="1144"/>
      <c r="S220" s="1144"/>
      <c r="T220" s="1144"/>
      <c r="U220" s="1144"/>
      <c r="V220" s="1128"/>
      <c r="W220" s="1128"/>
      <c r="X220" s="1128"/>
      <c r="Y220" s="1128"/>
      <c r="Z220" s="1128"/>
      <c r="AA220" s="1128"/>
      <c r="AB220" s="1128"/>
      <c r="AC220" s="1128"/>
      <c r="AD220" s="1144"/>
      <c r="AE220" s="1128"/>
      <c r="AF220" s="1128"/>
    </row>
    <row r="221" spans="1:32" ht="41.25" customHeight="1">
      <c r="A221" s="1081"/>
      <c r="B221" s="1050" t="s">
        <v>1915</v>
      </c>
      <c r="C221" s="1168" t="s">
        <v>1949</v>
      </c>
      <c r="D221" s="1076" t="s">
        <v>1950</v>
      </c>
      <c r="E221" s="1462"/>
      <c r="F221" s="1055">
        <v>99500</v>
      </c>
      <c r="G221" s="1463"/>
      <c r="H221" s="584">
        <v>99500</v>
      </c>
      <c r="I221" s="584"/>
      <c r="J221" s="584">
        <v>99500</v>
      </c>
      <c r="K221" s="1362"/>
      <c r="L221" s="1317" t="s">
        <v>401</v>
      </c>
      <c r="M221" s="1115"/>
      <c r="N221" s="1378"/>
      <c r="O221" s="1464"/>
      <c r="P221" s="1464"/>
      <c r="Q221" s="1024"/>
      <c r="R221" s="1465"/>
      <c r="S221" s="984"/>
      <c r="T221" s="984"/>
      <c r="U221" s="984"/>
      <c r="V221" s="984"/>
      <c r="W221" s="1466"/>
      <c r="X221" s="984"/>
      <c r="Y221" s="1118"/>
      <c r="Z221" s="1141"/>
      <c r="AA221" s="599"/>
      <c r="AB221" s="599"/>
      <c r="AC221" s="1464"/>
      <c r="AD221" s="984"/>
      <c r="AE221" s="599"/>
      <c r="AF221" s="599"/>
    </row>
    <row r="222" spans="1:32" ht="80.25" customHeight="1">
      <c r="A222" s="311">
        <v>9</v>
      </c>
      <c r="B222" s="446" t="s">
        <v>3769</v>
      </c>
      <c r="C222" s="599" t="s">
        <v>1951</v>
      </c>
      <c r="D222" s="1076" t="s">
        <v>1952</v>
      </c>
      <c r="E222" s="599"/>
      <c r="F222" s="1141">
        <v>980000</v>
      </c>
      <c r="G222" s="599"/>
      <c r="H222" s="601">
        <v>980000</v>
      </c>
      <c r="I222" s="984"/>
      <c r="J222" s="1467">
        <v>980000</v>
      </c>
      <c r="K222" s="1027"/>
      <c r="L222" s="1050" t="s">
        <v>401</v>
      </c>
      <c r="M222" s="1468" t="s">
        <v>3770</v>
      </c>
      <c r="N222" s="1171" t="s">
        <v>1953</v>
      </c>
      <c r="O222" s="1469">
        <v>940800</v>
      </c>
      <c r="P222" s="1455">
        <v>940800</v>
      </c>
      <c r="Q222" s="580"/>
      <c r="R222" s="1455">
        <v>940800</v>
      </c>
      <c r="S222" s="1027"/>
      <c r="T222" s="599"/>
      <c r="U222" s="599"/>
      <c r="V222" s="599"/>
      <c r="W222" s="599"/>
      <c r="X222" s="599"/>
      <c r="Y222" s="599"/>
      <c r="Z222" s="599"/>
      <c r="AA222" s="599"/>
      <c r="AB222" s="599"/>
      <c r="AC222" s="1464"/>
      <c r="AD222" s="984"/>
      <c r="AE222" s="599"/>
      <c r="AF222" s="599"/>
    </row>
    <row r="223" spans="1:32" ht="50.25" customHeight="1">
      <c r="A223" s="1081"/>
      <c r="B223" s="2586" t="s">
        <v>3771</v>
      </c>
      <c r="C223" s="741" t="s">
        <v>1954</v>
      </c>
      <c r="D223" s="1083" t="s">
        <v>1955</v>
      </c>
      <c r="E223" s="741" t="s">
        <v>1956</v>
      </c>
      <c r="F223" s="1305" t="s">
        <v>1957</v>
      </c>
      <c r="G223" s="741"/>
      <c r="H223" s="1124">
        <v>859321.75</v>
      </c>
      <c r="I223" s="997" t="s">
        <v>1958</v>
      </c>
      <c r="J223" s="1470" t="s">
        <v>1959</v>
      </c>
      <c r="K223" s="1470"/>
      <c r="L223" s="1470"/>
      <c r="M223" s="1076" t="s">
        <v>1960</v>
      </c>
      <c r="N223" s="1115" t="s">
        <v>1961</v>
      </c>
      <c r="O223" s="1455" t="s">
        <v>1962</v>
      </c>
      <c r="P223" s="2603" t="s">
        <v>1963</v>
      </c>
      <c r="Q223" s="2603"/>
      <c r="R223" s="1460" t="s">
        <v>1964</v>
      </c>
      <c r="S223" s="984"/>
      <c r="T223" s="984"/>
      <c r="U223" s="922" t="s">
        <v>1965</v>
      </c>
      <c r="V223" s="984"/>
      <c r="W223" s="984"/>
      <c r="X223" s="984"/>
      <c r="Y223" s="599"/>
      <c r="Z223" s="599"/>
      <c r="AA223" s="599"/>
      <c r="AB223" s="599"/>
      <c r="AC223" s="1464"/>
      <c r="AD223" s="984"/>
      <c r="AE223" s="599"/>
      <c r="AF223" s="599"/>
    </row>
    <row r="224" spans="1:32" ht="54" customHeight="1">
      <c r="A224" s="1081"/>
      <c r="B224" s="2586"/>
      <c r="C224" s="741" t="s">
        <v>3772</v>
      </c>
      <c r="D224" s="822" t="s">
        <v>1966</v>
      </c>
      <c r="E224" s="741" t="s">
        <v>1967</v>
      </c>
      <c r="F224" s="1305">
        <v>618000</v>
      </c>
      <c r="G224" s="741"/>
      <c r="H224" s="1305"/>
      <c r="I224" s="997"/>
      <c r="J224" s="1470"/>
      <c r="K224" s="1470"/>
      <c r="L224" s="1470"/>
      <c r="M224" s="1076"/>
      <c r="N224" s="1115"/>
      <c r="O224" s="1464"/>
      <c r="P224" s="1464"/>
      <c r="Q224" s="1024"/>
      <c r="R224" s="1465"/>
      <c r="S224" s="984"/>
      <c r="T224" s="984"/>
      <c r="U224" s="984"/>
      <c r="V224" s="984"/>
      <c r="W224" s="984"/>
      <c r="X224" s="984"/>
      <c r="Y224" s="599"/>
      <c r="Z224" s="599"/>
      <c r="AA224" s="599"/>
      <c r="AB224" s="599"/>
      <c r="AC224" s="1464"/>
      <c r="AD224" s="984"/>
      <c r="AE224" s="599"/>
      <c r="AF224" s="599"/>
    </row>
    <row r="225" spans="1:34" ht="27.75" customHeight="1">
      <c r="A225" s="1081"/>
      <c r="B225" s="2586"/>
      <c r="C225" s="741" t="s">
        <v>3773</v>
      </c>
      <c r="D225" s="822" t="s">
        <v>1968</v>
      </c>
      <c r="E225" s="741" t="s">
        <v>1969</v>
      </c>
      <c r="F225" s="1305"/>
      <c r="G225" s="741"/>
      <c r="H225" s="1305"/>
      <c r="I225" s="997"/>
      <c r="J225" s="1470"/>
      <c r="K225" s="1470"/>
      <c r="L225" s="1470"/>
      <c r="M225" s="1076"/>
      <c r="N225" s="1115"/>
      <c r="O225" s="1464"/>
      <c r="P225" s="1464"/>
      <c r="Q225" s="1024"/>
      <c r="R225" s="1465"/>
      <c r="S225" s="984"/>
      <c r="T225" s="984"/>
      <c r="U225" s="984"/>
      <c r="V225" s="984"/>
      <c r="W225" s="984"/>
      <c r="X225" s="984"/>
      <c r="Y225" s="599"/>
      <c r="Z225" s="599"/>
      <c r="AA225" s="599"/>
      <c r="AB225" s="599"/>
      <c r="AC225" s="1464"/>
      <c r="AD225" s="984"/>
      <c r="AE225" s="599"/>
      <c r="AF225" s="599"/>
    </row>
    <row r="226" spans="1:34" ht="67.5" customHeight="1">
      <c r="A226" s="1081"/>
      <c r="B226" s="1393" t="s">
        <v>3774</v>
      </c>
      <c r="C226" s="741" t="s">
        <v>1970</v>
      </c>
      <c r="D226" s="822" t="s">
        <v>1971</v>
      </c>
      <c r="E226" s="741" t="s">
        <v>1967</v>
      </c>
      <c r="F226" s="1305">
        <v>84941.04</v>
      </c>
      <c r="G226" s="741"/>
      <c r="H226" s="1124">
        <v>25482.31</v>
      </c>
      <c r="I226" s="997" t="s">
        <v>1972</v>
      </c>
      <c r="J226" s="1305">
        <v>84941.04</v>
      </c>
      <c r="K226" s="1470"/>
      <c r="L226" s="594" t="s">
        <v>401</v>
      </c>
      <c r="M226" s="1050"/>
      <c r="N226" s="1131"/>
      <c r="O226" s="1464"/>
      <c r="P226" s="1464"/>
      <c r="Q226" s="1024"/>
      <c r="R226" s="1465"/>
      <c r="S226" s="984"/>
      <c r="T226" s="984"/>
      <c r="U226" s="984"/>
      <c r="V226" s="984"/>
      <c r="W226" s="984"/>
      <c r="X226" s="984"/>
      <c r="Y226" s="599"/>
      <c r="Z226" s="599"/>
      <c r="AA226" s="599"/>
      <c r="AB226" s="599"/>
      <c r="AC226" s="1464"/>
      <c r="AD226" s="984"/>
      <c r="AE226" s="599"/>
      <c r="AF226" s="599"/>
    </row>
    <row r="227" spans="1:34" ht="57" customHeight="1">
      <c r="A227" s="1227"/>
      <c r="B227" s="1339" t="s">
        <v>3775</v>
      </c>
      <c r="C227" s="843" t="s">
        <v>3776</v>
      </c>
      <c r="D227" s="822" t="s">
        <v>1973</v>
      </c>
      <c r="E227" s="741" t="s">
        <v>1974</v>
      </c>
      <c r="F227" s="1305">
        <v>185000</v>
      </c>
      <c r="G227" s="1124">
        <v>116800</v>
      </c>
      <c r="H227" s="1124">
        <v>116800</v>
      </c>
      <c r="I227" s="997"/>
      <c r="J227" s="1471">
        <v>185000</v>
      </c>
      <c r="K227" s="1472"/>
      <c r="L227" s="594" t="s">
        <v>401</v>
      </c>
      <c r="M227" s="1076"/>
      <c r="N227" s="594"/>
      <c r="O227" s="1473"/>
      <c r="P227" s="1464"/>
      <c r="Q227" s="1024"/>
      <c r="R227" s="1465"/>
      <c r="S227" s="984"/>
      <c r="T227" s="984"/>
      <c r="U227" s="984"/>
      <c r="V227" s="984"/>
      <c r="W227" s="984"/>
      <c r="X227" s="984"/>
      <c r="Y227" s="599"/>
      <c r="Z227" s="599"/>
      <c r="AA227" s="599"/>
      <c r="AB227" s="599"/>
      <c r="AC227" s="1464"/>
      <c r="AD227" s="984"/>
      <c r="AE227" s="599"/>
      <c r="AF227" s="984"/>
      <c r="AG227" s="599"/>
      <c r="AH227" s="599"/>
    </row>
    <row r="228" spans="1:34" ht="39" customHeight="1">
      <c r="A228" s="1227"/>
      <c r="B228" s="446" t="s">
        <v>3777</v>
      </c>
      <c r="C228" s="843" t="s">
        <v>1975</v>
      </c>
      <c r="D228" s="1083" t="s">
        <v>1976</v>
      </c>
      <c r="E228" s="741" t="s">
        <v>1977</v>
      </c>
      <c r="F228" s="741">
        <v>196000</v>
      </c>
      <c r="G228" s="741"/>
      <c r="H228" s="1474">
        <v>196000</v>
      </c>
      <c r="I228" s="997"/>
      <c r="J228" s="1016">
        <v>196000</v>
      </c>
      <c r="K228" s="1475"/>
      <c r="L228" s="594" t="s">
        <v>401</v>
      </c>
      <c r="M228" s="1070"/>
      <c r="N228" s="1476"/>
      <c r="O228" s="1464"/>
      <c r="P228" s="1464"/>
      <c r="Q228" s="1024"/>
      <c r="R228" s="1465"/>
      <c r="S228" s="984"/>
      <c r="T228" s="984"/>
      <c r="U228" s="984"/>
      <c r="V228" s="984"/>
      <c r="W228" s="984"/>
      <c r="X228" s="984"/>
      <c r="Y228" s="599"/>
      <c r="Z228" s="599"/>
      <c r="AA228" s="599"/>
      <c r="AB228" s="599"/>
      <c r="AC228" s="1464"/>
      <c r="AD228" s="984"/>
      <c r="AE228" s="599"/>
      <c r="AF228" s="984"/>
      <c r="AG228" s="599"/>
      <c r="AH228" s="599"/>
    </row>
    <row r="229" spans="1:34" ht="39.75" customHeight="1">
      <c r="A229" s="1227"/>
      <c r="B229" s="446" t="s">
        <v>3778</v>
      </c>
      <c r="C229" s="843" t="s">
        <v>1978</v>
      </c>
      <c r="D229" s="822" t="s">
        <v>1979</v>
      </c>
      <c r="E229" s="741"/>
      <c r="F229" s="1477" t="s">
        <v>3779</v>
      </c>
      <c r="G229" s="741"/>
      <c r="H229" s="741"/>
      <c r="I229" s="741"/>
      <c r="J229" s="1478"/>
      <c r="K229" s="1362"/>
      <c r="L229" s="1050"/>
      <c r="M229" s="594"/>
      <c r="N229" s="1378"/>
      <c r="O229" s="1464"/>
      <c r="P229" s="1464"/>
      <c r="Q229" s="1024"/>
      <c r="R229" s="1465"/>
      <c r="S229" s="984"/>
      <c r="T229" s="984"/>
      <c r="U229" s="984"/>
      <c r="V229" s="984"/>
      <c r="W229" s="984"/>
      <c r="X229" s="984"/>
      <c r="Y229" s="599"/>
      <c r="Z229" s="599"/>
      <c r="AA229" s="599"/>
      <c r="AB229" s="599"/>
      <c r="AC229" s="1464"/>
      <c r="AD229" s="984"/>
      <c r="AE229" s="599"/>
      <c r="AF229" s="984"/>
      <c r="AG229" s="599"/>
      <c r="AH229" s="599"/>
    </row>
    <row r="230" spans="1:34" ht="63" customHeight="1">
      <c r="A230" s="2568"/>
      <c r="B230" s="2604" t="s">
        <v>3780</v>
      </c>
      <c r="C230" s="2588" t="s">
        <v>1980</v>
      </c>
      <c r="D230" s="2605" t="s">
        <v>3781</v>
      </c>
      <c r="E230" s="2542"/>
      <c r="F230" s="2584">
        <v>720000</v>
      </c>
      <c r="G230" s="2584">
        <v>432000</v>
      </c>
      <c r="H230" s="2606" t="s">
        <v>1981</v>
      </c>
      <c r="I230" s="2607" t="s">
        <v>1982</v>
      </c>
      <c r="J230" s="2608">
        <f>624000+96000</f>
        <v>720000</v>
      </c>
      <c r="K230" s="2609"/>
      <c r="L230" s="2610" t="s">
        <v>401</v>
      </c>
      <c r="M230" s="594" t="s">
        <v>3782</v>
      </c>
      <c r="N230" s="1414" t="s">
        <v>3783</v>
      </c>
      <c r="O230" s="1469">
        <v>200000</v>
      </c>
      <c r="P230" s="1455"/>
      <c r="Q230" s="1415">
        <v>200000</v>
      </c>
      <c r="R230" s="1415">
        <v>200000</v>
      </c>
      <c r="S230" s="1377">
        <v>41920</v>
      </c>
      <c r="T230" s="984"/>
      <c r="U230" s="984"/>
      <c r="V230" s="984"/>
      <c r="W230" s="984"/>
      <c r="X230" s="984"/>
      <c r="Y230" s="599"/>
      <c r="Z230" s="599"/>
      <c r="AA230" s="599"/>
      <c r="AB230" s="599"/>
      <c r="AC230" s="1464"/>
      <c r="AD230" s="984"/>
      <c r="AE230" s="599"/>
      <c r="AF230" s="984"/>
      <c r="AG230" s="599"/>
      <c r="AH230" s="599"/>
    </row>
    <row r="231" spans="1:34" ht="90" customHeight="1">
      <c r="A231" s="2568"/>
      <c r="B231" s="2604"/>
      <c r="C231" s="2588"/>
      <c r="D231" s="2605"/>
      <c r="E231" s="2542"/>
      <c r="F231" s="2584"/>
      <c r="G231" s="2584"/>
      <c r="H231" s="2606"/>
      <c r="I231" s="2607"/>
      <c r="J231" s="2608"/>
      <c r="K231" s="2609"/>
      <c r="L231" s="2610"/>
      <c r="M231" s="1050" t="s">
        <v>1983</v>
      </c>
      <c r="N231" s="1131" t="s">
        <v>3784</v>
      </c>
      <c r="O231" s="1415">
        <v>180000</v>
      </c>
      <c r="P231" s="1415"/>
      <c r="Q231" s="1415" t="s">
        <v>1984</v>
      </c>
      <c r="R231" s="1415">
        <v>180000</v>
      </c>
      <c r="S231" s="1377">
        <v>42016</v>
      </c>
      <c r="T231" s="984"/>
      <c r="U231" s="1080"/>
      <c r="V231" s="984"/>
      <c r="W231" s="984"/>
      <c r="X231" s="984"/>
      <c r="Y231" s="599"/>
      <c r="Z231" s="599"/>
      <c r="AA231" s="599"/>
      <c r="AB231" s="599"/>
      <c r="AC231" s="1464"/>
      <c r="AD231" s="984"/>
      <c r="AE231" s="599"/>
      <c r="AF231" s="984"/>
      <c r="AG231" s="599"/>
      <c r="AH231" s="599"/>
    </row>
    <row r="232" spans="1:34" ht="52.5" customHeight="1">
      <c r="A232" s="2568"/>
      <c r="B232" s="2604"/>
      <c r="C232" s="2588"/>
      <c r="D232" s="2605"/>
      <c r="E232" s="2542"/>
      <c r="F232" s="2584"/>
      <c r="G232" s="2584"/>
      <c r="H232" s="2606"/>
      <c r="I232" s="2607"/>
      <c r="J232" s="2608"/>
      <c r="K232" s="1479"/>
      <c r="L232" s="310"/>
      <c r="M232" s="594" t="s">
        <v>3785</v>
      </c>
      <c r="N232" s="1414" t="s">
        <v>3786</v>
      </c>
      <c r="O232" s="1480">
        <v>290000</v>
      </c>
      <c r="P232" s="1455"/>
      <c r="Q232" s="1455">
        <v>290000</v>
      </c>
      <c r="R232" s="1481">
        <v>290000</v>
      </c>
      <c r="S232" s="1377">
        <v>41899</v>
      </c>
      <c r="T232" s="1052"/>
      <c r="U232" s="1052"/>
      <c r="V232" s="984"/>
      <c r="W232" s="984"/>
      <c r="X232" s="984"/>
      <c r="Y232" s="599"/>
      <c r="Z232" s="599"/>
      <c r="AA232" s="599"/>
      <c r="AB232" s="599"/>
      <c r="AC232" s="1464"/>
      <c r="AD232" s="984"/>
      <c r="AE232" s="599"/>
      <c r="AF232" s="1482">
        <v>290000</v>
      </c>
      <c r="AG232" s="599"/>
      <c r="AH232" s="599"/>
    </row>
    <row r="233" spans="1:34" ht="51.75" customHeight="1">
      <c r="A233" s="1081"/>
      <c r="B233" s="822" t="s">
        <v>3787</v>
      </c>
      <c r="C233" s="741" t="s">
        <v>1985</v>
      </c>
      <c r="D233" s="1083" t="s">
        <v>1986</v>
      </c>
      <c r="E233" s="741" t="s">
        <v>1987</v>
      </c>
      <c r="F233" s="741">
        <v>240000</v>
      </c>
      <c r="G233" s="741">
        <v>120000</v>
      </c>
      <c r="H233" s="741">
        <v>120000</v>
      </c>
      <c r="I233" s="741"/>
      <c r="J233" s="1050">
        <v>240000</v>
      </c>
      <c r="K233" s="1362" t="s">
        <v>1988</v>
      </c>
      <c r="L233" s="1070" t="s">
        <v>401</v>
      </c>
      <c r="M233" s="594" t="s">
        <v>3788</v>
      </c>
      <c r="N233" s="1414" t="s">
        <v>3789</v>
      </c>
      <c r="O233" s="1469">
        <v>200000</v>
      </c>
      <c r="P233" s="1455"/>
      <c r="Q233" s="922"/>
      <c r="R233" s="1431">
        <v>200000</v>
      </c>
      <c r="S233" s="1317" t="s">
        <v>1989</v>
      </c>
      <c r="T233" s="984"/>
      <c r="U233" s="984"/>
      <c r="V233" s="984"/>
      <c r="W233" s="984"/>
      <c r="X233" s="984"/>
      <c r="Y233" s="599"/>
      <c r="Z233" s="599"/>
      <c r="AA233" s="599"/>
      <c r="AB233" s="599"/>
      <c r="AC233" s="1464"/>
      <c r="AD233" s="984"/>
      <c r="AE233" s="599"/>
      <c r="AF233" s="984"/>
      <c r="AG233" s="599"/>
      <c r="AH233" s="599"/>
    </row>
    <row r="234" spans="1:34" ht="73.5" customHeight="1">
      <c r="A234" s="1081"/>
      <c r="B234" s="1393" t="s">
        <v>3790</v>
      </c>
      <c r="C234" s="741" t="s">
        <v>1990</v>
      </c>
      <c r="D234" s="1083" t="s">
        <v>1991</v>
      </c>
      <c r="E234" s="741" t="s">
        <v>1992</v>
      </c>
      <c r="F234" s="1305">
        <v>831009.18</v>
      </c>
      <c r="G234" s="741"/>
      <c r="H234" s="1305">
        <v>831009.18</v>
      </c>
      <c r="I234" s="997"/>
      <c r="J234" s="1241">
        <v>831009.18</v>
      </c>
      <c r="K234" s="1483"/>
      <c r="L234" s="310" t="s">
        <v>401</v>
      </c>
      <c r="M234" s="1050"/>
      <c r="N234" s="1131"/>
      <c r="O234" s="578"/>
      <c r="P234" s="578"/>
      <c r="Q234" s="1053"/>
      <c r="R234" s="578"/>
      <c r="S234" s="1007"/>
      <c r="T234" s="984"/>
      <c r="U234" s="984"/>
      <c r="V234" s="984"/>
      <c r="W234" s="984"/>
      <c r="X234" s="984"/>
      <c r="Y234" s="599"/>
      <c r="Z234" s="599"/>
      <c r="AA234" s="599"/>
      <c r="AB234" s="599"/>
      <c r="AC234" s="1464"/>
      <c r="AD234" s="984"/>
      <c r="AE234" s="599"/>
      <c r="AF234" s="984"/>
      <c r="AG234" s="599"/>
      <c r="AH234" s="599"/>
    </row>
    <row r="235" spans="1:34" ht="93" customHeight="1">
      <c r="A235" s="1227"/>
      <c r="B235" s="1484" t="s">
        <v>3791</v>
      </c>
      <c r="C235" s="599" t="s">
        <v>1993</v>
      </c>
      <c r="D235" s="1076" t="s">
        <v>1994</v>
      </c>
      <c r="E235" s="741" t="s">
        <v>1995</v>
      </c>
      <c r="F235" s="1305">
        <v>300000</v>
      </c>
      <c r="G235" s="741">
        <v>200000</v>
      </c>
      <c r="H235" s="741">
        <v>200000</v>
      </c>
      <c r="I235" s="599" t="s">
        <v>1996</v>
      </c>
      <c r="J235" s="310">
        <v>300000</v>
      </c>
      <c r="K235" s="1485">
        <v>42173</v>
      </c>
      <c r="L235" s="1070" t="s">
        <v>401</v>
      </c>
      <c r="M235" s="594"/>
      <c r="N235" s="594"/>
      <c r="O235" s="1473"/>
      <c r="P235" s="1464"/>
      <c r="Q235" s="1024"/>
      <c r="R235" s="1465"/>
      <c r="S235" s="984"/>
      <c r="T235" s="984"/>
      <c r="U235" s="984"/>
      <c r="V235" s="984"/>
      <c r="W235" s="984"/>
      <c r="X235" s="984"/>
      <c r="Y235" s="599"/>
      <c r="Z235" s="599"/>
      <c r="AA235" s="599"/>
      <c r="AB235" s="599"/>
      <c r="AC235" s="1465"/>
      <c r="AD235" s="984"/>
      <c r="AE235" s="599"/>
      <c r="AF235" s="984"/>
      <c r="AG235" s="599"/>
      <c r="AH235" s="599"/>
    </row>
    <row r="236" spans="1:34" ht="65.25" customHeight="1">
      <c r="A236" s="741"/>
      <c r="B236" s="606" t="s">
        <v>3792</v>
      </c>
      <c r="C236" s="899" t="s">
        <v>1997</v>
      </c>
      <c r="D236" s="1486" t="s">
        <v>1998</v>
      </c>
      <c r="E236" s="741"/>
      <c r="F236" s="1487">
        <v>904000</v>
      </c>
      <c r="G236" s="1369"/>
      <c r="H236" s="741" t="s">
        <v>1999</v>
      </c>
      <c r="I236" s="899"/>
      <c r="J236" s="1202">
        <f>173789.68+692145.82+38064.51</f>
        <v>904000.01</v>
      </c>
      <c r="K236" s="1488"/>
      <c r="L236" s="1397" t="s">
        <v>401</v>
      </c>
      <c r="M236" s="594" t="s">
        <v>3793</v>
      </c>
      <c r="N236" s="1414" t="s">
        <v>3789</v>
      </c>
      <c r="O236" s="1469">
        <v>640000</v>
      </c>
      <c r="P236" s="599"/>
      <c r="Q236" s="1489" t="s">
        <v>2000</v>
      </c>
      <c r="R236" s="1489">
        <v>640000</v>
      </c>
      <c r="S236" s="1052" t="s">
        <v>3794</v>
      </c>
      <c r="T236" s="1359"/>
      <c r="U236" s="984"/>
      <c r="V236" s="1372"/>
      <c r="W236" s="594"/>
      <c r="X236" s="1352"/>
      <c r="Y236" s="1353"/>
      <c r="Z236" s="580"/>
      <c r="AA236" s="1428"/>
      <c r="AB236" s="993">
        <f>AB348-AB331</f>
        <v>-2080000</v>
      </c>
      <c r="AC236" s="1490"/>
      <c r="AD236" s="984"/>
      <c r="AE236" s="599"/>
      <c r="AF236" s="984"/>
      <c r="AG236" s="599"/>
      <c r="AH236" s="599"/>
    </row>
    <row r="237" spans="1:34" ht="85.5" customHeight="1">
      <c r="A237" s="1081">
        <v>9</v>
      </c>
      <c r="B237" s="822" t="s">
        <v>3795</v>
      </c>
      <c r="C237" s="741" t="s">
        <v>1951</v>
      </c>
      <c r="D237" s="1076" t="s">
        <v>2001</v>
      </c>
      <c r="E237" s="599"/>
      <c r="F237" s="1141">
        <v>500000</v>
      </c>
      <c r="G237" s="599"/>
      <c r="H237" s="601"/>
      <c r="I237" s="1141">
        <v>500000</v>
      </c>
      <c r="J237" s="1491">
        <v>500000</v>
      </c>
      <c r="K237" s="1492"/>
      <c r="L237" s="594" t="s">
        <v>401</v>
      </c>
      <c r="M237" s="1131" t="s">
        <v>3796</v>
      </c>
      <c r="N237" s="1172" t="s">
        <v>1953</v>
      </c>
      <c r="O237" s="1493">
        <v>480000</v>
      </c>
      <c r="P237" s="1455"/>
      <c r="Q237" s="1455">
        <v>480000</v>
      </c>
      <c r="R237" s="1494">
        <v>480000</v>
      </c>
      <c r="S237" s="1047" t="s">
        <v>2002</v>
      </c>
      <c r="T237" s="599"/>
      <c r="U237" s="599"/>
      <c r="V237" s="599"/>
      <c r="W237" s="599"/>
      <c r="X237" s="599"/>
      <c r="Y237" s="599"/>
      <c r="Z237" s="599"/>
      <c r="AA237" s="599"/>
      <c r="AB237" s="599"/>
      <c r="AC237" s="1464"/>
      <c r="AD237" s="984"/>
      <c r="AE237" s="599"/>
      <c r="AF237" s="984"/>
      <c r="AG237" s="599"/>
      <c r="AH237" s="599"/>
    </row>
    <row r="238" spans="1:34" ht="40.5" customHeight="1">
      <c r="A238" s="1081"/>
      <c r="B238" s="822" t="s">
        <v>2003</v>
      </c>
      <c r="C238" s="741" t="s">
        <v>2004</v>
      </c>
      <c r="D238" s="1304" t="s">
        <v>2005</v>
      </c>
      <c r="E238" s="741"/>
      <c r="F238" s="1305">
        <v>424000</v>
      </c>
      <c r="G238" s="741"/>
      <c r="H238" s="1124"/>
      <c r="I238" s="1495"/>
      <c r="J238" s="1495" t="s">
        <v>2006</v>
      </c>
      <c r="K238" s="1470"/>
      <c r="L238" s="1115" t="s">
        <v>401</v>
      </c>
      <c r="M238" s="1496"/>
      <c r="N238" s="1050"/>
      <c r="O238" s="1494"/>
      <c r="P238" s="1497"/>
      <c r="Q238" s="1460"/>
      <c r="R238" s="1498"/>
      <c r="S238" s="1224"/>
      <c r="T238" s="1042"/>
      <c r="U238" s="984"/>
      <c r="V238" s="984"/>
      <c r="W238" s="984"/>
      <c r="X238" s="984"/>
      <c r="Y238" s="599"/>
      <c r="Z238" s="599"/>
      <c r="AA238" s="599"/>
      <c r="AB238" s="599"/>
      <c r="AC238" s="1464"/>
      <c r="AD238" s="984"/>
      <c r="AE238" s="599"/>
      <c r="AF238" s="984"/>
      <c r="AG238" s="599"/>
      <c r="AH238" s="599"/>
    </row>
    <row r="239" spans="1:34" s="1506" customFormat="1" ht="68.25" customHeight="1">
      <c r="A239" s="311"/>
      <c r="B239" s="594" t="s">
        <v>3797</v>
      </c>
      <c r="C239" s="1006" t="s">
        <v>2007</v>
      </c>
      <c r="D239" s="1468" t="s">
        <v>2008</v>
      </c>
      <c r="E239" s="1064"/>
      <c r="F239" s="1379">
        <v>243000</v>
      </c>
      <c r="G239" s="1064"/>
      <c r="H239" s="1289">
        <f>138000+90000</f>
        <v>228000</v>
      </c>
      <c r="I239" s="1140"/>
      <c r="J239" s="1359">
        <f>228000+15000</f>
        <v>243000</v>
      </c>
      <c r="K239" s="1470"/>
      <c r="L239" s="1115" t="s">
        <v>401</v>
      </c>
      <c r="M239" s="594" t="s">
        <v>2009</v>
      </c>
      <c r="N239" s="594" t="s">
        <v>2010</v>
      </c>
      <c r="O239" s="1499" t="s">
        <v>2011</v>
      </c>
      <c r="P239" s="1500"/>
      <c r="Q239" s="1501"/>
      <c r="R239" s="1499"/>
      <c r="S239" s="1502"/>
      <c r="T239" s="1503"/>
      <c r="U239" s="1504"/>
      <c r="V239" s="1504"/>
      <c r="W239" s="1504"/>
      <c r="X239" s="1504"/>
      <c r="Y239" s="1505"/>
      <c r="Z239" s="1505"/>
      <c r="AA239" s="1505"/>
      <c r="AB239" s="1505"/>
      <c r="AC239" s="1499"/>
      <c r="AD239" s="1504"/>
      <c r="AE239" s="1505"/>
      <c r="AF239" s="1504"/>
      <c r="AG239" s="1505"/>
      <c r="AH239" s="1505"/>
    </row>
    <row r="240" spans="1:34" ht="85.5" customHeight="1">
      <c r="A240" s="1213"/>
      <c r="B240" s="1507" t="s">
        <v>3798</v>
      </c>
      <c r="C240" s="1197" t="s">
        <v>2012</v>
      </c>
      <c r="D240" s="1083" t="s">
        <v>2013</v>
      </c>
      <c r="E240" s="741" t="s">
        <v>1974</v>
      </c>
      <c r="F240" s="1305">
        <v>120000</v>
      </c>
      <c r="G240" s="1124">
        <v>84000</v>
      </c>
      <c r="H240" s="1124">
        <v>84000</v>
      </c>
      <c r="I240" s="1408"/>
      <c r="J240" s="1508">
        <v>120000</v>
      </c>
      <c r="K240" s="1470"/>
      <c r="L240" s="1115" t="s">
        <v>401</v>
      </c>
      <c r="M240" s="1070"/>
      <c r="N240" s="1062"/>
      <c r="O240" s="1509"/>
      <c r="P240" s="1464"/>
      <c r="Q240" s="1024"/>
      <c r="R240" s="1510"/>
      <c r="S240" s="1408"/>
      <c r="T240" s="984"/>
      <c r="U240" s="984"/>
      <c r="V240" s="984"/>
      <c r="W240" s="984"/>
      <c r="X240" s="984"/>
      <c r="Y240" s="599"/>
      <c r="Z240" s="599"/>
      <c r="AA240" s="599"/>
      <c r="AB240" s="599"/>
      <c r="AC240" s="1464"/>
      <c r="AD240" s="984"/>
      <c r="AE240" s="599"/>
      <c r="AF240" s="984"/>
      <c r="AG240" s="599"/>
      <c r="AH240" s="599"/>
    </row>
    <row r="241" spans="1:34" ht="53.25" customHeight="1">
      <c r="A241" s="2690"/>
      <c r="B241" s="2558" t="s">
        <v>3799</v>
      </c>
      <c r="C241" s="2542" t="s">
        <v>2014</v>
      </c>
      <c r="D241" s="2598" t="s">
        <v>2015</v>
      </c>
      <c r="E241" s="2542" t="s">
        <v>2016</v>
      </c>
      <c r="F241" s="2595">
        <v>2347105.75</v>
      </c>
      <c r="G241" s="2544">
        <v>566613.94999999995</v>
      </c>
      <c r="H241" s="2599">
        <v>566613.94999999995</v>
      </c>
      <c r="I241" s="2574" t="s">
        <v>3800</v>
      </c>
      <c r="J241" s="2559">
        <v>944356.58</v>
      </c>
      <c r="K241" s="2593" t="s">
        <v>2017</v>
      </c>
      <c r="L241" s="2583" t="s">
        <v>2018</v>
      </c>
      <c r="M241" s="922" t="s">
        <v>3801</v>
      </c>
      <c r="N241" s="1171" t="s">
        <v>2019</v>
      </c>
      <c r="O241" s="1481">
        <v>590000</v>
      </c>
      <c r="P241" s="1497"/>
      <c r="Q241" s="922">
        <v>590000</v>
      </c>
      <c r="R241" s="922">
        <v>590000</v>
      </c>
      <c r="S241" s="1094">
        <v>41996</v>
      </c>
      <c r="T241" s="1042"/>
      <c r="U241" s="1465"/>
      <c r="V241" s="984"/>
      <c r="W241" s="984"/>
      <c r="X241" s="984"/>
      <c r="Y241" s="984"/>
      <c r="Z241" s="599"/>
      <c r="AA241" s="599"/>
      <c r="AB241" s="599"/>
      <c r="AC241" s="1464"/>
      <c r="AD241" s="984"/>
      <c r="AE241" s="599"/>
      <c r="AF241" s="984"/>
      <c r="AG241" s="599"/>
      <c r="AH241" s="599"/>
    </row>
    <row r="242" spans="1:34" ht="54" customHeight="1">
      <c r="A242" s="2690"/>
      <c r="B242" s="2558"/>
      <c r="C242" s="2542"/>
      <c r="D242" s="2598"/>
      <c r="E242" s="2542"/>
      <c r="F242" s="2595"/>
      <c r="G242" s="2544"/>
      <c r="H242" s="2599"/>
      <c r="I242" s="2574"/>
      <c r="J242" s="2559"/>
      <c r="K242" s="2593"/>
      <c r="L242" s="2583"/>
      <c r="M242" s="446" t="s">
        <v>3802</v>
      </c>
      <c r="N242" s="1511" t="s">
        <v>2020</v>
      </c>
      <c r="O242" s="1512">
        <v>1400000</v>
      </c>
      <c r="P242" s="1455"/>
      <c r="Q242" s="1460">
        <v>1400000</v>
      </c>
      <c r="R242" s="1460">
        <v>1400000</v>
      </c>
      <c r="S242" s="1513">
        <v>42003</v>
      </c>
      <c r="T242" s="1042"/>
      <c r="U242" s="984"/>
      <c r="V242" s="984"/>
      <c r="W242" s="984"/>
      <c r="X242" s="984"/>
      <c r="Y242" s="984"/>
      <c r="Z242" s="599"/>
      <c r="AA242" s="599"/>
      <c r="AB242" s="599"/>
      <c r="AC242" s="1464"/>
      <c r="AD242" s="984"/>
      <c r="AE242" s="599"/>
      <c r="AF242" s="984"/>
      <c r="AG242" s="599"/>
      <c r="AH242" s="599"/>
    </row>
    <row r="243" spans="1:34" ht="41.25" customHeight="1">
      <c r="A243" s="1081"/>
      <c r="B243" s="822" t="s">
        <v>3803</v>
      </c>
      <c r="C243" s="741" t="s">
        <v>2021</v>
      </c>
      <c r="D243" s="1083" t="s">
        <v>2022</v>
      </c>
      <c r="E243" s="741" t="s">
        <v>2023</v>
      </c>
      <c r="F243" s="1124">
        <v>120000</v>
      </c>
      <c r="G243" s="741">
        <v>84000</v>
      </c>
      <c r="H243" s="1124"/>
      <c r="I243" s="1408"/>
      <c r="J243" s="1200">
        <v>120000</v>
      </c>
      <c r="K243" s="1472"/>
      <c r="L243" s="1514" t="s">
        <v>401</v>
      </c>
      <c r="M243" s="624"/>
      <c r="N243" s="1115"/>
      <c r="O243" s="1455"/>
      <c r="P243" s="1455"/>
      <c r="Q243" s="1460"/>
      <c r="R243" s="1465"/>
      <c r="S243" s="1027"/>
      <c r="T243" s="1042"/>
      <c r="U243" s="984"/>
      <c r="V243" s="984"/>
      <c r="W243" s="984"/>
      <c r="X243" s="984"/>
      <c r="Y243" s="984"/>
      <c r="Z243" s="599"/>
      <c r="AA243" s="599"/>
      <c r="AB243" s="599"/>
      <c r="AC243" s="1464"/>
      <c r="AD243" s="984"/>
      <c r="AE243" s="599"/>
      <c r="AF243" s="984"/>
      <c r="AG243" s="599"/>
      <c r="AH243" s="599"/>
    </row>
    <row r="244" spans="1:34" ht="51" customHeight="1">
      <c r="A244" s="1227" t="s">
        <v>2024</v>
      </c>
      <c r="B244" s="446" t="s">
        <v>3804</v>
      </c>
      <c r="C244" s="599" t="s">
        <v>2025</v>
      </c>
      <c r="D244" s="991" t="s">
        <v>2026</v>
      </c>
      <c r="E244" s="446"/>
      <c r="F244" s="446">
        <v>640000</v>
      </c>
      <c r="G244" s="741"/>
      <c r="H244" s="446">
        <v>640000</v>
      </c>
      <c r="I244" s="997"/>
      <c r="J244" s="446">
        <v>640000</v>
      </c>
      <c r="K244" s="995" t="s">
        <v>2027</v>
      </c>
      <c r="L244" s="1514" t="s">
        <v>401</v>
      </c>
      <c r="M244" s="624"/>
      <c r="N244" s="1115"/>
      <c r="O244" s="1455"/>
      <c r="P244" s="1455"/>
      <c r="Q244" s="1460"/>
      <c r="R244" s="1465"/>
      <c r="S244" s="1027"/>
      <c r="T244" s="1042"/>
      <c r="U244" s="984"/>
      <c r="V244" s="984"/>
      <c r="W244" s="984"/>
      <c r="X244" s="984"/>
      <c r="Y244" s="984"/>
      <c r="Z244" s="599"/>
      <c r="AA244" s="599"/>
      <c r="AB244" s="599"/>
      <c r="AC244" s="1464"/>
      <c r="AD244" s="984"/>
      <c r="AE244" s="599"/>
      <c r="AF244" s="984"/>
      <c r="AG244" s="599"/>
      <c r="AH244" s="599"/>
    </row>
    <row r="245" spans="1:34" ht="38.25" customHeight="1">
      <c r="A245" s="1227" t="s">
        <v>2028</v>
      </c>
      <c r="B245" s="446" t="s">
        <v>3805</v>
      </c>
      <c r="C245" s="599" t="s">
        <v>2029</v>
      </c>
      <c r="D245" s="991" t="s">
        <v>2030</v>
      </c>
      <c r="E245" s="580"/>
      <c r="F245" s="446">
        <v>2201493.9</v>
      </c>
      <c r="G245" s="741"/>
      <c r="H245" s="580">
        <f>775000+1400000</f>
        <v>2175000</v>
      </c>
      <c r="I245" s="997"/>
      <c r="J245" s="446" t="s">
        <v>2031</v>
      </c>
      <c r="K245" s="1027">
        <f>F245-H245</f>
        <v>26493.899999999907</v>
      </c>
      <c r="L245" s="1514"/>
      <c r="M245" s="624"/>
      <c r="N245" s="1115"/>
      <c r="O245" s="1455"/>
      <c r="P245" s="1455"/>
      <c r="Q245" s="1460"/>
      <c r="R245" s="1465"/>
      <c r="S245" s="1027"/>
      <c r="T245" s="1042"/>
      <c r="U245" s="984"/>
      <c r="V245" s="984"/>
      <c r="W245" s="984"/>
      <c r="X245" s="984"/>
      <c r="Y245" s="984"/>
      <c r="Z245" s="599"/>
      <c r="AA245" s="599"/>
      <c r="AB245" s="599"/>
      <c r="AC245" s="1464"/>
      <c r="AD245" s="984"/>
      <c r="AE245" s="599"/>
      <c r="AF245" s="984"/>
      <c r="AG245" s="599"/>
      <c r="AH245" s="599"/>
    </row>
    <row r="246" spans="1:34" ht="62.25" customHeight="1">
      <c r="A246" s="1227"/>
      <c r="B246" s="446" t="s">
        <v>3806</v>
      </c>
      <c r="C246" s="599" t="s">
        <v>2032</v>
      </c>
      <c r="D246" s="983" t="s">
        <v>2033</v>
      </c>
      <c r="E246" s="446"/>
      <c r="F246" s="446">
        <v>400000</v>
      </c>
      <c r="G246" s="741"/>
      <c r="H246" s="446">
        <v>400000</v>
      </c>
      <c r="I246" s="997"/>
      <c r="J246" s="446">
        <v>400000</v>
      </c>
      <c r="K246" s="1094" t="s">
        <v>2034</v>
      </c>
      <c r="L246" s="1514" t="s">
        <v>401</v>
      </c>
      <c r="M246" s="624"/>
      <c r="N246" s="1115" t="s">
        <v>65</v>
      </c>
      <c r="O246" s="1455"/>
      <c r="P246" s="1455"/>
      <c r="Q246" s="1460"/>
      <c r="R246" s="1465"/>
      <c r="S246" s="1027"/>
      <c r="T246" s="1042"/>
      <c r="U246" s="984"/>
      <c r="V246" s="984"/>
      <c r="W246" s="984"/>
      <c r="X246" s="984"/>
      <c r="Y246" s="984"/>
      <c r="Z246" s="599"/>
      <c r="AA246" s="599"/>
      <c r="AB246" s="599"/>
      <c r="AC246" s="1464"/>
      <c r="AD246" s="984"/>
      <c r="AE246" s="599"/>
      <c r="AF246" s="984"/>
      <c r="AG246" s="599"/>
      <c r="AH246" s="599"/>
    </row>
    <row r="247" spans="1:34" ht="49.5" customHeight="1">
      <c r="A247" s="1227" t="s">
        <v>2035</v>
      </c>
      <c r="B247" s="446" t="s">
        <v>3807</v>
      </c>
      <c r="C247" s="890" t="s">
        <v>2036</v>
      </c>
      <c r="D247" s="983" t="s">
        <v>2037</v>
      </c>
      <c r="E247" s="446"/>
      <c r="F247" s="446">
        <v>200000</v>
      </c>
      <c r="G247" s="741"/>
      <c r="H247" s="446">
        <v>200000</v>
      </c>
      <c r="I247" s="997"/>
      <c r="J247" s="1054">
        <v>200000</v>
      </c>
      <c r="K247" s="577" t="s">
        <v>2038</v>
      </c>
      <c r="L247" s="1514" t="s">
        <v>401</v>
      </c>
      <c r="M247" s="624"/>
      <c r="N247" s="1115"/>
      <c r="O247" s="1455"/>
      <c r="P247" s="1455"/>
      <c r="Q247" s="1460"/>
      <c r="R247" s="1465"/>
      <c r="S247" s="1027"/>
      <c r="T247" s="1042"/>
      <c r="U247" s="984"/>
      <c r="V247" s="984"/>
      <c r="W247" s="984"/>
      <c r="X247" s="984"/>
      <c r="Y247" s="984"/>
      <c r="Z247" s="599"/>
      <c r="AA247" s="599"/>
      <c r="AB247" s="599"/>
      <c r="AC247" s="1464"/>
      <c r="AD247" s="984"/>
      <c r="AE247" s="599"/>
      <c r="AF247" s="984"/>
      <c r="AG247" s="599"/>
      <c r="AH247" s="599"/>
    </row>
    <row r="248" spans="1:34" ht="55.5" customHeight="1">
      <c r="A248" s="1227" t="s">
        <v>2039</v>
      </c>
      <c r="B248" s="446" t="s">
        <v>3808</v>
      </c>
      <c r="C248" s="599" t="s">
        <v>2040</v>
      </c>
      <c r="D248" s="983" t="s">
        <v>2041</v>
      </c>
      <c r="E248" s="446"/>
      <c r="F248" s="446">
        <v>1650000</v>
      </c>
      <c r="G248" s="741"/>
      <c r="H248" s="446">
        <v>1650000</v>
      </c>
      <c r="I248" s="997"/>
      <c r="J248" s="1515">
        <f>1201830+448170</f>
        <v>1650000</v>
      </c>
      <c r="K248" s="594" t="s">
        <v>2042</v>
      </c>
      <c r="L248" s="1514" t="s">
        <v>401</v>
      </c>
      <c r="M248" s="624"/>
      <c r="N248" s="1115"/>
      <c r="O248" s="1455"/>
      <c r="P248" s="1455"/>
      <c r="Q248" s="1460"/>
      <c r="R248" s="1465"/>
      <c r="S248" s="1027"/>
      <c r="T248" s="1042"/>
      <c r="U248" s="984"/>
      <c r="V248" s="984"/>
      <c r="W248" s="984"/>
      <c r="X248" s="984"/>
      <c r="Y248" s="984"/>
      <c r="Z248" s="599"/>
      <c r="AA248" s="599"/>
      <c r="AB248" s="599"/>
      <c r="AC248" s="1464"/>
      <c r="AD248" s="984"/>
      <c r="AE248" s="599"/>
      <c r="AF248" s="984"/>
      <c r="AG248" s="599"/>
      <c r="AH248" s="599"/>
    </row>
    <row r="249" spans="1:34" ht="50.25" customHeight="1">
      <c r="A249" s="1227" t="s">
        <v>2043</v>
      </c>
      <c r="B249" s="446" t="s">
        <v>3809</v>
      </c>
      <c r="C249" s="599" t="s">
        <v>2044</v>
      </c>
      <c r="D249" s="983" t="s">
        <v>2045</v>
      </c>
      <c r="E249" s="446"/>
      <c r="F249" s="446">
        <v>1400000</v>
      </c>
      <c r="G249" s="741"/>
      <c r="H249" s="446">
        <v>1400000</v>
      </c>
      <c r="I249" s="997"/>
      <c r="J249" s="446">
        <v>1400000</v>
      </c>
      <c r="K249" s="995" t="s">
        <v>2046</v>
      </c>
      <c r="L249" s="1514" t="s">
        <v>401</v>
      </c>
      <c r="M249" s="624"/>
      <c r="N249" s="1115"/>
      <c r="O249" s="1455"/>
      <c r="P249" s="1455"/>
      <c r="Q249" s="1460"/>
      <c r="R249" s="1465"/>
      <c r="S249" s="1027"/>
      <c r="T249" s="1042"/>
      <c r="U249" s="984"/>
      <c r="V249" s="984"/>
      <c r="W249" s="984"/>
      <c r="X249" s="984"/>
      <c r="Y249" s="984"/>
      <c r="Z249" s="599"/>
      <c r="AA249" s="599"/>
      <c r="AB249" s="599"/>
      <c r="AC249" s="1464"/>
      <c r="AD249" s="984"/>
      <c r="AE249" s="599"/>
      <c r="AF249" s="984"/>
      <c r="AG249" s="599"/>
      <c r="AH249" s="599"/>
    </row>
    <row r="250" spans="1:34" ht="38.25" customHeight="1">
      <c r="A250" s="1227" t="s">
        <v>2047</v>
      </c>
      <c r="B250" s="446" t="s">
        <v>3805</v>
      </c>
      <c r="C250" s="599" t="s">
        <v>2048</v>
      </c>
      <c r="D250" s="983" t="s">
        <v>2049</v>
      </c>
      <c r="E250" s="446"/>
      <c r="F250" s="446">
        <v>650000</v>
      </c>
      <c r="G250" s="741"/>
      <c r="H250" s="446">
        <v>650000</v>
      </c>
      <c r="I250" s="997"/>
      <c r="J250" s="1006">
        <v>650000</v>
      </c>
      <c r="K250" s="594" t="s">
        <v>2050</v>
      </c>
      <c r="L250" s="1514" t="s">
        <v>401</v>
      </c>
      <c r="M250" s="624"/>
      <c r="N250" s="1115"/>
      <c r="O250" s="1455"/>
      <c r="P250" s="1455"/>
      <c r="Q250" s="1460"/>
      <c r="R250" s="1465"/>
      <c r="S250" s="1027"/>
      <c r="T250" s="1042"/>
      <c r="U250" s="984"/>
      <c r="V250" s="984"/>
      <c r="W250" s="984"/>
      <c r="X250" s="984"/>
      <c r="Y250" s="984"/>
      <c r="Z250" s="599"/>
      <c r="AA250" s="599"/>
      <c r="AB250" s="599"/>
      <c r="AC250" s="1464"/>
      <c r="AD250" s="984"/>
      <c r="AE250" s="599"/>
      <c r="AF250" s="984"/>
      <c r="AG250" s="599"/>
      <c r="AH250" s="599"/>
    </row>
    <row r="251" spans="1:34" ht="28.5" customHeight="1">
      <c r="A251" s="1227" t="s">
        <v>2051</v>
      </c>
      <c r="B251" s="446" t="s">
        <v>3810</v>
      </c>
      <c r="C251" s="599" t="s">
        <v>2052</v>
      </c>
      <c r="D251" s="983" t="s">
        <v>2053</v>
      </c>
      <c r="E251" s="446"/>
      <c r="F251" s="446">
        <v>300000</v>
      </c>
      <c r="G251" s="741"/>
      <c r="H251" s="446">
        <v>300000</v>
      </c>
      <c r="I251" s="997"/>
      <c r="J251" s="446">
        <v>300000</v>
      </c>
      <c r="K251" s="995" t="s">
        <v>2054</v>
      </c>
      <c r="L251" s="1514" t="s">
        <v>401</v>
      </c>
      <c r="M251" s="624"/>
      <c r="N251" s="1115"/>
      <c r="O251" s="1455"/>
      <c r="P251" s="1455"/>
      <c r="Q251" s="1460"/>
      <c r="R251" s="1465"/>
      <c r="S251" s="1027"/>
      <c r="T251" s="1042"/>
      <c r="U251" s="984"/>
      <c r="V251" s="984"/>
      <c r="W251" s="984"/>
      <c r="X251" s="984"/>
      <c r="Y251" s="984"/>
      <c r="Z251" s="599"/>
      <c r="AA251" s="599"/>
      <c r="AB251" s="599"/>
      <c r="AC251" s="1464"/>
      <c r="AD251" s="984"/>
      <c r="AE251" s="599"/>
      <c r="AF251" s="984"/>
      <c r="AG251" s="599"/>
      <c r="AH251" s="599"/>
    </row>
    <row r="252" spans="1:34" ht="27.75" customHeight="1">
      <c r="A252" s="1227" t="s">
        <v>2055</v>
      </c>
      <c r="B252" s="446" t="s">
        <v>3810</v>
      </c>
      <c r="C252" s="599" t="s">
        <v>2056</v>
      </c>
      <c r="D252" s="983" t="s">
        <v>2057</v>
      </c>
      <c r="E252" s="446"/>
      <c r="F252" s="446">
        <v>478000</v>
      </c>
      <c r="G252" s="741"/>
      <c r="H252" s="446">
        <v>478000</v>
      </c>
      <c r="I252" s="997"/>
      <c r="J252" s="446">
        <v>478000</v>
      </c>
      <c r="K252" s="995" t="s">
        <v>2054</v>
      </c>
      <c r="L252" s="1514" t="s">
        <v>401</v>
      </c>
      <c r="M252" s="624"/>
      <c r="N252" s="1115"/>
      <c r="O252" s="1455"/>
      <c r="P252" s="1455"/>
      <c r="Q252" s="1460"/>
      <c r="R252" s="1465"/>
      <c r="S252" s="1027"/>
      <c r="T252" s="1042"/>
      <c r="U252" s="984"/>
      <c r="V252" s="984"/>
      <c r="W252" s="984"/>
      <c r="X252" s="984"/>
      <c r="Y252" s="984"/>
      <c r="Z252" s="599"/>
      <c r="AA252" s="599"/>
      <c r="AB252" s="599"/>
      <c r="AC252" s="1464"/>
      <c r="AD252" s="984"/>
      <c r="AE252" s="599"/>
      <c r="AF252" s="984"/>
      <c r="AG252" s="599"/>
      <c r="AH252" s="599"/>
    </row>
    <row r="253" spans="1:34" ht="39" customHeight="1">
      <c r="A253" s="1227" t="s">
        <v>2039</v>
      </c>
      <c r="B253" s="446" t="s">
        <v>3811</v>
      </c>
      <c r="C253" s="599" t="s">
        <v>2058</v>
      </c>
      <c r="D253" s="983" t="s">
        <v>2059</v>
      </c>
      <c r="E253" s="446"/>
      <c r="F253" s="446">
        <v>800000</v>
      </c>
      <c r="G253" s="741"/>
      <c r="H253" s="446">
        <v>800000</v>
      </c>
      <c r="I253" s="997"/>
      <c r="J253" s="599">
        <v>555900</v>
      </c>
      <c r="K253" s="581" t="s">
        <v>2060</v>
      </c>
      <c r="L253" s="1514"/>
      <c r="M253" s="624"/>
      <c r="N253" s="1115"/>
      <c r="O253" s="1455"/>
      <c r="P253" s="1455"/>
      <c r="Q253" s="1460"/>
      <c r="R253" s="1465"/>
      <c r="S253" s="1027"/>
      <c r="T253" s="1042"/>
      <c r="U253" s="984"/>
      <c r="V253" s="984"/>
      <c r="W253" s="984"/>
      <c r="X253" s="984"/>
      <c r="Y253" s="984"/>
      <c r="Z253" s="599"/>
      <c r="AA253" s="599"/>
      <c r="AB253" s="599"/>
      <c r="AC253" s="1464"/>
      <c r="AD253" s="984"/>
      <c r="AE253" s="599"/>
      <c r="AF253" s="984"/>
      <c r="AG253" s="599"/>
      <c r="AH253" s="599"/>
    </row>
    <row r="254" spans="1:34" ht="53.25" customHeight="1">
      <c r="A254" s="1227" t="s">
        <v>2047</v>
      </c>
      <c r="B254" s="446" t="s">
        <v>3812</v>
      </c>
      <c r="C254" s="599" t="s">
        <v>2052</v>
      </c>
      <c r="D254" s="983" t="s">
        <v>2061</v>
      </c>
      <c r="E254" s="446"/>
      <c r="F254" s="446">
        <v>200000</v>
      </c>
      <c r="G254" s="741"/>
      <c r="H254" s="446">
        <v>200000</v>
      </c>
      <c r="I254" s="997"/>
      <c r="J254" s="594">
        <v>200000</v>
      </c>
      <c r="K254" s="1094" t="s">
        <v>2062</v>
      </c>
      <c r="L254" s="1514" t="s">
        <v>401</v>
      </c>
      <c r="M254" s="624"/>
      <c r="N254" s="1115"/>
      <c r="O254" s="1455"/>
      <c r="P254" s="1455"/>
      <c r="Q254" s="1460"/>
      <c r="R254" s="1465"/>
      <c r="S254" s="1027"/>
      <c r="T254" s="1042"/>
      <c r="U254" s="984"/>
      <c r="V254" s="984"/>
      <c r="W254" s="984"/>
      <c r="X254" s="984"/>
      <c r="Y254" s="984"/>
      <c r="Z254" s="599"/>
      <c r="AA254" s="599"/>
      <c r="AB254" s="599"/>
      <c r="AC254" s="1464"/>
      <c r="AD254" s="984"/>
      <c r="AE254" s="599"/>
      <c r="AF254" s="984"/>
      <c r="AG254" s="599"/>
      <c r="AH254" s="599"/>
    </row>
    <row r="255" spans="1:34" ht="39" customHeight="1">
      <c r="A255" s="1227" t="s">
        <v>2039</v>
      </c>
      <c r="B255" s="446" t="s">
        <v>3813</v>
      </c>
      <c r="C255" s="599" t="s">
        <v>2063</v>
      </c>
      <c r="D255" s="983" t="s">
        <v>2064</v>
      </c>
      <c r="E255" s="446"/>
      <c r="F255" s="599">
        <v>35000</v>
      </c>
      <c r="G255" s="599"/>
      <c r="H255" s="891">
        <v>35000</v>
      </c>
      <c r="I255" s="997"/>
      <c r="J255" s="599">
        <v>35000</v>
      </c>
      <c r="K255" s="581">
        <v>42643</v>
      </c>
      <c r="L255" s="1514" t="s">
        <v>401</v>
      </c>
      <c r="M255" s="624"/>
      <c r="N255" s="1115"/>
      <c r="O255" s="1455"/>
      <c r="P255" s="1455"/>
      <c r="Q255" s="1460"/>
      <c r="R255" s="1465"/>
      <c r="S255" s="1027"/>
      <c r="T255" s="1042"/>
      <c r="U255" s="984"/>
      <c r="V255" s="984"/>
      <c r="W255" s="984"/>
      <c r="X255" s="984"/>
      <c r="Y255" s="984"/>
      <c r="Z255" s="599"/>
      <c r="AA255" s="599"/>
      <c r="AB255" s="599"/>
      <c r="AC255" s="1464"/>
      <c r="AD255" s="984"/>
      <c r="AE255" s="599"/>
      <c r="AF255" s="984"/>
      <c r="AG255" s="599"/>
      <c r="AH255" s="599"/>
    </row>
    <row r="256" spans="1:34" ht="39" customHeight="1">
      <c r="A256" s="1227" t="s">
        <v>2065</v>
      </c>
      <c r="B256" s="446" t="s">
        <v>3814</v>
      </c>
      <c r="C256" s="599" t="s">
        <v>2066</v>
      </c>
      <c r="D256" s="983" t="s">
        <v>2067</v>
      </c>
      <c r="E256" s="446"/>
      <c r="F256" s="1185">
        <v>2700000</v>
      </c>
      <c r="G256" s="599" t="s">
        <v>2068</v>
      </c>
      <c r="H256" s="891"/>
      <c r="I256" s="997"/>
      <c r="J256" s="599"/>
      <c r="K256" s="581"/>
      <c r="L256" s="1514"/>
      <c r="M256" s="624"/>
      <c r="N256" s="1115"/>
      <c r="O256" s="1455"/>
      <c r="P256" s="1455"/>
      <c r="Q256" s="1460"/>
      <c r="R256" s="1465"/>
      <c r="S256" s="1027"/>
      <c r="T256" s="1042"/>
      <c r="U256" s="984"/>
      <c r="V256" s="984"/>
      <c r="W256" s="984"/>
      <c r="X256" s="984"/>
      <c r="Y256" s="984"/>
      <c r="Z256" s="599"/>
      <c r="AA256" s="599"/>
      <c r="AB256" s="599"/>
      <c r="AC256" s="1464"/>
      <c r="AD256" s="984"/>
      <c r="AE256" s="599"/>
      <c r="AF256" s="984"/>
      <c r="AG256" s="599"/>
      <c r="AH256" s="599"/>
    </row>
    <row r="257" spans="1:34" ht="53.25" customHeight="1">
      <c r="A257" s="1227" t="s">
        <v>2069</v>
      </c>
      <c r="B257" s="446" t="s">
        <v>3815</v>
      </c>
      <c r="C257" s="599" t="s">
        <v>2070</v>
      </c>
      <c r="D257" s="983" t="s">
        <v>2071</v>
      </c>
      <c r="E257" s="446"/>
      <c r="F257" s="446">
        <v>125000</v>
      </c>
      <c r="G257" s="741"/>
      <c r="H257" s="446">
        <v>125000</v>
      </c>
      <c r="I257" s="997"/>
      <c r="J257" s="594"/>
      <c r="K257" s="1094"/>
      <c r="L257" s="1514"/>
      <c r="M257" s="624"/>
      <c r="N257" s="1115"/>
      <c r="O257" s="1455"/>
      <c r="P257" s="1455"/>
      <c r="Q257" s="1460"/>
      <c r="R257" s="1465"/>
      <c r="S257" s="1027"/>
      <c r="T257" s="1042"/>
      <c r="U257" s="984"/>
      <c r="V257" s="984"/>
      <c r="W257" s="984"/>
      <c r="X257" s="984"/>
      <c r="Y257" s="984"/>
      <c r="Z257" s="599"/>
      <c r="AA257" s="599"/>
      <c r="AB257" s="599"/>
      <c r="AC257" s="1464"/>
      <c r="AD257" s="984"/>
      <c r="AE257" s="599"/>
      <c r="AF257" s="984"/>
      <c r="AG257" s="599"/>
      <c r="AH257" s="599"/>
    </row>
    <row r="258" spans="1:34" ht="41.25" customHeight="1">
      <c r="A258" s="1227" t="s">
        <v>2072</v>
      </c>
      <c r="B258" s="446" t="s">
        <v>3816</v>
      </c>
      <c r="C258" s="599" t="s">
        <v>2073</v>
      </c>
      <c r="D258" s="983" t="s">
        <v>2074</v>
      </c>
      <c r="E258" s="446"/>
      <c r="F258" s="446">
        <v>1100000</v>
      </c>
      <c r="G258" s="741"/>
      <c r="H258" s="446">
        <v>1100000</v>
      </c>
      <c r="I258" s="997"/>
      <c r="J258" s="594">
        <v>1100000</v>
      </c>
      <c r="K258" s="1337">
        <v>42734</v>
      </c>
      <c r="L258" s="1514" t="s">
        <v>401</v>
      </c>
      <c r="M258" s="624"/>
      <c r="N258" s="1115"/>
      <c r="O258" s="1455"/>
      <c r="P258" s="1455"/>
      <c r="Q258" s="1460"/>
      <c r="R258" s="1465"/>
      <c r="S258" s="1027"/>
      <c r="T258" s="1042"/>
      <c r="U258" s="984"/>
      <c r="V258" s="984"/>
      <c r="W258" s="984"/>
      <c r="X258" s="984"/>
      <c r="Y258" s="984"/>
      <c r="Z258" s="599"/>
      <c r="AA258" s="599"/>
      <c r="AB258" s="599"/>
      <c r="AC258" s="1464"/>
      <c r="AD258" s="984"/>
      <c r="AE258" s="599"/>
      <c r="AF258" s="984"/>
      <c r="AG258" s="599"/>
      <c r="AH258" s="599"/>
    </row>
    <row r="259" spans="1:34" ht="63" customHeight="1">
      <c r="A259" s="1081"/>
      <c r="B259" s="1050" t="s">
        <v>3817</v>
      </c>
      <c r="C259" s="741" t="s">
        <v>2075</v>
      </c>
      <c r="D259" s="1083" t="s">
        <v>2076</v>
      </c>
      <c r="E259" s="741" t="s">
        <v>2023</v>
      </c>
      <c r="F259" s="1124">
        <v>98841.63</v>
      </c>
      <c r="G259" s="741"/>
      <c r="H259" s="1124"/>
      <c r="I259" s="997"/>
      <c r="J259" s="1516">
        <v>98841.63</v>
      </c>
      <c r="K259" s="1517">
        <v>41956</v>
      </c>
      <c r="L259" s="1514" t="s">
        <v>401</v>
      </c>
      <c r="M259" s="624"/>
      <c r="N259" s="1115"/>
      <c r="O259" s="1455"/>
      <c r="P259" s="1455"/>
      <c r="Q259" s="1460"/>
      <c r="R259" s="1465"/>
      <c r="S259" s="1027"/>
      <c r="T259" s="1042"/>
      <c r="U259" s="984"/>
      <c r="V259" s="984"/>
      <c r="W259" s="984"/>
      <c r="X259" s="984"/>
      <c r="Y259" s="984"/>
      <c r="Z259" s="599"/>
      <c r="AA259" s="599"/>
      <c r="AB259" s="599"/>
      <c r="AC259" s="1464"/>
      <c r="AD259" s="984"/>
      <c r="AE259" s="599"/>
      <c r="AF259" s="984"/>
      <c r="AG259" s="599"/>
      <c r="AH259" s="599"/>
    </row>
    <row r="260" spans="1:34" ht="79.5" customHeight="1">
      <c r="A260" s="741"/>
      <c r="B260" s="822" t="s">
        <v>3818</v>
      </c>
      <c r="C260" s="741" t="s">
        <v>2077</v>
      </c>
      <c r="D260" s="1518" t="s">
        <v>2078</v>
      </c>
      <c r="E260" s="741" t="s">
        <v>2079</v>
      </c>
      <c r="F260" s="1487">
        <v>13820999.98</v>
      </c>
      <c r="G260" s="741">
        <v>6984001.0099999998</v>
      </c>
      <c r="H260" s="1369">
        <f>(6984001.01+2055598.98+973680.21)+620591.33</f>
        <v>10633871.529999999</v>
      </c>
      <c r="I260" s="1066" t="s">
        <v>2080</v>
      </c>
      <c r="J260" s="1519" t="s">
        <v>2081</v>
      </c>
      <c r="K260" s="1185">
        <f>F260-H260</f>
        <v>3187128.4500000011</v>
      </c>
      <c r="L260" s="1514" t="s">
        <v>401</v>
      </c>
      <c r="M260" s="1058" t="s">
        <v>3819</v>
      </c>
      <c r="N260" s="1115" t="s">
        <v>3820</v>
      </c>
      <c r="O260" s="582">
        <f>500000+20000+200000</f>
        <v>720000</v>
      </c>
      <c r="P260" s="582">
        <f>500000+20000+200000</f>
        <v>720000</v>
      </c>
      <c r="Q260" s="1052"/>
      <c r="R260" s="582">
        <f>500000+20000+200000</f>
        <v>720000</v>
      </c>
      <c r="S260" s="1520" t="s">
        <v>2082</v>
      </c>
      <c r="T260" s="1359"/>
      <c r="U260" s="1359"/>
      <c r="V260" s="1368"/>
      <c r="W260" s="1417"/>
      <c r="X260" s="1355"/>
      <c r="Y260" s="1355"/>
      <c r="Z260" s="1141"/>
      <c r="AA260" s="599"/>
      <c r="AB260" s="599"/>
      <c r="AC260" s="1455"/>
      <c r="AD260" s="984"/>
      <c r="AE260" s="599"/>
      <c r="AF260" s="984"/>
      <c r="AG260" s="599"/>
      <c r="AH260" s="599"/>
    </row>
    <row r="261" spans="1:34" s="1180" customFormat="1" ht="30.75" customHeight="1">
      <c r="A261" s="1170"/>
      <c r="B261" s="1171"/>
      <c r="C261" s="1172" t="s">
        <v>2083</v>
      </c>
      <c r="D261" s="1171"/>
      <c r="E261" s="1173"/>
      <c r="F261" s="1174"/>
      <c r="G261" s="1175"/>
      <c r="H261" s="1174"/>
      <c r="I261" s="1174"/>
      <c r="J261" s="1175"/>
      <c r="K261" s="1176"/>
      <c r="L261" s="1461"/>
      <c r="M261" s="1178"/>
      <c r="N261" s="1128"/>
      <c r="O261" s="1128"/>
      <c r="P261" s="1128"/>
      <c r="Q261" s="1144"/>
      <c r="R261" s="1176"/>
      <c r="S261" s="1176"/>
      <c r="T261" s="1176"/>
      <c r="U261" s="1176"/>
      <c r="V261" s="1128"/>
      <c r="W261" s="1128"/>
      <c r="X261" s="1128"/>
      <c r="Y261" s="1128"/>
      <c r="Z261" s="1128"/>
      <c r="AA261" s="1128"/>
      <c r="AB261" s="1128"/>
      <c r="AC261" s="1128"/>
      <c r="AD261" s="1144"/>
      <c r="AE261" s="1128"/>
      <c r="AF261" s="1144"/>
      <c r="AG261" s="1128"/>
      <c r="AH261" s="1128"/>
    </row>
    <row r="262" spans="1:34" ht="57.75" customHeight="1">
      <c r="A262" s="1227" t="s">
        <v>2084</v>
      </c>
      <c r="B262" s="446" t="s">
        <v>3821</v>
      </c>
      <c r="C262" s="599" t="s">
        <v>2085</v>
      </c>
      <c r="D262" s="442" t="s">
        <v>2086</v>
      </c>
      <c r="E262" s="580"/>
      <c r="F262" s="1073" t="s">
        <v>2087</v>
      </c>
      <c r="G262" s="741"/>
      <c r="H262" s="446">
        <v>1000000</v>
      </c>
      <c r="I262" s="997"/>
      <c r="J262" s="446" t="s">
        <v>3822</v>
      </c>
      <c r="K262" s="1521">
        <v>42324</v>
      </c>
      <c r="L262" s="1514"/>
      <c r="M262" s="624"/>
      <c r="N262" s="1115"/>
      <c r="O262" s="1455"/>
      <c r="P262" s="1455"/>
      <c r="Q262" s="1460"/>
      <c r="R262" s="1465"/>
      <c r="S262" s="1027"/>
      <c r="T262" s="1042"/>
      <c r="U262" s="984"/>
      <c r="V262" s="984"/>
      <c r="W262" s="984"/>
      <c r="X262" s="984"/>
      <c r="Y262" s="984"/>
      <c r="Z262" s="599"/>
      <c r="AA262" s="599"/>
      <c r="AB262" s="599"/>
      <c r="AC262" s="1464"/>
      <c r="AD262" s="984"/>
      <c r="AE262" s="599"/>
      <c r="AF262" s="984"/>
      <c r="AG262" s="599"/>
      <c r="AH262" s="599"/>
    </row>
    <row r="263" spans="1:34" ht="36" customHeight="1">
      <c r="A263" s="1227" t="s">
        <v>2088</v>
      </c>
      <c r="B263" s="446" t="s">
        <v>3823</v>
      </c>
      <c r="C263" s="599" t="s">
        <v>2089</v>
      </c>
      <c r="D263" s="442" t="s">
        <v>2090</v>
      </c>
      <c r="E263" s="580"/>
      <c r="F263" s="1073"/>
      <c r="G263" s="741"/>
      <c r="H263" s="580" t="s">
        <v>2091</v>
      </c>
      <c r="I263" s="997"/>
      <c r="J263" s="580"/>
      <c r="K263" s="1027"/>
      <c r="L263" s="1514"/>
      <c r="M263" s="624"/>
      <c r="N263" s="1115"/>
      <c r="O263" s="1455"/>
      <c r="P263" s="1455"/>
      <c r="Q263" s="1460"/>
      <c r="R263" s="1465"/>
      <c r="S263" s="1027"/>
      <c r="T263" s="1042"/>
      <c r="U263" s="984"/>
      <c r="V263" s="984"/>
      <c r="W263" s="984"/>
      <c r="X263" s="984"/>
      <c r="Y263" s="984"/>
      <c r="Z263" s="599"/>
      <c r="AA263" s="599"/>
      <c r="AB263" s="599"/>
      <c r="AC263" s="1464"/>
      <c r="AD263" s="984"/>
      <c r="AE263" s="599"/>
      <c r="AF263" s="984"/>
      <c r="AG263" s="599"/>
      <c r="AH263" s="599"/>
    </row>
    <row r="264" spans="1:34" ht="39.75" customHeight="1">
      <c r="A264" s="1227" t="s">
        <v>2088</v>
      </c>
      <c r="B264" s="446" t="s">
        <v>3824</v>
      </c>
      <c r="C264" s="599" t="s">
        <v>2089</v>
      </c>
      <c r="D264" s="442" t="s">
        <v>2092</v>
      </c>
      <c r="E264" s="580"/>
      <c r="F264" s="1073"/>
      <c r="G264" s="741"/>
      <c r="H264" s="580" t="s">
        <v>2093</v>
      </c>
      <c r="I264" s="997"/>
      <c r="J264" s="580"/>
      <c r="K264" s="1027"/>
      <c r="L264" s="1514"/>
      <c r="M264" s="624"/>
      <c r="N264" s="1115"/>
      <c r="O264" s="1455"/>
      <c r="P264" s="1455"/>
      <c r="Q264" s="1460"/>
      <c r="R264" s="1465"/>
      <c r="S264" s="1027"/>
      <c r="T264" s="1042"/>
      <c r="U264" s="984"/>
      <c r="V264" s="984"/>
      <c r="W264" s="984"/>
      <c r="X264" s="984"/>
      <c r="Y264" s="984"/>
      <c r="Z264" s="599"/>
      <c r="AA264" s="599"/>
      <c r="AB264" s="599"/>
      <c r="AC264" s="1464"/>
      <c r="AD264" s="984"/>
      <c r="AE264" s="599"/>
      <c r="AF264" s="984"/>
      <c r="AG264" s="599"/>
      <c r="AH264" s="599"/>
    </row>
    <row r="265" spans="1:34" ht="41.25" customHeight="1">
      <c r="A265" s="741"/>
      <c r="B265" s="465" t="s">
        <v>3825</v>
      </c>
      <c r="C265" s="741" t="s">
        <v>2094</v>
      </c>
      <c r="D265" s="1083" t="s">
        <v>2095</v>
      </c>
      <c r="E265" s="1522" t="s">
        <v>672</v>
      </c>
      <c r="F265" s="741">
        <v>388000</v>
      </c>
      <c r="G265" s="1124">
        <v>90000</v>
      </c>
      <c r="H265" s="1124" t="s">
        <v>2096</v>
      </c>
      <c r="I265" s="997" t="s">
        <v>2097</v>
      </c>
      <c r="J265" s="1162">
        <v>342000</v>
      </c>
      <c r="K265" s="1523"/>
      <c r="L265" s="1524" t="s">
        <v>2098</v>
      </c>
      <c r="M265" s="1220"/>
      <c r="N265" s="1115"/>
      <c r="O265" s="1006"/>
      <c r="P265" s="1525"/>
      <c r="Q265" s="1525"/>
      <c r="R265" s="580"/>
      <c r="S265" s="624"/>
      <c r="T265" s="1140"/>
      <c r="U265" s="1140"/>
      <c r="V265" s="1526"/>
      <c r="W265" s="1417"/>
      <c r="X265" s="1355"/>
      <c r="Y265" s="1355"/>
      <c r="Z265" s="1141"/>
      <c r="AA265" s="599"/>
      <c r="AB265" s="599"/>
      <c r="AC265" s="1455"/>
      <c r="AD265" s="984"/>
      <c r="AE265" s="599"/>
      <c r="AF265" s="984"/>
      <c r="AG265" s="599"/>
      <c r="AH265" s="599"/>
    </row>
    <row r="266" spans="1:34" ht="73.5" customHeight="1">
      <c r="A266" s="599"/>
      <c r="B266" s="1527" t="s">
        <v>3826</v>
      </c>
      <c r="C266" s="741" t="s">
        <v>2099</v>
      </c>
      <c r="D266" s="1083" t="s">
        <v>2100</v>
      </c>
      <c r="E266" s="741" t="s">
        <v>2101</v>
      </c>
      <c r="F266" s="741">
        <v>1400000</v>
      </c>
      <c r="G266" s="1124">
        <v>420000</v>
      </c>
      <c r="H266" s="741">
        <v>320000</v>
      </c>
      <c r="I266" s="997"/>
      <c r="J266" s="1168">
        <v>1400000</v>
      </c>
      <c r="K266" s="741"/>
      <c r="L266" s="594" t="s">
        <v>401</v>
      </c>
      <c r="M266" s="1528" t="s">
        <v>2102</v>
      </c>
      <c r="N266" s="1115" t="s">
        <v>3827</v>
      </c>
      <c r="O266" s="594">
        <v>1300000</v>
      </c>
      <c r="P266" s="599"/>
      <c r="Q266" s="997"/>
      <c r="R266" s="1050">
        <v>1300000</v>
      </c>
      <c r="S266" s="624" t="s">
        <v>2103</v>
      </c>
      <c r="T266" s="1379"/>
      <c r="U266" s="578"/>
      <c r="V266" s="1526"/>
      <c r="W266" s="1417"/>
      <c r="X266" s="1355"/>
      <c r="Y266" s="1355"/>
      <c r="Z266" s="1141"/>
      <c r="AA266" s="599"/>
      <c r="AB266" s="599"/>
      <c r="AC266" s="1455"/>
      <c r="AD266" s="984"/>
      <c r="AE266" s="599"/>
      <c r="AF266" s="984"/>
      <c r="AG266" s="599"/>
      <c r="AH266" s="599"/>
    </row>
    <row r="267" spans="1:34" ht="92.25" customHeight="1">
      <c r="A267" s="311"/>
      <c r="B267" s="1529" t="s">
        <v>3828</v>
      </c>
      <c r="C267" s="599" t="s">
        <v>2104</v>
      </c>
      <c r="D267" s="1468" t="s">
        <v>2105</v>
      </c>
      <c r="E267" s="741" t="s">
        <v>2106</v>
      </c>
      <c r="F267" s="1305">
        <v>210000</v>
      </c>
      <c r="G267" s="1124">
        <v>105000</v>
      </c>
      <c r="H267" s="1450">
        <f>105000+75000</f>
        <v>180000</v>
      </c>
      <c r="I267" s="599"/>
      <c r="J267" s="1356">
        <f>150000+60000</f>
        <v>210000</v>
      </c>
      <c r="K267" s="969"/>
      <c r="L267" s="594" t="s">
        <v>401</v>
      </c>
      <c r="M267" s="1017"/>
      <c r="N267" s="1115"/>
      <c r="O267" s="1464"/>
      <c r="P267" s="1473"/>
      <c r="Q267" s="1024"/>
      <c r="R267" s="1464"/>
      <c r="S267" s="599"/>
      <c r="T267" s="599"/>
      <c r="U267" s="599"/>
      <c r="V267" s="1042"/>
      <c r="W267" s="984"/>
      <c r="X267" s="984"/>
      <c r="Y267" s="599"/>
      <c r="Z267" s="599"/>
      <c r="AA267" s="599"/>
      <c r="AB267" s="599"/>
      <c r="AC267" s="1464"/>
      <c r="AD267" s="984"/>
      <c r="AE267" s="599"/>
      <c r="AF267" s="984"/>
      <c r="AG267" s="599"/>
      <c r="AH267" s="599"/>
    </row>
    <row r="268" spans="1:34" ht="136.5" customHeight="1">
      <c r="A268" s="311"/>
      <c r="B268" s="1529" t="s">
        <v>3829</v>
      </c>
      <c r="C268" s="599" t="s">
        <v>2107</v>
      </c>
      <c r="D268" s="1468" t="s">
        <v>2108</v>
      </c>
      <c r="E268" s="741" t="s">
        <v>2106</v>
      </c>
      <c r="F268" s="1305">
        <v>170000</v>
      </c>
      <c r="G268" s="1124">
        <v>85000</v>
      </c>
      <c r="H268" s="1450">
        <f>85000+65000</f>
        <v>150000</v>
      </c>
      <c r="I268" s="599"/>
      <c r="J268" s="1356">
        <f>130000+40000</f>
        <v>170000</v>
      </c>
      <c r="K268" s="969"/>
      <c r="L268" s="594" t="s">
        <v>401</v>
      </c>
      <c r="M268" s="1530"/>
      <c r="N268" s="594"/>
      <c r="O268" s="1464"/>
      <c r="P268" s="1473"/>
      <c r="Q268" s="1024"/>
      <c r="R268" s="1464"/>
      <c r="S268" s="599"/>
      <c r="T268" s="599"/>
      <c r="U268" s="599"/>
      <c r="V268" s="1042"/>
      <c r="W268" s="984"/>
      <c r="X268" s="984"/>
      <c r="Y268" s="599"/>
      <c r="Z268" s="599"/>
      <c r="AA268" s="599"/>
      <c r="AB268" s="599"/>
      <c r="AC268" s="1464"/>
      <c r="AD268" s="984"/>
      <c r="AE268" s="599"/>
      <c r="AF268" s="984"/>
      <c r="AG268" s="599"/>
      <c r="AH268" s="599"/>
    </row>
    <row r="269" spans="1:34" ht="94.5" customHeight="1">
      <c r="A269" s="599"/>
      <c r="B269" s="1020" t="s">
        <v>2109</v>
      </c>
      <c r="C269" s="599" t="s">
        <v>2110</v>
      </c>
      <c r="D269" s="983" t="s">
        <v>2111</v>
      </c>
      <c r="E269" s="446"/>
      <c r="F269" s="446">
        <v>2350000</v>
      </c>
      <c r="G269" s="741"/>
      <c r="H269" s="446">
        <v>450000</v>
      </c>
      <c r="I269" s="1408"/>
      <c r="J269" s="1531" t="s">
        <v>2112</v>
      </c>
      <c r="K269" s="607"/>
      <c r="M269" s="1009"/>
      <c r="N269" s="1532"/>
      <c r="O269" s="588"/>
      <c r="P269" s="890"/>
      <c r="Q269" s="984"/>
      <c r="R269" s="599"/>
      <c r="S269" s="624"/>
      <c r="T269" s="1140"/>
      <c r="U269" s="1140"/>
      <c r="V269" s="1526"/>
      <c r="W269" s="1417"/>
      <c r="X269" s="1355"/>
      <c r="Y269" s="1355"/>
      <c r="Z269" s="1141"/>
      <c r="AA269" s="599"/>
      <c r="AB269" s="599"/>
      <c r="AC269" s="1455"/>
      <c r="AD269" s="984"/>
      <c r="AE269" s="599"/>
      <c r="AF269" s="984"/>
      <c r="AG269" s="599"/>
      <c r="AH269" s="599"/>
    </row>
    <row r="270" spans="1:34" ht="50.25" customHeight="1">
      <c r="A270" s="599"/>
      <c r="B270" s="1529" t="s">
        <v>3830</v>
      </c>
      <c r="C270" s="599" t="s">
        <v>2113</v>
      </c>
      <c r="D270" s="1468" t="s">
        <v>2114</v>
      </c>
      <c r="E270" s="741" t="s">
        <v>2115</v>
      </c>
      <c r="F270" s="1305">
        <v>2788000</v>
      </c>
      <c r="G270" s="1124">
        <v>1120800</v>
      </c>
      <c r="H270" s="1124">
        <v>1868000</v>
      </c>
      <c r="I270" s="1533"/>
      <c r="J270" s="1141">
        <v>1868000</v>
      </c>
      <c r="K270" s="969"/>
      <c r="L270" s="1534"/>
      <c r="M270" s="1058"/>
      <c r="N270" s="1115"/>
      <c r="O270" s="1006"/>
      <c r="P270" s="1525"/>
      <c r="Q270" s="1525"/>
      <c r="R270" s="1464"/>
      <c r="S270" s="599"/>
      <c r="T270" s="599"/>
      <c r="U270" s="580"/>
      <c r="V270" s="1042"/>
      <c r="W270" s="984"/>
      <c r="X270" s="984"/>
      <c r="Y270" s="599"/>
      <c r="Z270" s="599"/>
      <c r="AA270" s="599"/>
      <c r="AB270" s="599"/>
      <c r="AC270" s="1464"/>
      <c r="AD270" s="984"/>
      <c r="AE270" s="599"/>
      <c r="AF270" s="984"/>
      <c r="AG270" s="599"/>
      <c r="AH270" s="599"/>
    </row>
    <row r="271" spans="1:34" ht="102" customHeight="1">
      <c r="A271" s="599"/>
      <c r="B271" s="1529" t="s">
        <v>3831</v>
      </c>
      <c r="C271" s="599" t="s">
        <v>2116</v>
      </c>
      <c r="D271" s="1468" t="s">
        <v>2117</v>
      </c>
      <c r="E271" s="741" t="s">
        <v>2118</v>
      </c>
      <c r="F271" s="1305" t="s">
        <v>2119</v>
      </c>
      <c r="G271" s="1124">
        <v>147000</v>
      </c>
      <c r="H271" s="1124">
        <f>147000+50000</f>
        <v>197000</v>
      </c>
      <c r="I271" s="741"/>
      <c r="J271" s="1491" t="s">
        <v>2120</v>
      </c>
      <c r="K271" s="1483" t="s">
        <v>2121</v>
      </c>
      <c r="L271" s="594" t="s">
        <v>401</v>
      </c>
      <c r="M271" s="1530"/>
      <c r="N271" s="594"/>
      <c r="O271" s="1464"/>
      <c r="P271" s="1473"/>
      <c r="Q271" s="1024"/>
      <c r="R271" s="1464"/>
      <c r="S271" s="599"/>
      <c r="T271" s="599"/>
      <c r="U271" s="599"/>
      <c r="V271" s="1042"/>
      <c r="W271" s="984"/>
      <c r="X271" s="984"/>
      <c r="Y271" s="599"/>
      <c r="Z271" s="599"/>
      <c r="AA271" s="599"/>
      <c r="AB271" s="599"/>
      <c r="AC271" s="1464"/>
      <c r="AD271" s="984"/>
      <c r="AE271" s="599"/>
      <c r="AF271" s="984"/>
      <c r="AG271" s="599"/>
      <c r="AH271" s="599"/>
    </row>
    <row r="272" spans="1:34" ht="87.75" customHeight="1">
      <c r="A272" s="1408"/>
      <c r="B272" s="2594" t="s">
        <v>3830</v>
      </c>
      <c r="C272" s="2542" t="s">
        <v>2122</v>
      </c>
      <c r="D272" s="2578" t="s">
        <v>3832</v>
      </c>
      <c r="E272" s="2542" t="s">
        <v>2123</v>
      </c>
      <c r="F272" s="2595">
        <v>5899000</v>
      </c>
      <c r="G272" s="2544">
        <f>167400+309000+2118000</f>
        <v>2594400</v>
      </c>
      <c r="H272" s="2542">
        <v>3407000</v>
      </c>
      <c r="I272" s="2596" t="s">
        <v>2124</v>
      </c>
      <c r="J272" s="2597">
        <f>794000+495000+2118000</f>
        <v>3407000</v>
      </c>
      <c r="K272" s="2575"/>
      <c r="L272" s="2542" t="s">
        <v>3833</v>
      </c>
      <c r="M272" s="2589" t="s">
        <v>2125</v>
      </c>
      <c r="N272" s="2558" t="s">
        <v>3834</v>
      </c>
      <c r="O272" s="594">
        <v>600000</v>
      </c>
      <c r="P272" s="599"/>
      <c r="Q272" s="997"/>
      <c r="R272" s="1050">
        <v>600000</v>
      </c>
      <c r="S272" s="624" t="s">
        <v>2126</v>
      </c>
      <c r="T272" s="1140"/>
      <c r="U272" s="578" t="s">
        <v>2127</v>
      </c>
      <c r="V272" s="1526"/>
      <c r="W272" s="1417"/>
      <c r="X272" s="1355"/>
      <c r="Y272" s="1355"/>
      <c r="Z272" s="1141"/>
      <c r="AA272" s="599"/>
      <c r="AB272" s="599"/>
      <c r="AC272" s="1455"/>
      <c r="AD272" s="984"/>
      <c r="AE272" s="599"/>
      <c r="AF272" s="984"/>
      <c r="AG272" s="599"/>
      <c r="AH272" s="599"/>
    </row>
    <row r="273" spans="1:256" ht="52.5" customHeight="1">
      <c r="A273" s="997"/>
      <c r="B273" s="2594"/>
      <c r="C273" s="2542"/>
      <c r="D273" s="2578"/>
      <c r="E273" s="2542"/>
      <c r="F273" s="2595"/>
      <c r="G273" s="2544"/>
      <c r="H273" s="2542"/>
      <c r="I273" s="2596"/>
      <c r="J273" s="2597"/>
      <c r="K273" s="2575"/>
      <c r="L273" s="2542"/>
      <c r="M273" s="2589"/>
      <c r="N273" s="2558"/>
      <c r="O273" s="594"/>
      <c r="P273" s="599"/>
      <c r="Q273" s="997"/>
      <c r="R273" s="1050"/>
      <c r="S273" s="624"/>
      <c r="T273" s="1379"/>
      <c r="U273" s="578"/>
      <c r="V273" s="1526"/>
      <c r="W273" s="1417"/>
      <c r="X273" s="1355"/>
      <c r="Y273" s="1355"/>
      <c r="Z273" s="1141"/>
      <c r="AA273" s="599"/>
      <c r="AB273" s="599"/>
      <c r="AC273" s="1455"/>
      <c r="AD273" s="984"/>
      <c r="AE273" s="599"/>
      <c r="AF273" s="984"/>
      <c r="AG273" s="599"/>
      <c r="AH273" s="599"/>
    </row>
    <row r="274" spans="1:256" ht="72" customHeight="1">
      <c r="A274" s="599"/>
      <c r="B274" s="2586" t="s">
        <v>3835</v>
      </c>
      <c r="C274" s="2588" t="s">
        <v>2128</v>
      </c>
      <c r="D274" s="2416" t="s">
        <v>2129</v>
      </c>
      <c r="E274" s="599"/>
      <c r="F274" s="2584">
        <v>10183895.050000001</v>
      </c>
      <c r="G274" s="601">
        <v>703003.53</v>
      </c>
      <c r="H274" s="601">
        <v>703003.53</v>
      </c>
      <c r="I274" s="599"/>
      <c r="J274" s="582"/>
      <c r="K274" s="2574" t="s">
        <v>3836</v>
      </c>
      <c r="L274" s="972"/>
      <c r="M274" s="1131" t="s">
        <v>3837</v>
      </c>
      <c r="N274" s="1515" t="s">
        <v>2130</v>
      </c>
      <c r="O274" s="1052">
        <f>700000+550000+600000</f>
        <v>1850000</v>
      </c>
      <c r="P274" s="599"/>
      <c r="Q274" s="1515" t="s">
        <v>2131</v>
      </c>
      <c r="R274" s="1049" t="s">
        <v>2132</v>
      </c>
      <c r="S274" s="1379"/>
      <c r="T274" s="578" t="s">
        <v>2127</v>
      </c>
      <c r="U274" s="1526"/>
      <c r="V274" s="1417"/>
      <c r="W274" s="1355"/>
      <c r="X274" s="1355"/>
      <c r="Y274" s="1141"/>
      <c r="Z274" s="599"/>
      <c r="AA274" s="599"/>
      <c r="AB274" s="1455"/>
      <c r="AC274" s="984"/>
      <c r="AD274" s="599"/>
      <c r="AE274" s="984"/>
      <c r="AF274" s="599"/>
      <c r="AG274" s="599"/>
      <c r="IV274" s="975"/>
    </row>
    <row r="275" spans="1:256" ht="72" customHeight="1">
      <c r="A275" s="997"/>
      <c r="B275" s="2586"/>
      <c r="C275" s="2588"/>
      <c r="D275" s="2416"/>
      <c r="E275" s="602"/>
      <c r="F275" s="2584"/>
      <c r="G275" s="1119"/>
      <c r="H275" s="602" t="s">
        <v>2133</v>
      </c>
      <c r="I275" s="1535" t="s">
        <v>2134</v>
      </c>
      <c r="J275" s="2590" t="s">
        <v>3838</v>
      </c>
      <c r="K275" s="2574"/>
      <c r="L275" s="1536"/>
      <c r="M275" s="1537" t="s">
        <v>3839</v>
      </c>
      <c r="N275" s="1311">
        <v>1000000</v>
      </c>
      <c r="O275" s="1053"/>
      <c r="P275" s="599"/>
      <c r="Q275" s="1076">
        <v>1000000</v>
      </c>
      <c r="R275" s="624" t="s">
        <v>2135</v>
      </c>
      <c r="S275" s="1379"/>
      <c r="T275" s="578"/>
      <c r="U275" s="1526"/>
      <c r="V275" s="1417"/>
      <c r="W275" s="1355"/>
      <c r="X275" s="1355"/>
      <c r="Y275" s="1141"/>
      <c r="Z275" s="599"/>
      <c r="AA275" s="599"/>
      <c r="AB275" s="1455"/>
      <c r="AC275" s="984"/>
      <c r="AD275" s="599"/>
      <c r="AE275" s="984"/>
      <c r="AF275" s="599"/>
      <c r="AG275" s="599"/>
      <c r="IV275" s="975"/>
    </row>
    <row r="276" spans="1:256" ht="55.5" customHeight="1">
      <c r="B276" s="2586"/>
      <c r="C276" s="2588"/>
      <c r="D276" s="2416"/>
      <c r="E276" s="602"/>
      <c r="F276" s="2584"/>
      <c r="G276" s="1119"/>
      <c r="H276" s="602" t="s">
        <v>2136</v>
      </c>
      <c r="I276" s="1538" t="s">
        <v>2137</v>
      </c>
      <c r="J276" s="2590"/>
      <c r="K276" s="2574"/>
      <c r="L276" s="1539"/>
      <c r="M276" s="1171" t="s">
        <v>3840</v>
      </c>
      <c r="N276" s="1515">
        <f>1700000+500000+1240000+1500000</f>
        <v>4940000</v>
      </c>
      <c r="O276" s="1053"/>
      <c r="P276" s="890"/>
      <c r="Q276" s="1515" t="s">
        <v>2138</v>
      </c>
      <c r="R276" s="1049" t="s">
        <v>2139</v>
      </c>
      <c r="S276" s="1379"/>
      <c r="T276" s="578"/>
      <c r="U276" s="1526"/>
      <c r="V276" s="1417"/>
      <c r="W276" s="1355"/>
      <c r="X276" s="1355"/>
      <c r="Y276" s="1141"/>
      <c r="Z276" s="599"/>
      <c r="AA276" s="599"/>
      <c r="AB276" s="1455"/>
      <c r="AC276" s="984"/>
      <c r="AD276" s="599"/>
      <c r="AE276" s="984"/>
      <c r="AF276" s="599"/>
      <c r="AG276" s="599"/>
      <c r="IV276" s="975"/>
    </row>
    <row r="277" spans="1:256" ht="69.75" customHeight="1">
      <c r="B277" s="2586"/>
      <c r="C277" s="2588"/>
      <c r="D277" s="2417" t="s">
        <v>2140</v>
      </c>
      <c r="E277" s="602"/>
      <c r="F277" s="2584"/>
      <c r="G277" s="1119"/>
      <c r="H277" s="602" t="s">
        <v>2141</v>
      </c>
      <c r="I277" s="1538" t="s">
        <v>2142</v>
      </c>
      <c r="J277" s="2590"/>
      <c r="K277" s="2574"/>
      <c r="L277" s="1539"/>
      <c r="M277" s="594" t="s">
        <v>3841</v>
      </c>
      <c r="N277" s="1540">
        <v>500000</v>
      </c>
      <c r="O277" s="599"/>
      <c r="P277" s="1515" t="s">
        <v>2143</v>
      </c>
      <c r="Q277" s="580">
        <v>500000</v>
      </c>
      <c r="R277" s="580" t="s">
        <v>2144</v>
      </c>
      <c r="S277" s="1379"/>
      <c r="T277" s="578"/>
      <c r="U277" s="1526"/>
      <c r="V277" s="1417"/>
      <c r="W277" s="1355"/>
      <c r="X277" s="1355"/>
      <c r="Y277" s="1141"/>
      <c r="Z277" s="599"/>
      <c r="AA277" s="599"/>
      <c r="AB277" s="1455"/>
      <c r="AC277" s="984"/>
      <c r="AD277" s="599"/>
      <c r="AE277" s="984"/>
      <c r="AF277" s="599"/>
      <c r="AG277" s="599"/>
      <c r="IV277" s="975"/>
    </row>
    <row r="278" spans="1:256" ht="55.5" customHeight="1">
      <c r="B278" s="2586"/>
      <c r="C278" s="2588"/>
      <c r="D278" s="2417"/>
      <c r="E278" s="602"/>
      <c r="F278" s="2584"/>
      <c r="G278" s="1119"/>
      <c r="H278" s="1541">
        <v>5622757.0800000001</v>
      </c>
      <c r="I278" s="1538"/>
      <c r="J278" s="2590"/>
      <c r="K278" s="2574"/>
      <c r="L278" s="1539"/>
      <c r="M278" s="1378" t="s">
        <v>3842</v>
      </c>
      <c r="N278" s="1540">
        <v>1611100</v>
      </c>
      <c r="O278" s="1006"/>
      <c r="P278" s="1515" t="s">
        <v>2145</v>
      </c>
      <c r="Q278" s="1542" t="s">
        <v>2146</v>
      </c>
      <c r="R278" s="579" t="s">
        <v>2147</v>
      </c>
      <c r="S278" s="1379"/>
      <c r="T278" s="578"/>
      <c r="U278" s="1526"/>
      <c r="V278" s="1417"/>
      <c r="W278" s="1355"/>
      <c r="X278" s="1355"/>
      <c r="Y278" s="1141"/>
      <c r="Z278" s="599"/>
      <c r="AA278" s="599"/>
      <c r="AB278" s="1455"/>
      <c r="AC278" s="984"/>
      <c r="AD278" s="599"/>
      <c r="AE278" s="984"/>
      <c r="AF278" s="599"/>
      <c r="AG278" s="599"/>
      <c r="IV278" s="975"/>
    </row>
    <row r="279" spans="1:256" ht="70.5" customHeight="1">
      <c r="B279" s="2586"/>
      <c r="C279" s="2588"/>
      <c r="D279" s="2417"/>
      <c r="E279" s="602"/>
      <c r="F279" s="2584"/>
      <c r="G279" s="1119"/>
      <c r="H279" s="602"/>
      <c r="I279" s="1406"/>
      <c r="J279" s="2590"/>
      <c r="K279" s="2574"/>
      <c r="L279" s="1539"/>
      <c r="M279" s="594" t="s">
        <v>3843</v>
      </c>
      <c r="N279" s="1433">
        <f>595638+581231+598482+401518+561800</f>
        <v>2738669</v>
      </c>
      <c r="O279" s="1006"/>
      <c r="P279" s="1543" t="s">
        <v>2148</v>
      </c>
      <c r="Q279" s="1515" t="s">
        <v>2149</v>
      </c>
      <c r="R279" s="1544" t="s">
        <v>2150</v>
      </c>
      <c r="S279" s="1379"/>
      <c r="T279" s="578"/>
      <c r="U279" s="1526"/>
      <c r="V279" s="1417"/>
      <c r="W279" s="1355"/>
      <c r="X279" s="1355"/>
      <c r="Y279" s="1141"/>
      <c r="Z279" s="599"/>
      <c r="AA279" s="599"/>
      <c r="AB279" s="1455"/>
      <c r="AC279" s="984"/>
      <c r="AD279" s="599"/>
      <c r="AE279" s="984"/>
      <c r="AF279" s="599"/>
      <c r="AG279" s="599"/>
      <c r="IV279" s="975"/>
    </row>
    <row r="280" spans="1:256" ht="51.75" customHeight="1">
      <c r="B280" s="2586"/>
      <c r="C280" s="2588"/>
      <c r="D280" s="2417"/>
      <c r="E280" s="602"/>
      <c r="F280" s="2584"/>
      <c r="G280" s="1119"/>
      <c r="H280" s="602"/>
      <c r="I280" s="1401"/>
      <c r="J280" s="2590"/>
      <c r="K280" s="2574"/>
      <c r="L280" s="1539"/>
      <c r="M280" s="1545" t="s">
        <v>3844</v>
      </c>
      <c r="N280" s="1546"/>
      <c r="O280" s="1006"/>
      <c r="P280" s="1547">
        <v>515868</v>
      </c>
      <c r="Q280" s="1515" t="s">
        <v>2151</v>
      </c>
      <c r="R280" s="1544"/>
      <c r="S280" s="1379"/>
      <c r="T280" s="578"/>
      <c r="U280" s="1526"/>
      <c r="V280" s="1417"/>
      <c r="W280" s="1355"/>
      <c r="X280" s="1355"/>
      <c r="Y280" s="1141"/>
      <c r="Z280" s="599"/>
      <c r="AA280" s="599"/>
      <c r="AB280" s="1455"/>
      <c r="AC280" s="984"/>
      <c r="AD280" s="599"/>
      <c r="AE280" s="984"/>
      <c r="AF280" s="599"/>
      <c r="AG280" s="599"/>
      <c r="IV280" s="975"/>
    </row>
    <row r="281" spans="1:256" ht="51.75" customHeight="1">
      <c r="B281" s="2586"/>
      <c r="C281" s="2588"/>
      <c r="D281" s="2417"/>
      <c r="E281" s="602"/>
      <c r="F281" s="2584"/>
      <c r="G281" s="1119"/>
      <c r="H281" s="602"/>
      <c r="I281" s="2591">
        <f>4746506.26+947785.07+2363820.8+591805.19+171133.6+106810.35+5622757.08+2502661.72+579943.58+4414154.44+1133883.43+237951.98+85096.76</f>
        <v>23504310.260000002</v>
      </c>
      <c r="J281" s="2590"/>
      <c r="K281" s="2574"/>
      <c r="L281" s="1539"/>
      <c r="M281" s="1548" t="s">
        <v>3845</v>
      </c>
      <c r="N281" s="1549">
        <f>490000+410730</f>
        <v>900730</v>
      </c>
      <c r="O281" s="1006"/>
      <c r="P281" s="1550" t="s">
        <v>2152</v>
      </c>
      <c r="Q281" s="1550" t="s">
        <v>2153</v>
      </c>
      <c r="R281" s="1551" t="s">
        <v>2154</v>
      </c>
      <c r="S281" s="1379"/>
      <c r="T281" s="578"/>
      <c r="U281" s="1526"/>
      <c r="V281" s="1417"/>
      <c r="W281" s="1355"/>
      <c r="X281" s="1355"/>
      <c r="Y281" s="1141"/>
      <c r="Z281" s="599"/>
      <c r="AA281" s="599"/>
      <c r="AB281" s="1455"/>
      <c r="AC281" s="984"/>
      <c r="AD281" s="599"/>
      <c r="AE281" s="984"/>
      <c r="AF281" s="599"/>
      <c r="AG281" s="599"/>
      <c r="IV281" s="975"/>
    </row>
    <row r="282" spans="1:256" ht="79.5" customHeight="1">
      <c r="B282" s="2586"/>
      <c r="C282" s="2588"/>
      <c r="D282" s="2417"/>
      <c r="E282" s="602"/>
      <c r="F282" s="2584"/>
      <c r="G282" s="1119"/>
      <c r="H282" s="602"/>
      <c r="I282" s="2591"/>
      <c r="J282" s="2590"/>
      <c r="K282" s="2574"/>
      <c r="L282" s="1539"/>
      <c r="M282" s="1552" t="s">
        <v>3846</v>
      </c>
      <c r="N282" s="1553">
        <v>1119230</v>
      </c>
      <c r="O282" s="1064"/>
      <c r="P282" s="1554" t="s">
        <v>2155</v>
      </c>
      <c r="Q282" s="1555">
        <v>1119230</v>
      </c>
      <c r="R282" s="1556" t="s">
        <v>2156</v>
      </c>
      <c r="S282" s="1379"/>
      <c r="T282" s="578"/>
      <c r="U282" s="1526"/>
      <c r="V282" s="1417"/>
      <c r="W282" s="1355"/>
      <c r="X282" s="1355"/>
      <c r="Y282" s="1141"/>
      <c r="Z282" s="599"/>
      <c r="AA282" s="599"/>
      <c r="AB282" s="1455"/>
      <c r="AC282" s="984"/>
      <c r="AD282" s="599"/>
      <c r="AE282" s="984"/>
      <c r="AF282" s="599"/>
      <c r="AG282" s="599"/>
      <c r="IV282" s="975"/>
    </row>
    <row r="283" spans="1:256" ht="56.25" customHeight="1">
      <c r="B283" s="2586"/>
      <c r="C283" s="2588"/>
      <c r="D283" s="2417"/>
      <c r="E283" s="602"/>
      <c r="F283" s="2584"/>
      <c r="G283" s="1119"/>
      <c r="H283" s="602"/>
      <c r="I283" s="2591"/>
      <c r="J283" s="2590"/>
      <c r="K283" s="2574"/>
      <c r="L283" s="1539"/>
      <c r="M283" s="1557" t="s">
        <v>3847</v>
      </c>
      <c r="N283" s="1515">
        <f>455240+453860+254266+112360</f>
        <v>1275726</v>
      </c>
      <c r="O283" s="1064" t="s">
        <v>2157</v>
      </c>
      <c r="P283" s="1554"/>
      <c r="Q283" s="1515" t="s">
        <v>2158</v>
      </c>
      <c r="R283" s="1551" t="s">
        <v>2159</v>
      </c>
      <c r="S283" s="1379"/>
      <c r="T283" s="578"/>
      <c r="U283" s="1526"/>
      <c r="V283" s="1417"/>
      <c r="W283" s="1355"/>
      <c r="X283" s="1355"/>
      <c r="Y283" s="1141"/>
      <c r="Z283" s="599"/>
      <c r="AA283" s="599"/>
      <c r="AB283" s="1455"/>
      <c r="AC283" s="984"/>
      <c r="AD283" s="599"/>
      <c r="AE283" s="984"/>
      <c r="AF283" s="599"/>
      <c r="AG283" s="599"/>
      <c r="IV283" s="975"/>
    </row>
    <row r="284" spans="1:256" ht="105.75" customHeight="1">
      <c r="B284" s="2586"/>
      <c r="C284" s="2588"/>
      <c r="D284" s="2417"/>
      <c r="E284" s="602"/>
      <c r="F284" s="2584"/>
      <c r="G284" s="1119"/>
      <c r="H284" s="602"/>
      <c r="I284" s="2591"/>
      <c r="J284" s="2590"/>
      <c r="K284" s="2574"/>
      <c r="L284" s="1539"/>
      <c r="M284" s="1558" t="s">
        <v>2160</v>
      </c>
      <c r="N284" s="1559">
        <f>561800+110750+415200+582300+550430+249780+190750</f>
        <v>2661010</v>
      </c>
      <c r="O284" s="1064"/>
      <c r="P284" s="1542">
        <f>311800+250000+110750+415200+582300+550430+249780</f>
        <v>2470260</v>
      </c>
      <c r="Q284" s="1338" t="s">
        <v>3848</v>
      </c>
      <c r="R284" s="1338" t="s">
        <v>2161</v>
      </c>
      <c r="S284" s="1379"/>
      <c r="T284" s="578"/>
      <c r="U284" s="1526"/>
      <c r="V284" s="1417"/>
      <c r="W284" s="1355"/>
      <c r="X284" s="1355"/>
      <c r="Y284" s="1141"/>
      <c r="Z284" s="599"/>
      <c r="AA284" s="599"/>
      <c r="AB284" s="1455"/>
      <c r="AC284" s="984"/>
      <c r="AD284" s="599"/>
      <c r="AE284" s="984"/>
      <c r="AF284" s="599"/>
      <c r="AG284" s="599"/>
      <c r="IV284" s="975"/>
    </row>
    <row r="285" spans="1:256" ht="86.25" customHeight="1">
      <c r="B285" s="2586"/>
      <c r="C285" s="2588"/>
      <c r="D285" s="2417"/>
      <c r="E285" s="602"/>
      <c r="F285" s="2584"/>
      <c r="G285" s="1119"/>
      <c r="H285" s="602"/>
      <c r="I285" s="2591"/>
      <c r="J285" s="2590"/>
      <c r="K285" s="2574"/>
      <c r="L285" s="843"/>
      <c r="M285" s="1560" t="s">
        <v>2162</v>
      </c>
      <c r="N285" s="1561">
        <f>458350+583435</f>
        <v>1041785</v>
      </c>
      <c r="O285" s="1006"/>
      <c r="P285" s="1562" t="s">
        <v>2163</v>
      </c>
      <c r="Q285" s="1563"/>
      <c r="R285" s="1564" t="s">
        <v>2164</v>
      </c>
      <c r="S285" s="1379"/>
      <c r="T285" s="578"/>
      <c r="U285" s="1526"/>
      <c r="V285" s="1417"/>
      <c r="W285" s="1355"/>
      <c r="X285" s="1355"/>
      <c r="Y285" s="1141"/>
      <c r="Z285" s="599"/>
      <c r="AA285" s="599"/>
      <c r="AB285" s="1455"/>
      <c r="AC285" s="984"/>
      <c r="AD285" s="599"/>
      <c r="AE285" s="984"/>
      <c r="AF285" s="599"/>
      <c r="AG285" s="599"/>
      <c r="IV285" s="975"/>
    </row>
    <row r="286" spans="1:256" ht="80.25" customHeight="1">
      <c r="B286" s="2586"/>
      <c r="C286" s="2588"/>
      <c r="D286" s="2417"/>
      <c r="E286" s="602"/>
      <c r="F286" s="2584"/>
      <c r="G286" s="1119"/>
      <c r="H286" s="602"/>
      <c r="I286" s="1538"/>
      <c r="J286" s="2590"/>
      <c r="K286" s="2574"/>
      <c r="L286" s="843"/>
      <c r="M286" s="1566" t="s">
        <v>3849</v>
      </c>
      <c r="N286" s="1561">
        <f>557850+517500+48250+410530+488350</f>
        <v>2022480</v>
      </c>
      <c r="O286" s="1006">
        <f>517500+48250+410530+488350</f>
        <v>1464630</v>
      </c>
      <c r="P286" s="1567" t="s">
        <v>2165</v>
      </c>
      <c r="Q286" s="1568"/>
      <c r="R286" s="1569" t="s">
        <v>2166</v>
      </c>
      <c r="S286" s="1379"/>
      <c r="T286" s="578"/>
      <c r="U286" s="1526"/>
      <c r="V286" s="1417"/>
      <c r="W286" s="1355"/>
      <c r="X286" s="1355"/>
      <c r="Y286" s="1141"/>
      <c r="Z286" s="599"/>
      <c r="AA286" s="599"/>
      <c r="AB286" s="1455"/>
      <c r="AC286" s="984"/>
      <c r="AD286" s="599"/>
      <c r="AE286" s="984"/>
      <c r="AF286" s="599"/>
      <c r="AG286" s="599"/>
      <c r="IV286" s="975"/>
    </row>
    <row r="287" spans="1:256" ht="80.25" customHeight="1">
      <c r="B287" s="2586"/>
      <c r="C287" s="2588"/>
      <c r="D287" s="2417"/>
      <c r="E287" s="602"/>
      <c r="F287" s="2584"/>
      <c r="G287" s="1119"/>
      <c r="H287" s="602"/>
      <c r="I287" s="1538"/>
      <c r="J287" s="2590"/>
      <c r="K287" s="2574"/>
      <c r="L287" s="843"/>
      <c r="M287" s="1570" t="s">
        <v>3850</v>
      </c>
      <c r="N287" s="1561">
        <v>5370790</v>
      </c>
      <c r="O287" s="1006"/>
      <c r="P287" s="1567"/>
      <c r="Q287" s="1568" t="s">
        <v>2167</v>
      </c>
      <c r="R287" s="1569" t="s">
        <v>2168</v>
      </c>
      <c r="S287" s="1379"/>
      <c r="T287" s="578"/>
      <c r="U287" s="1526"/>
      <c r="V287" s="1417"/>
      <c r="W287" s="1355"/>
      <c r="X287" s="1355"/>
      <c r="Y287" s="1141"/>
      <c r="Z287" s="599"/>
      <c r="AA287" s="599"/>
      <c r="AB287" s="1455"/>
      <c r="AC287" s="984"/>
      <c r="AD287" s="599"/>
      <c r="AE287" s="984"/>
      <c r="AF287" s="599"/>
      <c r="AG287" s="599"/>
      <c r="IV287" s="975"/>
    </row>
    <row r="288" spans="1:256" ht="75.75" customHeight="1">
      <c r="B288" s="2586"/>
      <c r="C288" s="2588"/>
      <c r="D288" s="2417"/>
      <c r="E288" s="602"/>
      <c r="F288" s="2584"/>
      <c r="G288" s="1119"/>
      <c r="H288" s="602"/>
      <c r="I288" s="1538"/>
      <c r="J288" s="2590"/>
      <c r="K288" s="2574"/>
      <c r="L288" s="843"/>
      <c r="M288" s="1560" t="s">
        <v>3851</v>
      </c>
      <c r="N288" s="1561">
        <f>542400+272800+590910+284091</f>
        <v>1690201</v>
      </c>
      <c r="O288" s="1006"/>
      <c r="P288" s="1567" t="s">
        <v>2169</v>
      </c>
      <c r="Q288" s="1567" t="s">
        <v>2169</v>
      </c>
      <c r="R288" s="1569" t="s">
        <v>2170</v>
      </c>
      <c r="S288" s="1379"/>
      <c r="T288" s="578"/>
      <c r="U288" s="1526"/>
      <c r="V288" s="1417"/>
      <c r="W288" s="1355"/>
      <c r="X288" s="1355"/>
      <c r="Y288" s="1141"/>
      <c r="Z288" s="599"/>
      <c r="AA288" s="599"/>
      <c r="AB288" s="1455"/>
      <c r="AC288" s="984"/>
      <c r="AD288" s="599"/>
      <c r="AE288" s="984"/>
      <c r="AF288" s="599"/>
      <c r="AG288" s="599"/>
      <c r="IV288" s="975"/>
    </row>
    <row r="289" spans="1:256" ht="72.75" customHeight="1">
      <c r="B289" s="2586"/>
      <c r="C289" s="2588"/>
      <c r="D289" s="2417"/>
      <c r="E289" s="602"/>
      <c r="F289" s="2584"/>
      <c r="G289" s="1119"/>
      <c r="H289" s="602"/>
      <c r="I289" s="1538"/>
      <c r="J289" s="2590"/>
      <c r="K289" s="2574"/>
      <c r="L289" s="843"/>
      <c r="M289" s="1571" t="s">
        <v>3852</v>
      </c>
      <c r="N289" s="1057">
        <v>257300</v>
      </c>
      <c r="O289" s="1006"/>
      <c r="P289" s="1567">
        <v>257300</v>
      </c>
      <c r="Q289" s="1567">
        <v>257300</v>
      </c>
      <c r="R289" s="1569">
        <v>42972</v>
      </c>
      <c r="S289" s="1379"/>
      <c r="T289" s="578"/>
      <c r="U289" s="1526"/>
      <c r="V289" s="1417"/>
      <c r="W289" s="1355"/>
      <c r="X289" s="1355"/>
      <c r="Y289" s="1141"/>
      <c r="Z289" s="599"/>
      <c r="AA289" s="599"/>
      <c r="AB289" s="1455"/>
      <c r="AC289" s="984"/>
      <c r="AD289" s="599"/>
      <c r="AE289" s="984"/>
      <c r="AF289" s="599"/>
      <c r="AG289" s="599"/>
      <c r="IV289" s="975"/>
    </row>
    <row r="290" spans="1:256" ht="72.75" customHeight="1">
      <c r="B290" s="2586"/>
      <c r="C290" s="2588"/>
      <c r="D290" s="2417"/>
      <c r="E290" s="602"/>
      <c r="F290" s="2584"/>
      <c r="G290" s="1119"/>
      <c r="H290" s="602"/>
      <c r="I290" s="1538"/>
      <c r="J290" s="2590"/>
      <c r="K290" s="2574"/>
      <c r="L290" s="843"/>
      <c r="M290" s="1560" t="s">
        <v>3853</v>
      </c>
      <c r="N290" s="1057">
        <v>570000</v>
      </c>
      <c r="O290" s="1006"/>
      <c r="P290" s="1567"/>
      <c r="Q290" s="1568">
        <v>570000</v>
      </c>
      <c r="R290" s="1569">
        <v>42949</v>
      </c>
      <c r="S290" s="1379"/>
      <c r="T290" s="578"/>
      <c r="U290" s="1526"/>
      <c r="V290" s="1417"/>
      <c r="W290" s="1355"/>
      <c r="X290" s="1355"/>
      <c r="Y290" s="1141"/>
      <c r="Z290" s="599"/>
      <c r="AA290" s="599"/>
      <c r="AB290" s="1455"/>
      <c r="AC290" s="984"/>
      <c r="AD290" s="599"/>
      <c r="AE290" s="984"/>
      <c r="AF290" s="599"/>
      <c r="AG290" s="599"/>
      <c r="IV290" s="975"/>
    </row>
    <row r="291" spans="1:256" ht="82.5" customHeight="1">
      <c r="B291" s="2586"/>
      <c r="C291" s="2588"/>
      <c r="D291" s="2417"/>
      <c r="E291" s="602"/>
      <c r="F291" s="2584"/>
      <c r="G291" s="1119"/>
      <c r="H291" s="602"/>
      <c r="I291" s="1538"/>
      <c r="J291" s="2590"/>
      <c r="K291" s="2574"/>
      <c r="L291" s="843"/>
      <c r="M291" s="1572" t="s">
        <v>2171</v>
      </c>
      <c r="N291" s="1515"/>
      <c r="O291" s="1006"/>
      <c r="P291" s="579">
        <v>447650</v>
      </c>
      <c r="Q291" s="1573"/>
      <c r="R291" s="1556">
        <v>43144</v>
      </c>
      <c r="S291" s="1379"/>
      <c r="T291" s="578"/>
      <c r="U291" s="1526"/>
      <c r="V291" s="1417"/>
      <c r="W291" s="1355"/>
      <c r="X291" s="1355"/>
      <c r="Y291" s="1141"/>
      <c r="Z291" s="599"/>
      <c r="AA291" s="599"/>
      <c r="AB291" s="1455"/>
      <c r="AC291" s="984"/>
      <c r="AD291" s="599"/>
      <c r="AE291" s="984"/>
      <c r="AF291" s="599"/>
      <c r="AG291" s="599"/>
      <c r="IV291" s="975"/>
    </row>
    <row r="292" spans="1:256" ht="82.5" customHeight="1">
      <c r="B292" s="2586"/>
      <c r="C292" s="2588"/>
      <c r="D292" s="2417"/>
      <c r="E292" s="602"/>
      <c r="F292" s="2584"/>
      <c r="G292" s="1119"/>
      <c r="H292" s="602"/>
      <c r="I292" s="1538"/>
      <c r="J292" s="2590"/>
      <c r="K292" s="2574"/>
      <c r="L292" s="599"/>
      <c r="M292" s="1574" t="s">
        <v>2172</v>
      </c>
      <c r="N292" s="1057">
        <v>1425000</v>
      </c>
      <c r="O292" s="1006"/>
      <c r="P292" s="1057"/>
      <c r="Q292" s="1455" t="s">
        <v>3854</v>
      </c>
      <c r="R292" s="1575" t="s">
        <v>2173</v>
      </c>
      <c r="S292" s="1576"/>
      <c r="T292" s="1577"/>
      <c r="U292" s="1578"/>
      <c r="V292" s="1579"/>
      <c r="W292" s="1580"/>
      <c r="X292" s="1580"/>
      <c r="Y292" s="1345"/>
      <c r="Z292" s="607"/>
      <c r="AA292" s="607"/>
      <c r="AB292" s="1581"/>
      <c r="AC292" s="1088"/>
      <c r="AD292" s="607"/>
      <c r="AE292" s="1088"/>
      <c r="AF292" s="607"/>
      <c r="AG292" s="607"/>
      <c r="IV292" s="975"/>
    </row>
    <row r="293" spans="1:256" ht="82.5" customHeight="1">
      <c r="B293" s="2586"/>
      <c r="C293" s="2588"/>
      <c r="D293" s="2417"/>
      <c r="E293" s="602"/>
      <c r="F293" s="2584"/>
      <c r="G293" s="1119"/>
      <c r="H293" s="602"/>
      <c r="I293" s="1538"/>
      <c r="J293" s="2590"/>
      <c r="K293" s="2574"/>
      <c r="L293" s="599"/>
      <c r="M293" s="1582" t="s">
        <v>2174</v>
      </c>
      <c r="N293" s="1057">
        <v>931530</v>
      </c>
      <c r="O293" s="1006"/>
      <c r="P293" s="1057"/>
      <c r="Q293" s="1583">
        <f>432780+498750</f>
        <v>931530</v>
      </c>
      <c r="R293" s="1575" t="s">
        <v>2175</v>
      </c>
      <c r="S293" s="1576"/>
      <c r="T293" s="1577"/>
      <c r="U293" s="1578"/>
      <c r="V293" s="1579"/>
      <c r="W293" s="1580"/>
      <c r="X293" s="1580"/>
      <c r="Y293" s="1345"/>
      <c r="Z293" s="607"/>
      <c r="AA293" s="607"/>
      <c r="AB293" s="1581"/>
      <c r="AC293" s="1088"/>
      <c r="AD293" s="607"/>
      <c r="AE293" s="1088"/>
      <c r="AF293" s="607"/>
      <c r="AG293" s="607"/>
      <c r="IV293" s="975"/>
    </row>
    <row r="294" spans="1:256" ht="82.5" customHeight="1">
      <c r="B294" s="2586"/>
      <c r="C294" s="2588"/>
      <c r="D294" s="2417"/>
      <c r="E294" s="602"/>
      <c r="F294" s="2584"/>
      <c r="G294" s="1119"/>
      <c r="H294" s="602"/>
      <c r="I294" s="1538"/>
      <c r="J294" s="2590"/>
      <c r="K294" s="2574"/>
      <c r="L294" s="599"/>
      <c r="M294" s="1582" t="s">
        <v>2176</v>
      </c>
      <c r="N294" s="1057">
        <v>1011760</v>
      </c>
      <c r="O294" s="1006"/>
      <c r="P294" s="1057"/>
      <c r="Q294" s="1455" t="s">
        <v>2177</v>
      </c>
      <c r="R294" s="1584" t="s">
        <v>2178</v>
      </c>
      <c r="S294" s="1576"/>
      <c r="T294" s="1577"/>
      <c r="U294" s="1578"/>
      <c r="V294" s="1579"/>
      <c r="W294" s="1580"/>
      <c r="X294" s="1580"/>
      <c r="Y294" s="1345"/>
      <c r="Z294" s="607"/>
      <c r="AA294" s="607"/>
      <c r="AB294" s="1581"/>
      <c r="AC294" s="1088"/>
      <c r="AD294" s="607"/>
      <c r="AE294" s="1088"/>
      <c r="AF294" s="607"/>
      <c r="AG294" s="607"/>
      <c r="IV294" s="975"/>
    </row>
    <row r="295" spans="1:256" ht="53.25" customHeight="1">
      <c r="A295" s="311"/>
      <c r="B295" s="2586"/>
      <c r="C295" s="2588"/>
      <c r="D295" s="2417"/>
      <c r="E295" s="599"/>
      <c r="F295" s="2584"/>
      <c r="G295" s="601"/>
      <c r="H295" s="601"/>
      <c r="I295" s="602"/>
      <c r="J295" s="2590"/>
      <c r="K295" s="2574"/>
      <c r="L295" s="599"/>
      <c r="M295" s="1585" t="s">
        <v>3855</v>
      </c>
      <c r="N295" s="1586">
        <f>200000                            +102000                 +98000</f>
        <v>400000</v>
      </c>
      <c r="O295" s="2695">
        <f>N295+N296</f>
        <v>1399000</v>
      </c>
      <c r="P295" s="1587"/>
      <c r="Q295" s="1588" t="s">
        <v>3025</v>
      </c>
      <c r="R295" s="1589" t="s">
        <v>3024</v>
      </c>
      <c r="S295" s="607"/>
      <c r="T295" s="607"/>
      <c r="U295" s="1590"/>
      <c r="V295" s="1088"/>
      <c r="W295" s="1088"/>
      <c r="X295" s="1088"/>
      <c r="Y295" s="1591"/>
      <c r="Z295" s="607"/>
      <c r="AA295" s="1344"/>
      <c r="AB295" s="1592"/>
      <c r="AC295" s="1088"/>
      <c r="AD295" s="607"/>
      <c r="AE295" s="1088"/>
      <c r="AF295" s="607"/>
      <c r="AG295" s="607"/>
      <c r="IV295" s="975"/>
    </row>
    <row r="296" spans="1:256" ht="55.5" customHeight="1">
      <c r="A296" s="311"/>
      <c r="B296" s="2586"/>
      <c r="C296" s="2588"/>
      <c r="D296" s="2417"/>
      <c r="E296" s="599"/>
      <c r="F296" s="2584"/>
      <c r="G296" s="601"/>
      <c r="H296" s="601"/>
      <c r="I296" s="602"/>
      <c r="J296" s="2590"/>
      <c r="K296" s="2574"/>
      <c r="L296" s="599"/>
      <c r="M296" s="1585" t="s">
        <v>3856</v>
      </c>
      <c r="N296" s="1586">
        <f>499500                         +499500</f>
        <v>999000</v>
      </c>
      <c r="O296" s="2696"/>
      <c r="P296" s="1587"/>
      <c r="Q296" s="1588" t="s">
        <v>3182</v>
      </c>
      <c r="R296" s="1589" t="s">
        <v>3183</v>
      </c>
      <c r="S296" s="607"/>
      <c r="T296" s="607"/>
      <c r="U296" s="1590"/>
      <c r="V296" s="1088"/>
      <c r="W296" s="1088"/>
      <c r="X296" s="1088"/>
      <c r="Y296" s="1591"/>
      <c r="Z296" s="607"/>
      <c r="AA296" s="1344"/>
      <c r="AB296" s="1592"/>
      <c r="AC296" s="1088"/>
      <c r="AD296" s="607"/>
      <c r="AE296" s="1088"/>
      <c r="AF296" s="607"/>
      <c r="AG296" s="607"/>
      <c r="IV296" s="975"/>
    </row>
    <row r="297" spans="1:256" ht="80.25" customHeight="1">
      <c r="A297" s="311"/>
      <c r="B297" s="2586"/>
      <c r="C297" s="2588"/>
      <c r="D297" s="2417"/>
      <c r="E297" s="599"/>
      <c r="F297" s="2584"/>
      <c r="G297" s="601"/>
      <c r="H297" s="601"/>
      <c r="I297" s="602"/>
      <c r="J297" s="2590"/>
      <c r="K297" s="2574"/>
      <c r="L297" s="599"/>
      <c r="M297" s="1120" t="s">
        <v>3857</v>
      </c>
      <c r="N297" s="1455" t="str">
        <f>Q297</f>
        <v>574700 +          535680       +153975       +114940        +114942           +300000</v>
      </c>
      <c r="O297" s="1455"/>
      <c r="P297" s="1455"/>
      <c r="Q297" s="1455" t="s">
        <v>2179</v>
      </c>
      <c r="R297" s="1455" t="s">
        <v>2180</v>
      </c>
      <c r="S297" s="607"/>
      <c r="T297" s="607"/>
      <c r="U297" s="1590"/>
      <c r="V297" s="1088"/>
      <c r="W297" s="1088"/>
      <c r="X297" s="1088"/>
      <c r="Y297" s="607"/>
      <c r="Z297" s="607"/>
      <c r="AA297" s="1344"/>
      <c r="AB297" s="1592"/>
      <c r="AC297" s="1088"/>
      <c r="AD297" s="607"/>
      <c r="AE297" s="1088"/>
      <c r="AF297" s="607"/>
      <c r="AG297" s="607"/>
      <c r="IV297" s="975"/>
    </row>
    <row r="298" spans="1:256" ht="67.5" customHeight="1">
      <c r="A298" s="311"/>
      <c r="B298" s="2586"/>
      <c r="C298" s="1385"/>
      <c r="D298" s="442"/>
      <c r="E298" s="599"/>
      <c r="F298" s="1593"/>
      <c r="G298" s="601"/>
      <c r="H298" s="601"/>
      <c r="I298" s="602"/>
      <c r="J298" s="1594"/>
      <c r="K298" s="1595"/>
      <c r="L298" s="594"/>
      <c r="M298" s="1596" t="s">
        <v>3858</v>
      </c>
      <c r="N298" s="1597" t="s">
        <v>2181</v>
      </c>
      <c r="O298" s="1598">
        <v>330000</v>
      </c>
      <c r="P298" s="1581"/>
      <c r="Q298" s="924"/>
      <c r="R298" s="1599" t="s">
        <v>2182</v>
      </c>
      <c r="S298" s="1600" t="s">
        <v>2183</v>
      </c>
      <c r="T298" s="607"/>
      <c r="U298" s="607"/>
      <c r="V298" s="1590"/>
      <c r="W298" s="1088"/>
      <c r="X298" s="1088"/>
      <c r="Y298" s="1088"/>
      <c r="Z298" s="1591"/>
      <c r="AA298" s="607"/>
      <c r="AB298" s="1344"/>
      <c r="AC298" s="1592"/>
      <c r="AD298" s="1088"/>
      <c r="AE298" s="607"/>
      <c r="AF298" s="1088"/>
      <c r="AG298" s="607"/>
      <c r="AH298" s="607"/>
    </row>
    <row r="299" spans="1:256" ht="93.75" customHeight="1">
      <c r="A299" s="1213"/>
      <c r="B299" s="1601" t="s">
        <v>3859</v>
      </c>
      <c r="C299" s="607" t="s">
        <v>2184</v>
      </c>
      <c r="D299" s="1459" t="s">
        <v>2185</v>
      </c>
      <c r="E299" s="899" t="s">
        <v>2186</v>
      </c>
      <c r="F299" s="1602">
        <v>77280</v>
      </c>
      <c r="G299" s="1200">
        <v>38640</v>
      </c>
      <c r="H299" s="1603"/>
      <c r="I299" s="599"/>
      <c r="J299" s="1141">
        <v>77280</v>
      </c>
      <c r="K299" s="969"/>
      <c r="L299" s="594" t="s">
        <v>401</v>
      </c>
      <c r="M299" s="1530"/>
      <c r="N299" s="594"/>
      <c r="O299" s="1464"/>
      <c r="P299" s="1473"/>
      <c r="Q299" s="989"/>
      <c r="R299" s="1592" t="s">
        <v>1551</v>
      </c>
      <c r="S299" s="599"/>
      <c r="T299" s="599"/>
      <c r="U299" s="599"/>
      <c r="V299" s="1042"/>
      <c r="W299" s="984"/>
      <c r="X299" s="984"/>
      <c r="Y299" s="599"/>
      <c r="Z299" s="599"/>
      <c r="AA299" s="599"/>
      <c r="AB299" s="599"/>
      <c r="AC299" s="1464"/>
      <c r="AD299" s="984"/>
      <c r="AE299" s="599"/>
      <c r="AF299" s="984"/>
      <c r="AG299" s="599"/>
      <c r="AH299" s="599"/>
    </row>
    <row r="300" spans="1:256" ht="63" customHeight="1">
      <c r="A300" s="599"/>
      <c r="B300" s="465" t="s">
        <v>3860</v>
      </c>
      <c r="C300" s="741" t="s">
        <v>2187</v>
      </c>
      <c r="D300" s="1304" t="s">
        <v>2188</v>
      </c>
      <c r="E300" s="741"/>
      <c r="F300" s="1487">
        <v>168000</v>
      </c>
      <c r="G300" s="741">
        <v>91000</v>
      </c>
      <c r="H300" s="997">
        <v>91000</v>
      </c>
      <c r="I300" s="741"/>
      <c r="J300" s="1002">
        <f>130000+38000</f>
        <v>168000</v>
      </c>
      <c r="K300" s="580"/>
      <c r="L300" s="594" t="s">
        <v>401</v>
      </c>
      <c r="M300" s="996"/>
      <c r="N300" s="1006"/>
      <c r="O300" s="1006"/>
      <c r="P300" s="890"/>
      <c r="Q300" s="599"/>
      <c r="R300" s="599"/>
      <c r="S300" s="624"/>
      <c r="T300" s="1140"/>
      <c r="U300" s="1140"/>
      <c r="V300" s="1526"/>
      <c r="W300" s="1417"/>
      <c r="X300" s="1355"/>
      <c r="Y300" s="1355"/>
      <c r="Z300" s="1141"/>
      <c r="AA300" s="599"/>
      <c r="AB300" s="599"/>
      <c r="AC300" s="1455"/>
      <c r="AD300" s="984"/>
      <c r="AE300" s="599"/>
      <c r="AF300" s="984"/>
      <c r="AG300" s="599"/>
      <c r="AH300" s="599"/>
    </row>
    <row r="301" spans="1:256" ht="51" customHeight="1">
      <c r="A301" s="599"/>
      <c r="B301" s="2416" t="s">
        <v>3861</v>
      </c>
      <c r="C301" s="2483" t="s">
        <v>2189</v>
      </c>
      <c r="D301" s="2416" t="s">
        <v>2190</v>
      </c>
      <c r="E301" s="2483" t="s">
        <v>2191</v>
      </c>
      <c r="F301" s="2544">
        <v>14471191.32</v>
      </c>
      <c r="G301" s="2699" t="s">
        <v>65</v>
      </c>
      <c r="H301" s="2542" t="s">
        <v>2192</v>
      </c>
      <c r="I301" s="2542" t="s">
        <v>3862</v>
      </c>
      <c r="J301" s="2615" t="s">
        <v>2193</v>
      </c>
      <c r="K301" s="580"/>
      <c r="L301" s="599"/>
      <c r="M301" s="1146" t="s">
        <v>2194</v>
      </c>
      <c r="N301" s="1131" t="s">
        <v>3863</v>
      </c>
      <c r="O301" s="1050">
        <v>200000</v>
      </c>
      <c r="P301" s="1362"/>
      <c r="Q301" s="1050">
        <v>200000</v>
      </c>
      <c r="R301" s="594">
        <v>200000</v>
      </c>
      <c r="S301" s="624" t="s">
        <v>2195</v>
      </c>
      <c r="T301" s="1379"/>
      <c r="U301" s="1140"/>
      <c r="V301" s="1526"/>
      <c r="W301" s="1417"/>
      <c r="X301" s="1355"/>
      <c r="Y301" s="1355"/>
      <c r="Z301" s="1141"/>
      <c r="AA301" s="599"/>
      <c r="AB301" s="599"/>
      <c r="AC301" s="1455"/>
      <c r="AD301" s="984"/>
      <c r="AE301" s="599"/>
      <c r="AF301" s="984"/>
      <c r="AG301" s="599"/>
      <c r="AH301" s="599"/>
    </row>
    <row r="302" spans="1:256" ht="57" customHeight="1">
      <c r="B302" s="2416"/>
      <c r="C302" s="2483"/>
      <c r="D302" s="2416"/>
      <c r="E302" s="2483"/>
      <c r="F302" s="2544"/>
      <c r="G302" s="2699"/>
      <c r="H302" s="2542"/>
      <c r="I302" s="2542"/>
      <c r="J302" s="2615"/>
      <c r="K302" s="1604"/>
      <c r="L302" s="741"/>
      <c r="M302" s="1076" t="s">
        <v>3864</v>
      </c>
      <c r="N302" s="1171" t="s">
        <v>3865</v>
      </c>
      <c r="O302" s="1605">
        <f>1500000+600000+500000</f>
        <v>2600000</v>
      </c>
      <c r="P302" s="599"/>
      <c r="Q302" s="1515" t="s">
        <v>2196</v>
      </c>
      <c r="R302" s="1515" t="s">
        <v>2196</v>
      </c>
      <c r="S302" s="580"/>
      <c r="T302" s="1379"/>
      <c r="U302" s="578"/>
      <c r="V302" s="1526"/>
      <c r="W302" s="1417"/>
      <c r="X302" s="1355"/>
      <c r="Y302" s="1355"/>
      <c r="Z302" s="1141"/>
      <c r="AA302" s="599"/>
      <c r="AB302" s="599"/>
      <c r="AC302" s="1455"/>
      <c r="AD302" s="984"/>
      <c r="AE302" s="599"/>
      <c r="AF302" s="984"/>
      <c r="AG302" s="599"/>
      <c r="AH302" s="599"/>
    </row>
    <row r="303" spans="1:256" ht="58.5" customHeight="1">
      <c r="B303" s="2416"/>
      <c r="C303" s="2483"/>
      <c r="D303" s="2416"/>
      <c r="E303" s="2483"/>
      <c r="F303" s="2544"/>
      <c r="G303" s="2699"/>
      <c r="H303" s="2542"/>
      <c r="I303" s="2542"/>
      <c r="J303" s="2615"/>
      <c r="K303" s="1604"/>
      <c r="L303" s="741"/>
      <c r="M303" s="1017" t="s">
        <v>2197</v>
      </c>
      <c r="N303" s="594" t="s">
        <v>3866</v>
      </c>
      <c r="O303" s="579">
        <f>2900000+50000+30000</f>
        <v>2980000</v>
      </c>
      <c r="P303" s="580"/>
      <c r="Q303" s="579" t="s">
        <v>2198</v>
      </c>
      <c r="R303" s="579">
        <f>2900000+50000+30000</f>
        <v>2980000</v>
      </c>
      <c r="S303" s="581" t="s">
        <v>2199</v>
      </c>
      <c r="T303" s="1379"/>
      <c r="U303" s="578" t="s">
        <v>2200</v>
      </c>
      <c r="V303" s="1526"/>
      <c r="W303" s="1417"/>
      <c r="X303" s="1355"/>
      <c r="Y303" s="1355"/>
      <c r="Z303" s="1141"/>
      <c r="AA303" s="599"/>
      <c r="AB303" s="599"/>
      <c r="AC303" s="1455"/>
      <c r="AD303" s="984"/>
      <c r="AE303" s="599"/>
      <c r="AF303" s="984"/>
      <c r="AG303" s="599"/>
      <c r="AH303" s="599"/>
    </row>
    <row r="304" spans="1:256" ht="66.75" customHeight="1">
      <c r="B304" s="2416"/>
      <c r="C304" s="2483"/>
      <c r="D304" s="2416"/>
      <c r="E304" s="2483"/>
      <c r="F304" s="2544"/>
      <c r="G304" s="2699"/>
      <c r="H304" s="2542"/>
      <c r="I304" s="2542"/>
      <c r="J304" s="2615"/>
      <c r="K304" s="1604"/>
      <c r="L304" s="741"/>
      <c r="M304" s="1606" t="s">
        <v>2201</v>
      </c>
      <c r="N304" s="1607" t="s">
        <v>2202</v>
      </c>
      <c r="O304" s="1608"/>
      <c r="P304" s="992"/>
      <c r="Q304" s="1608">
        <v>484132</v>
      </c>
      <c r="R304" s="1609" t="s">
        <v>1865</v>
      </c>
      <c r="S304" s="580"/>
      <c r="T304" s="1379"/>
      <c r="U304" s="578"/>
      <c r="V304" s="1526"/>
      <c r="W304" s="1417"/>
      <c r="X304" s="1355"/>
      <c r="Y304" s="1355"/>
      <c r="Z304" s="1141"/>
      <c r="AA304" s="599"/>
      <c r="AB304" s="599"/>
      <c r="AC304" s="1455"/>
      <c r="AD304" s="984"/>
      <c r="AE304" s="599"/>
      <c r="AF304" s="984"/>
      <c r="AG304" s="599"/>
      <c r="AH304" s="599"/>
    </row>
    <row r="305" spans="1:34" ht="37.5" customHeight="1">
      <c r="A305" s="599"/>
      <c r="B305" s="2416"/>
      <c r="C305" s="2483"/>
      <c r="D305" s="2416"/>
      <c r="E305" s="2483"/>
      <c r="F305" s="2544"/>
      <c r="G305" s="2699"/>
      <c r="H305" s="2542"/>
      <c r="I305" s="2542"/>
      <c r="J305" s="2615"/>
      <c r="K305" s="580"/>
      <c r="L305" s="599"/>
      <c r="M305" s="987" t="s">
        <v>3867</v>
      </c>
      <c r="N305" s="1610" t="s">
        <v>3868</v>
      </c>
      <c r="O305" s="589">
        <v>500000</v>
      </c>
      <c r="P305" s="1611"/>
      <c r="Q305" s="1070">
        <v>500000</v>
      </c>
      <c r="R305" s="594">
        <v>500000</v>
      </c>
      <c r="S305" s="624" t="s">
        <v>2135</v>
      </c>
      <c r="T305" s="1379"/>
      <c r="U305" s="1140"/>
      <c r="V305" s="1526"/>
      <c r="W305" s="1417"/>
      <c r="X305" s="1355"/>
      <c r="Y305" s="1355"/>
      <c r="Z305" s="1141"/>
      <c r="AA305" s="599"/>
      <c r="AB305" s="599"/>
      <c r="AC305" s="1455"/>
      <c r="AD305" s="984"/>
      <c r="AE305" s="599"/>
      <c r="AF305" s="984"/>
      <c r="AG305" s="599"/>
      <c r="AH305" s="599"/>
    </row>
    <row r="306" spans="1:34" ht="62.25" customHeight="1">
      <c r="A306" s="997"/>
      <c r="B306" s="2594" t="s">
        <v>3869</v>
      </c>
      <c r="C306" s="2542" t="s">
        <v>2203</v>
      </c>
      <c r="D306" s="2578" t="s">
        <v>2204</v>
      </c>
      <c r="E306" s="843"/>
      <c r="F306" s="1487"/>
      <c r="G306" s="741"/>
      <c r="H306" s="1408"/>
      <c r="I306" s="607"/>
      <c r="J306" s="1002"/>
      <c r="K306" s="580"/>
      <c r="L306" s="2594" t="s">
        <v>401</v>
      </c>
      <c r="M306" s="1248" t="s">
        <v>3870</v>
      </c>
      <c r="N306" s="594" t="s">
        <v>3871</v>
      </c>
      <c r="O306" s="1074">
        <v>120000</v>
      </c>
      <c r="P306" s="1006">
        <v>120000</v>
      </c>
      <c r="Q306" s="1006" t="s">
        <v>2205</v>
      </c>
      <c r="R306" s="594" t="s">
        <v>3872</v>
      </c>
      <c r="S306" s="1299">
        <v>42288</v>
      </c>
      <c r="T306" s="1140"/>
      <c r="U306" s="1612" t="s">
        <v>2206</v>
      </c>
      <c r="V306" s="1526"/>
      <c r="W306" s="1417"/>
      <c r="X306" s="1355"/>
      <c r="Y306" s="1355"/>
      <c r="Z306" s="1141"/>
      <c r="AA306" s="599"/>
      <c r="AB306" s="599"/>
      <c r="AC306" s="1455"/>
      <c r="AD306" s="984"/>
      <c r="AE306" s="599"/>
      <c r="AF306" s="984"/>
      <c r="AG306" s="599"/>
      <c r="AH306" s="599"/>
    </row>
    <row r="307" spans="1:34" ht="39.75" customHeight="1">
      <c r="A307" s="1213"/>
      <c r="B307" s="2594"/>
      <c r="C307" s="2542"/>
      <c r="D307" s="2578"/>
      <c r="E307" s="843" t="s">
        <v>2207</v>
      </c>
      <c r="F307" s="1305">
        <v>2492000</v>
      </c>
      <c r="G307" s="1124">
        <v>1412000</v>
      </c>
      <c r="H307" s="1450">
        <v>2018000</v>
      </c>
      <c r="I307" s="599"/>
      <c r="J307" s="1141">
        <v>2492000</v>
      </c>
      <c r="K307" s="969"/>
      <c r="L307" s="2594"/>
      <c r="M307" s="1146" t="s">
        <v>2208</v>
      </c>
      <c r="N307" s="1115" t="s">
        <v>3873</v>
      </c>
      <c r="O307" s="594">
        <v>750000</v>
      </c>
      <c r="P307" s="607"/>
      <c r="Q307" s="1408"/>
      <c r="R307" s="1049">
        <v>750000</v>
      </c>
      <c r="S307" s="624" t="s">
        <v>2103</v>
      </c>
      <c r="T307" s="1379"/>
      <c r="U307" s="578"/>
      <c r="V307" s="1042"/>
      <c r="W307" s="984"/>
      <c r="X307" s="984"/>
      <c r="Y307" s="599"/>
      <c r="Z307" s="599"/>
      <c r="AA307" s="599"/>
      <c r="AB307" s="599"/>
      <c r="AC307" s="1464"/>
      <c r="AD307" s="984"/>
      <c r="AE307" s="599"/>
      <c r="AF307" s="984"/>
      <c r="AG307" s="599"/>
      <c r="AH307" s="599"/>
    </row>
    <row r="308" spans="1:34" ht="64.5" customHeight="1">
      <c r="A308" s="1213"/>
      <c r="B308" s="2694" t="s">
        <v>3874</v>
      </c>
      <c r="C308" s="2484" t="s">
        <v>2209</v>
      </c>
      <c r="D308" s="2587" t="s">
        <v>2210</v>
      </c>
      <c r="E308" s="2483" t="s">
        <v>2207</v>
      </c>
      <c r="F308" s="2582">
        <v>920000</v>
      </c>
      <c r="G308" s="2544">
        <v>489000</v>
      </c>
      <c r="H308" s="2544">
        <v>489000</v>
      </c>
      <c r="I308" s="2542"/>
      <c r="J308" s="2582">
        <v>920000</v>
      </c>
      <c r="K308" s="2583"/>
      <c r="L308" s="2558" t="s">
        <v>401</v>
      </c>
      <c r="M308" s="1146" t="s">
        <v>2211</v>
      </c>
      <c r="N308" s="1115" t="s">
        <v>3875</v>
      </c>
      <c r="O308" s="594">
        <v>550000</v>
      </c>
      <c r="P308" s="599"/>
      <c r="Q308" s="599"/>
      <c r="R308" s="1049">
        <v>550000</v>
      </c>
      <c r="S308" s="624" t="s">
        <v>2103</v>
      </c>
      <c r="T308" s="1379"/>
      <c r="U308" s="578"/>
      <c r="V308" s="1042"/>
      <c r="W308" s="984"/>
      <c r="X308" s="984"/>
      <c r="Y308" s="599"/>
      <c r="Z308" s="599"/>
      <c r="AA308" s="599"/>
      <c r="AB308" s="599"/>
      <c r="AC308" s="1464"/>
      <c r="AD308" s="984"/>
      <c r="AE308" s="599"/>
      <c r="AF308" s="984"/>
      <c r="AG308" s="599"/>
      <c r="AH308" s="599"/>
    </row>
    <row r="309" spans="1:34" ht="78.75" customHeight="1">
      <c r="A309" s="997"/>
      <c r="B309" s="2694"/>
      <c r="C309" s="2484"/>
      <c r="D309" s="2587"/>
      <c r="E309" s="2483"/>
      <c r="F309" s="2582"/>
      <c r="G309" s="2544"/>
      <c r="H309" s="2544"/>
      <c r="I309" s="2542"/>
      <c r="J309" s="2582"/>
      <c r="K309" s="2583"/>
      <c r="L309" s="2558"/>
      <c r="M309" s="1017" t="s">
        <v>3876</v>
      </c>
      <c r="N309" s="594" t="s">
        <v>3877</v>
      </c>
      <c r="O309" s="582">
        <f>100000+44000+120000</f>
        <v>264000</v>
      </c>
      <c r="P309" s="2566" t="s">
        <v>2212</v>
      </c>
      <c r="Q309" s="2566"/>
      <c r="R309" s="580">
        <v>264000</v>
      </c>
      <c r="S309" s="624" t="s">
        <v>2213</v>
      </c>
      <c r="T309" s="1140"/>
      <c r="U309" s="578"/>
      <c r="V309" s="1526"/>
      <c r="W309" s="1417"/>
      <c r="X309" s="1355"/>
      <c r="Y309" s="1355"/>
      <c r="Z309" s="1141"/>
      <c r="AA309" s="599"/>
      <c r="AB309" s="599"/>
      <c r="AC309" s="1455"/>
      <c r="AD309" s="984"/>
      <c r="AE309" s="599"/>
      <c r="AF309" s="984"/>
      <c r="AG309" s="599"/>
      <c r="AH309" s="599"/>
    </row>
    <row r="310" spans="1:34" ht="77.25" customHeight="1">
      <c r="A310" s="599"/>
      <c r="B310" s="1484" t="s">
        <v>3878</v>
      </c>
      <c r="C310" s="1613" t="s">
        <v>2214</v>
      </c>
      <c r="D310" s="1076" t="s">
        <v>2215</v>
      </c>
      <c r="E310" s="890" t="s">
        <v>2207</v>
      </c>
      <c r="F310" s="1614">
        <v>3699000</v>
      </c>
      <c r="G310" s="600"/>
      <c r="H310" s="1615" t="s">
        <v>2216</v>
      </c>
      <c r="I310" s="599" t="s">
        <v>2217</v>
      </c>
      <c r="J310" s="1616">
        <f>1008640.4+1147474.48</f>
        <v>2156114.88</v>
      </c>
      <c r="K310" s="1617"/>
      <c r="L310" s="594"/>
      <c r="M310" s="1618" t="s">
        <v>3879</v>
      </c>
      <c r="N310" s="594" t="s">
        <v>2218</v>
      </c>
      <c r="O310" s="1542">
        <f>1400000+911000-300000</f>
        <v>2011000</v>
      </c>
      <c r="P310" s="1042"/>
      <c r="Q310" s="582" t="s">
        <v>2219</v>
      </c>
      <c r="R310" s="582" t="s">
        <v>3880</v>
      </c>
      <c r="S310" s="1295" t="s">
        <v>3881</v>
      </c>
      <c r="T310" s="1140"/>
      <c r="U310" s="1249" t="s">
        <v>2220</v>
      </c>
      <c r="V310" s="1526"/>
      <c r="W310" s="1417"/>
      <c r="X310" s="1355"/>
      <c r="Y310" s="1355"/>
      <c r="Z310" s="1141"/>
      <c r="AA310" s="599"/>
      <c r="AB310" s="599"/>
      <c r="AC310" s="1455"/>
      <c r="AD310" s="984"/>
      <c r="AE310" s="599"/>
      <c r="AF310" s="984"/>
      <c r="AG310" s="599"/>
      <c r="AH310" s="599"/>
    </row>
    <row r="311" spans="1:34" ht="73.5" customHeight="1">
      <c r="A311" s="899"/>
      <c r="B311" s="474" t="s">
        <v>3882</v>
      </c>
      <c r="C311" s="1619" t="s">
        <v>2221</v>
      </c>
      <c r="D311" s="1076" t="s">
        <v>2222</v>
      </c>
      <c r="E311" s="599"/>
      <c r="F311" s="1620">
        <f>1643339+28900</f>
        <v>1672239</v>
      </c>
      <c r="G311" s="601">
        <v>821669.5</v>
      </c>
      <c r="H311" s="625">
        <f>821669.5+28900+821669.5</f>
        <v>1672239</v>
      </c>
      <c r="I311" s="599" t="s">
        <v>2223</v>
      </c>
      <c r="J311" s="892" t="s">
        <v>2224</v>
      </c>
      <c r="K311" s="583">
        <f>F311-H311</f>
        <v>0</v>
      </c>
      <c r="L311" s="592" t="s">
        <v>2225</v>
      </c>
      <c r="M311" s="1036" t="s">
        <v>3883</v>
      </c>
      <c r="N311" s="1171" t="s">
        <v>3884</v>
      </c>
      <c r="O311" s="1006">
        <v>1400000</v>
      </c>
      <c r="P311" s="890"/>
      <c r="Q311" s="1006">
        <v>1400000</v>
      </c>
      <c r="R311" s="1054">
        <v>1400000</v>
      </c>
      <c r="S311" s="624" t="s">
        <v>2226</v>
      </c>
      <c r="T311" s="1140"/>
      <c r="U311" s="1140" t="s">
        <v>3885</v>
      </c>
      <c r="V311" s="1526"/>
      <c r="W311" s="1417"/>
      <c r="X311" s="1355"/>
      <c r="Y311" s="1355"/>
      <c r="Z311" s="1141"/>
      <c r="AA311" s="599"/>
      <c r="AB311" s="599"/>
      <c r="AC311" s="1455"/>
      <c r="AD311" s="984"/>
      <c r="AE311" s="599"/>
      <c r="AF311" s="984"/>
      <c r="AG311" s="599"/>
      <c r="AH311" s="599"/>
    </row>
    <row r="312" spans="1:34" ht="36.75" customHeight="1">
      <c r="A312" s="599"/>
      <c r="B312" s="1484" t="s">
        <v>3886</v>
      </c>
      <c r="C312" s="1613" t="s">
        <v>2227</v>
      </c>
      <c r="D312" s="1076" t="s">
        <v>2228</v>
      </c>
      <c r="E312" s="599" t="s">
        <v>2229</v>
      </c>
      <c r="F312" s="1614">
        <v>120000</v>
      </c>
      <c r="G312" s="600"/>
      <c r="H312" s="1615"/>
      <c r="I312" s="1616">
        <v>120000</v>
      </c>
      <c r="J312" s="1616">
        <v>120000</v>
      </c>
      <c r="K312" s="1621"/>
      <c r="L312" s="594" t="s">
        <v>401</v>
      </c>
      <c r="M312" s="1618"/>
      <c r="N312" s="594"/>
      <c r="O312" s="594"/>
      <c r="P312" s="599"/>
      <c r="Q312" s="997"/>
      <c r="R312" s="1050"/>
      <c r="S312" s="624"/>
      <c r="T312" s="1140"/>
      <c r="U312" s="578"/>
      <c r="V312" s="1526"/>
      <c r="W312" s="1417"/>
      <c r="X312" s="1355"/>
      <c r="Y312" s="1355"/>
      <c r="Z312" s="1141"/>
      <c r="AA312" s="599"/>
      <c r="AB312" s="599"/>
      <c r="AC312" s="1455"/>
      <c r="AD312" s="984"/>
      <c r="AE312" s="599"/>
      <c r="AF312" s="984"/>
      <c r="AG312" s="599"/>
      <c r="AH312" s="599"/>
    </row>
    <row r="313" spans="1:34" s="1180" customFormat="1" ht="30.75" customHeight="1">
      <c r="A313" s="1170"/>
      <c r="B313" s="1171"/>
      <c r="C313" s="1172" t="s">
        <v>2230</v>
      </c>
      <c r="D313" s="1171"/>
      <c r="E313" s="1173"/>
      <c r="F313" s="1174"/>
      <c r="G313" s="1175"/>
      <c r="H313" s="1174"/>
      <c r="I313" s="1174"/>
      <c r="J313" s="1175"/>
      <c r="K313" s="1176"/>
      <c r="L313" s="1461"/>
      <c r="M313" s="1178"/>
      <c r="N313" s="1173"/>
      <c r="O313" s="1173"/>
      <c r="P313" s="1173"/>
      <c r="Q313" s="1176"/>
      <c r="R313" s="1176" t="s">
        <v>65</v>
      </c>
      <c r="S313" s="1176"/>
      <c r="T313" s="1176"/>
      <c r="U313" s="1176"/>
      <c r="V313" s="1128"/>
      <c r="W313" s="1128"/>
      <c r="X313" s="1128"/>
      <c r="Y313" s="1128"/>
      <c r="Z313" s="1128"/>
      <c r="AA313" s="1128"/>
      <c r="AB313" s="1128"/>
      <c r="AC313" s="1128"/>
      <c r="AD313" s="1144"/>
      <c r="AE313" s="1128"/>
      <c r="AF313" s="1144"/>
      <c r="AG313" s="1128"/>
      <c r="AH313" s="1128"/>
    </row>
    <row r="314" spans="1:34" s="1010" customFormat="1" ht="36.75" customHeight="1">
      <c r="A314" s="1081"/>
      <c r="B314" s="2351" t="s">
        <v>3887</v>
      </c>
      <c r="C314" s="2542" t="s">
        <v>2231</v>
      </c>
      <c r="D314" s="2578" t="s">
        <v>2232</v>
      </c>
      <c r="E314" s="1064"/>
      <c r="F314" s="584"/>
      <c r="G314" s="1167"/>
      <c r="H314" s="1289"/>
      <c r="I314" s="1055"/>
      <c r="J314" s="1056"/>
      <c r="K314" s="1006"/>
      <c r="L314" s="1054"/>
      <c r="M314" s="1006" t="s">
        <v>2233</v>
      </c>
      <c r="N314" s="1006" t="s">
        <v>2234</v>
      </c>
      <c r="O314" s="1006" t="s">
        <v>2235</v>
      </c>
      <c r="P314" s="1006"/>
      <c r="Q314" s="1006"/>
      <c r="R314" s="1006"/>
      <c r="S314" s="1006"/>
      <c r="V314" s="1622"/>
      <c r="W314" s="1007"/>
      <c r="X314" s="1007"/>
      <c r="Y314" s="1007"/>
      <c r="Z314" s="1006"/>
      <c r="AA314" s="1006"/>
      <c r="AB314" s="1006"/>
      <c r="AC314" s="1006"/>
      <c r="AD314" s="1007"/>
      <c r="AE314" s="1006"/>
      <c r="AF314" s="1007"/>
      <c r="AG314" s="1006"/>
      <c r="AH314" s="1006"/>
    </row>
    <row r="315" spans="1:34" s="1010" customFormat="1" ht="43.5" customHeight="1">
      <c r="A315" s="1081"/>
      <c r="B315" s="2351"/>
      <c r="C315" s="2542"/>
      <c r="D315" s="2578"/>
      <c r="E315" s="741" t="s">
        <v>2236</v>
      </c>
      <c r="F315" s="1124" t="s">
        <v>2237</v>
      </c>
      <c r="G315" s="584" t="s">
        <v>2238</v>
      </c>
      <c r="H315" s="584">
        <v>2505818.9500000002</v>
      </c>
      <c r="I315" s="1623" t="s">
        <v>2239</v>
      </c>
      <c r="J315" s="585" t="s">
        <v>3888</v>
      </c>
      <c r="K315" s="588" t="s">
        <v>3889</v>
      </c>
      <c r="L315" s="588" t="s">
        <v>2240</v>
      </c>
      <c r="M315" s="987" t="s">
        <v>3890</v>
      </c>
      <c r="N315" s="1476" t="s">
        <v>2241</v>
      </c>
      <c r="O315" s="586">
        <v>315000</v>
      </c>
      <c r="P315" s="587"/>
      <c r="Q315" s="588">
        <v>315000</v>
      </c>
      <c r="R315" s="589">
        <v>315000</v>
      </c>
      <c r="S315" s="1624">
        <v>42612</v>
      </c>
      <c r="V315" s="1622"/>
      <c r="W315" s="1007"/>
      <c r="X315" s="1007"/>
      <c r="Y315" s="1007"/>
      <c r="Z315" s="1006"/>
      <c r="AA315" s="1006"/>
      <c r="AB315" s="1006"/>
      <c r="AC315" s="1006"/>
      <c r="AD315" s="1007"/>
      <c r="AE315" s="1006"/>
      <c r="AF315" s="1007"/>
      <c r="AG315" s="1006"/>
      <c r="AH315" s="1006"/>
    </row>
    <row r="316" spans="1:34" ht="64.5" customHeight="1">
      <c r="A316" s="741"/>
      <c r="B316" s="465" t="s">
        <v>3891</v>
      </c>
      <c r="C316" s="741" t="s">
        <v>2242</v>
      </c>
      <c r="D316" s="1083" t="s">
        <v>2243</v>
      </c>
      <c r="E316" s="741" t="s">
        <v>672</v>
      </c>
      <c r="F316" s="1124" t="s">
        <v>2244</v>
      </c>
      <c r="G316" s="1124" t="s">
        <v>2245</v>
      </c>
      <c r="H316" s="1124">
        <v>982412</v>
      </c>
      <c r="I316" s="1625" t="s">
        <v>2246</v>
      </c>
      <c r="J316" s="1487" t="s">
        <v>2247</v>
      </c>
      <c r="K316" s="607"/>
      <c r="M316" s="446" t="s">
        <v>2248</v>
      </c>
      <c r="N316" s="1378" t="s">
        <v>2249</v>
      </c>
      <c r="O316" s="890" t="s">
        <v>3892</v>
      </c>
      <c r="P316" s="1626"/>
      <c r="Q316" s="2583"/>
      <c r="R316" s="2583"/>
      <c r="S316" s="1008"/>
      <c r="T316" s="1140"/>
      <c r="U316" s="1140"/>
      <c r="V316" s="1526"/>
      <c r="W316" s="1417"/>
      <c r="X316" s="1355"/>
      <c r="Y316" s="1355"/>
      <c r="Z316" s="1141"/>
      <c r="AA316" s="599"/>
      <c r="AB316" s="599"/>
      <c r="AC316" s="1455"/>
      <c r="AD316" s="984"/>
      <c r="AE316" s="599"/>
      <c r="AF316" s="984"/>
      <c r="AG316" s="599"/>
      <c r="AH316" s="599"/>
    </row>
    <row r="317" spans="1:34" ht="51.75" customHeight="1">
      <c r="A317" s="741"/>
      <c r="B317" s="465" t="s">
        <v>3893</v>
      </c>
      <c r="C317" s="741" t="s">
        <v>2250</v>
      </c>
      <c r="D317" s="1076" t="s">
        <v>3894</v>
      </c>
      <c r="E317" s="741" t="s">
        <v>2251</v>
      </c>
      <c r="F317" s="1487">
        <v>99359.66</v>
      </c>
      <c r="G317" s="741"/>
      <c r="H317" s="1487">
        <v>99359.66</v>
      </c>
      <c r="I317" s="599"/>
      <c r="J317" s="1487">
        <v>99359.66</v>
      </c>
      <c r="K317" s="599" t="s">
        <v>2252</v>
      </c>
      <c r="L317" s="594" t="s">
        <v>401</v>
      </c>
      <c r="M317" s="1006"/>
      <c r="N317" s="1006"/>
      <c r="O317" s="1006"/>
      <c r="P317" s="890"/>
      <c r="Q317" s="599"/>
      <c r="R317" s="599"/>
      <c r="S317" s="624"/>
      <c r="T317" s="1140"/>
      <c r="U317" s="1140"/>
      <c r="V317" s="1526"/>
      <c r="W317" s="1417"/>
      <c r="X317" s="1355"/>
      <c r="Y317" s="1355"/>
      <c r="Z317" s="1141"/>
      <c r="AA317" s="599"/>
      <c r="AB317" s="599"/>
      <c r="AC317" s="1455"/>
      <c r="AD317" s="984"/>
      <c r="AE317" s="599"/>
      <c r="AF317" s="984"/>
      <c r="AG317" s="599"/>
      <c r="AH317" s="599"/>
    </row>
    <row r="318" spans="1:34" ht="41.25" customHeight="1">
      <c r="A318" s="741"/>
      <c r="B318" s="465" t="s">
        <v>3895</v>
      </c>
      <c r="C318" s="741" t="s">
        <v>2253</v>
      </c>
      <c r="D318" s="822" t="s">
        <v>2254</v>
      </c>
      <c r="E318" s="741" t="s">
        <v>2255</v>
      </c>
      <c r="F318" s="1487">
        <v>474000</v>
      </c>
      <c r="G318" s="741"/>
      <c r="H318" s="1487">
        <v>474000</v>
      </c>
      <c r="I318" s="1487" t="s">
        <v>2256</v>
      </c>
      <c r="J318" s="1627">
        <v>474000</v>
      </c>
      <c r="K318" s="1220"/>
      <c r="L318" s="1628">
        <v>42424</v>
      </c>
      <c r="M318" s="1064"/>
      <c r="N318" s="1064"/>
      <c r="O318" s="1064"/>
      <c r="P318" s="893"/>
      <c r="Q318" s="741"/>
      <c r="R318" s="741"/>
      <c r="S318" s="1049"/>
      <c r="T318" s="1379"/>
      <c r="U318" s="1379"/>
      <c r="V318" s="1629"/>
      <c r="W318" s="1284"/>
      <c r="X318" s="1225"/>
      <c r="Y318" s="1225"/>
      <c r="Z318" s="1305"/>
      <c r="AA318" s="741"/>
      <c r="AB318" s="741"/>
      <c r="AC318" s="1494"/>
      <c r="AD318" s="997"/>
      <c r="AE318" s="741"/>
      <c r="AF318" s="997"/>
      <c r="AG318" s="741"/>
      <c r="AH318" s="741"/>
    </row>
    <row r="319" spans="1:34" s="599" customFormat="1" ht="48" customHeight="1">
      <c r="B319" s="442" t="s">
        <v>3896</v>
      </c>
      <c r="C319" s="1505" t="s">
        <v>2257</v>
      </c>
      <c r="D319" s="1083" t="s">
        <v>2258</v>
      </c>
      <c r="E319" s="741" t="s">
        <v>1715</v>
      </c>
      <c r="F319" s="1487" t="s">
        <v>2259</v>
      </c>
      <c r="G319" s="601">
        <v>263857.32</v>
      </c>
      <c r="H319" s="601">
        <v>263860</v>
      </c>
      <c r="I319" s="599" t="s">
        <v>2260</v>
      </c>
      <c r="J319" s="1630"/>
      <c r="L319" s="1337" t="s">
        <v>2261</v>
      </c>
      <c r="M319" s="591"/>
      <c r="N319" s="1006"/>
      <c r="O319" s="1006"/>
      <c r="P319" s="890"/>
      <c r="S319" s="624"/>
      <c r="T319" s="1140"/>
      <c r="U319" s="1140" t="s">
        <v>65</v>
      </c>
      <c r="V319" s="1372"/>
      <c r="W319" s="1631"/>
      <c r="X319" s="1352"/>
      <c r="Y319" s="1352"/>
      <c r="Z319" s="1141"/>
      <c r="AC319" s="1455"/>
    </row>
    <row r="320" spans="1:34" ht="75" customHeight="1">
      <c r="A320" s="599"/>
      <c r="B320" s="465" t="s">
        <v>3897</v>
      </c>
      <c r="C320" s="741" t="s">
        <v>2262</v>
      </c>
      <c r="D320" s="1304" t="s">
        <v>2263</v>
      </c>
      <c r="E320" s="741"/>
      <c r="F320" s="1487">
        <v>138000</v>
      </c>
      <c r="G320" s="741">
        <v>60000</v>
      </c>
      <c r="H320" s="1369" t="s">
        <v>2264</v>
      </c>
      <c r="I320" s="599" t="s">
        <v>2265</v>
      </c>
      <c r="J320" s="1632">
        <v>138000</v>
      </c>
      <c r="K320" s="580" t="s">
        <v>2266</v>
      </c>
      <c r="L320" s="594"/>
      <c r="M320" s="996"/>
      <c r="N320" s="1006"/>
      <c r="O320" s="1006"/>
      <c r="P320" s="890"/>
      <c r="Q320" s="599"/>
      <c r="R320" s="599"/>
      <c r="S320" s="624"/>
      <c r="T320" s="1140"/>
      <c r="U320" s="1140"/>
      <c r="V320" s="1526"/>
      <c r="W320" s="1417"/>
      <c r="X320" s="1355"/>
      <c r="Y320" s="1355"/>
      <c r="Z320" s="1141"/>
      <c r="AA320" s="599"/>
      <c r="AB320" s="599"/>
      <c r="AC320" s="1455"/>
      <c r="AD320" s="984"/>
      <c r="AE320" s="599"/>
      <c r="AF320" s="984"/>
      <c r="AG320" s="599"/>
      <c r="AH320" s="599"/>
    </row>
    <row r="321" spans="1:34" ht="57" customHeight="1">
      <c r="A321" s="2542"/>
      <c r="B321" s="2351" t="s">
        <v>3898</v>
      </c>
      <c r="C321" s="2542" t="s">
        <v>2267</v>
      </c>
      <c r="D321" s="2578" t="s">
        <v>2268</v>
      </c>
      <c r="E321" s="2542" t="s">
        <v>672</v>
      </c>
      <c r="F321" s="2544">
        <v>3800000</v>
      </c>
      <c r="G321" s="2544">
        <v>1839000</v>
      </c>
      <c r="H321" s="2584" t="s">
        <v>2269</v>
      </c>
      <c r="I321" s="2588" t="s">
        <v>3899</v>
      </c>
      <c r="J321" s="2584">
        <f>115000+2950000+500000+235000</f>
        <v>3800000</v>
      </c>
      <c r="K321" s="2585"/>
      <c r="L321" s="2586" t="s">
        <v>401</v>
      </c>
      <c r="M321" s="1017" t="s">
        <v>3900</v>
      </c>
      <c r="N321" s="1378" t="s">
        <v>2270</v>
      </c>
      <c r="O321" s="1384">
        <v>500000</v>
      </c>
      <c r="P321" s="582"/>
      <c r="Q321" s="2515" t="s">
        <v>2271</v>
      </c>
      <c r="R321" s="2515"/>
      <c r="S321" s="624"/>
      <c r="T321" s="1140"/>
      <c r="U321" s="1140"/>
      <c r="V321" s="1526"/>
      <c r="W321" s="1417"/>
      <c r="X321" s="1355"/>
      <c r="Y321" s="1355"/>
      <c r="Z321" s="1141"/>
      <c r="AA321" s="599"/>
      <c r="AB321" s="599"/>
      <c r="AC321" s="1455"/>
      <c r="AD321" s="984"/>
      <c r="AE321" s="599"/>
      <c r="AF321" s="984"/>
      <c r="AG321" s="599"/>
      <c r="AH321" s="599"/>
    </row>
    <row r="322" spans="1:34" ht="52.5" customHeight="1">
      <c r="A322" s="2542"/>
      <c r="B322" s="2351"/>
      <c r="C322" s="2542"/>
      <c r="D322" s="2578"/>
      <c r="E322" s="2542"/>
      <c r="F322" s="2544"/>
      <c r="G322" s="2544"/>
      <c r="H322" s="2584"/>
      <c r="I322" s="2588"/>
      <c r="J322" s="2584"/>
      <c r="K322" s="2585"/>
      <c r="L322" s="2586"/>
      <c r="M322" s="1633" t="s">
        <v>3901</v>
      </c>
      <c r="N322" s="594" t="s">
        <v>3902</v>
      </c>
      <c r="O322" s="1634">
        <f>580700+440000</f>
        <v>1020700</v>
      </c>
      <c r="P322" s="1010"/>
      <c r="Q322" s="1433" t="s">
        <v>3903</v>
      </c>
      <c r="R322" s="1515" t="s">
        <v>2272</v>
      </c>
      <c r="S322" s="1635" t="s">
        <v>3904</v>
      </c>
      <c r="T322" s="1140"/>
      <c r="U322" s="1140"/>
      <c r="V322" s="1526"/>
      <c r="W322" s="1417"/>
      <c r="X322" s="1355"/>
      <c r="Y322" s="1355"/>
      <c r="Z322" s="1141"/>
      <c r="AA322" s="599"/>
      <c r="AB322" s="599"/>
      <c r="AC322" s="1455"/>
      <c r="AD322" s="984"/>
      <c r="AE322" s="599"/>
      <c r="AF322" s="984"/>
      <c r="AG322" s="599"/>
      <c r="AH322" s="599"/>
    </row>
    <row r="323" spans="1:34" ht="39.75" customHeight="1">
      <c r="A323" s="2542"/>
      <c r="B323" s="2351"/>
      <c r="C323" s="2542"/>
      <c r="D323" s="2578"/>
      <c r="E323" s="2542"/>
      <c r="F323" s="2544"/>
      <c r="G323" s="2544"/>
      <c r="H323" s="2584"/>
      <c r="I323" s="2588"/>
      <c r="J323" s="2584"/>
      <c r="K323" s="2585"/>
      <c r="L323" s="2586"/>
      <c r="M323" s="1017" t="s">
        <v>3905</v>
      </c>
      <c r="N323" s="1378" t="s">
        <v>2241</v>
      </c>
      <c r="O323" s="1540">
        <f>365000+478200+369230</f>
        <v>1212430</v>
      </c>
      <c r="P323" s="1626"/>
      <c r="Q323" s="1515" t="s">
        <v>3906</v>
      </c>
      <c r="R323" s="1515" t="s">
        <v>65</v>
      </c>
      <c r="S323" s="624" t="s">
        <v>3907</v>
      </c>
      <c r="T323" s="1140"/>
      <c r="U323" s="1140" t="s">
        <v>2273</v>
      </c>
      <c r="V323" s="1526"/>
      <c r="W323" s="1417"/>
      <c r="X323" s="1355"/>
      <c r="Y323" s="1355"/>
      <c r="Z323" s="1141"/>
      <c r="AA323" s="599"/>
      <c r="AB323" s="599"/>
      <c r="AC323" s="1455"/>
      <c r="AD323" s="984"/>
      <c r="AE323" s="599"/>
      <c r="AF323" s="984"/>
      <c r="AG323" s="599"/>
      <c r="AH323" s="599"/>
    </row>
    <row r="324" spans="1:34" ht="66" customHeight="1">
      <c r="A324" s="741"/>
      <c r="B324" s="465" t="s">
        <v>3908</v>
      </c>
      <c r="C324" s="741" t="s">
        <v>2274</v>
      </c>
      <c r="D324" s="1083" t="s">
        <v>2275</v>
      </c>
      <c r="E324" s="741" t="s">
        <v>672</v>
      </c>
      <c r="F324" s="1124" t="s">
        <v>2276</v>
      </c>
      <c r="G324" s="1124" t="s">
        <v>2277</v>
      </c>
      <c r="H324" s="1124" t="s">
        <v>2278</v>
      </c>
      <c r="I324" s="997" t="s">
        <v>2279</v>
      </c>
      <c r="J324" s="1124" t="s">
        <v>2280</v>
      </c>
      <c r="K324" s="890"/>
      <c r="L324" s="2586" t="s">
        <v>401</v>
      </c>
      <c r="M324" s="446"/>
      <c r="N324" s="1378"/>
      <c r="O324" s="890"/>
      <c r="P324" s="1525"/>
      <c r="Q324" s="2551"/>
      <c r="R324" s="2551"/>
      <c r="S324" s="624"/>
      <c r="T324" s="1140"/>
      <c r="U324" s="1140"/>
      <c r="V324" s="1526"/>
      <c r="W324" s="1417"/>
      <c r="X324" s="1355"/>
      <c r="Y324" s="1355"/>
      <c r="Z324" s="1141"/>
      <c r="AA324" s="599"/>
      <c r="AB324" s="599"/>
      <c r="AC324" s="1455"/>
      <c r="AD324" s="984"/>
      <c r="AE324" s="599"/>
      <c r="AF324" s="984"/>
      <c r="AG324" s="599"/>
      <c r="AH324" s="599"/>
    </row>
    <row r="325" spans="1:34" s="599" customFormat="1" ht="42.75" customHeight="1">
      <c r="B325" s="2351" t="s">
        <v>3909</v>
      </c>
      <c r="C325" s="2581" t="s">
        <v>2281</v>
      </c>
      <c r="D325" s="2578" t="s">
        <v>2282</v>
      </c>
      <c r="E325" s="2542"/>
      <c r="F325" s="2544">
        <v>5139324.97</v>
      </c>
      <c r="G325" s="625"/>
      <c r="H325" s="2542" t="s">
        <v>2283</v>
      </c>
      <c r="I325" s="2542" t="s">
        <v>2284</v>
      </c>
      <c r="J325" s="1630"/>
      <c r="L325" s="2586"/>
      <c r="M325" s="446" t="s">
        <v>2285</v>
      </c>
      <c r="N325" s="1304" t="s">
        <v>3910</v>
      </c>
      <c r="O325" s="741" t="s">
        <v>2286</v>
      </c>
      <c r="P325" s="741" t="s">
        <v>2287</v>
      </c>
      <c r="S325" s="624"/>
      <c r="T325" s="1140"/>
      <c r="U325" s="1140"/>
      <c r="V325" s="1372"/>
      <c r="W325" s="1631"/>
      <c r="X325" s="1352"/>
      <c r="Y325" s="1352"/>
      <c r="Z325" s="1141"/>
      <c r="AC325" s="1455"/>
    </row>
    <row r="326" spans="1:34" s="973" customFormat="1" ht="75.75" customHeight="1">
      <c r="A326" s="599"/>
      <c r="B326" s="2351"/>
      <c r="C326" s="2581"/>
      <c r="D326" s="2578"/>
      <c r="E326" s="2542"/>
      <c r="F326" s="2544"/>
      <c r="G326" s="625" t="s">
        <v>2288</v>
      </c>
      <c r="H326" s="2542"/>
      <c r="I326" s="2542"/>
      <c r="J326" s="1636" t="s">
        <v>2289</v>
      </c>
      <c r="K326" s="1018" t="s">
        <v>2290</v>
      </c>
      <c r="L326" s="2586"/>
      <c r="M326" s="1637" t="s">
        <v>3911</v>
      </c>
      <c r="N326" s="446" t="s">
        <v>3912</v>
      </c>
      <c r="O326" s="599">
        <f>1000050+49950+500000+30000+40000+70000</f>
        <v>1690000</v>
      </c>
      <c r="P326" s="599"/>
      <c r="Q326" s="892" t="s">
        <v>2291</v>
      </c>
      <c r="R326" s="592">
        <v>1690000</v>
      </c>
      <c r="S326" s="624" t="s">
        <v>2292</v>
      </c>
      <c r="T326" s="1140"/>
      <c r="U326" s="1140"/>
      <c r="V326" s="1638"/>
      <c r="W326" s="1639"/>
      <c r="X326" s="1640"/>
      <c r="Y326" s="1640"/>
      <c r="Z326" s="1641"/>
      <c r="AC326" s="1642"/>
    </row>
    <row r="327" spans="1:34" ht="78" customHeight="1">
      <c r="A327" s="607"/>
      <c r="B327" s="474" t="s">
        <v>3913</v>
      </c>
      <c r="C327" s="997" t="s">
        <v>2293</v>
      </c>
      <c r="D327" s="1076" t="s">
        <v>2294</v>
      </c>
      <c r="E327" s="599" t="s">
        <v>1777</v>
      </c>
      <c r="F327" s="625">
        <v>250000</v>
      </c>
      <c r="G327" s="599">
        <v>125000</v>
      </c>
      <c r="H327" s="1643">
        <v>250000</v>
      </c>
      <c r="I327" s="599"/>
      <c r="J327" s="1487">
        <v>250000</v>
      </c>
      <c r="K327" s="446" t="s">
        <v>2295</v>
      </c>
      <c r="L327" s="594" t="s">
        <v>401</v>
      </c>
      <c r="M327" s="1304" t="s">
        <v>3914</v>
      </c>
      <c r="N327" s="594" t="s">
        <v>2296</v>
      </c>
      <c r="O327" s="594">
        <v>120000</v>
      </c>
      <c r="P327" s="1054"/>
      <c r="Q327" s="593" t="s">
        <v>2297</v>
      </c>
      <c r="R327" s="594">
        <v>120000</v>
      </c>
      <c r="S327" s="594" t="s">
        <v>2298</v>
      </c>
      <c r="T327" s="1140"/>
      <c r="U327" s="578" t="s">
        <v>2299</v>
      </c>
      <c r="V327" s="1526"/>
      <c r="W327" s="1417"/>
      <c r="X327" s="1355"/>
      <c r="Y327" s="1355"/>
      <c r="Z327" s="1141"/>
      <c r="AA327" s="599"/>
      <c r="AB327" s="599"/>
      <c r="AC327" s="1455"/>
      <c r="AD327" s="984"/>
      <c r="AE327" s="599"/>
      <c r="AF327" s="984"/>
      <c r="AG327" s="599"/>
      <c r="AH327" s="599"/>
    </row>
    <row r="328" spans="1:34" ht="67.5" customHeight="1">
      <c r="A328" s="741"/>
      <c r="B328" s="465" t="s">
        <v>3915</v>
      </c>
      <c r="C328" s="997" t="s">
        <v>2300</v>
      </c>
      <c r="D328" s="1076" t="s">
        <v>2301</v>
      </c>
      <c r="E328" s="599"/>
      <c r="F328" s="625">
        <v>1538543</v>
      </c>
      <c r="G328" s="599">
        <v>769271.5</v>
      </c>
      <c r="H328" s="1643" t="s">
        <v>2302</v>
      </c>
      <c r="I328" s="1644" t="s">
        <v>2303</v>
      </c>
      <c r="J328" s="1487">
        <f>1300006+238537</f>
        <v>1538543</v>
      </c>
      <c r="K328" s="1637" t="s">
        <v>2304</v>
      </c>
      <c r="L328" s="594" t="s">
        <v>401</v>
      </c>
      <c r="M328" s="1304"/>
      <c r="N328" s="594"/>
      <c r="O328" s="1475"/>
      <c r="P328" s="1169"/>
      <c r="Q328" s="594"/>
      <c r="R328" s="1475"/>
      <c r="S328" s="624"/>
      <c r="T328" s="1140"/>
      <c r="U328" s="1645"/>
      <c r="V328" s="1526"/>
      <c r="W328" s="1417"/>
      <c r="X328" s="1355"/>
      <c r="Y328" s="1355"/>
      <c r="Z328" s="1141"/>
      <c r="AA328" s="599"/>
      <c r="AB328" s="599"/>
      <c r="AC328" s="1455"/>
      <c r="AD328" s="984"/>
      <c r="AE328" s="599"/>
      <c r="AF328" s="984"/>
      <c r="AG328" s="599"/>
      <c r="AH328" s="599"/>
    </row>
    <row r="329" spans="1:34" ht="107.25" customHeight="1">
      <c r="A329" s="741"/>
      <c r="B329" s="822" t="s">
        <v>3916</v>
      </c>
      <c r="C329" s="741" t="s">
        <v>2305</v>
      </c>
      <c r="D329" s="1459" t="s">
        <v>2306</v>
      </c>
      <c r="E329" s="899" t="s">
        <v>2307</v>
      </c>
      <c r="F329" s="1646">
        <v>140000</v>
      </c>
      <c r="G329" s="899">
        <v>70000</v>
      </c>
      <c r="H329" s="1369"/>
      <c r="I329" s="741" t="s">
        <v>65</v>
      </c>
      <c r="J329" s="1487">
        <v>140000</v>
      </c>
      <c r="K329" s="1397" t="s">
        <v>2308</v>
      </c>
      <c r="L329" s="594" t="s">
        <v>401</v>
      </c>
      <c r="M329" s="1304" t="s">
        <v>2309</v>
      </c>
      <c r="N329" s="1076" t="s">
        <v>2310</v>
      </c>
      <c r="O329" s="1064">
        <v>130000</v>
      </c>
      <c r="P329" s="741">
        <v>65000</v>
      </c>
      <c r="Q329" s="599"/>
      <c r="R329" s="1064">
        <v>130000</v>
      </c>
      <c r="S329" s="624"/>
      <c r="T329" s="1140"/>
      <c r="U329" s="1140"/>
      <c r="V329" s="1526"/>
      <c r="W329" s="1417"/>
      <c r="X329" s="1355"/>
      <c r="Y329" s="1355"/>
      <c r="Z329" s="1141"/>
      <c r="AA329" s="599"/>
      <c r="AB329" s="599"/>
      <c r="AC329" s="1455"/>
      <c r="AD329" s="984"/>
      <c r="AE329" s="599"/>
      <c r="AF329" s="984"/>
      <c r="AG329" s="599"/>
      <c r="AH329" s="599"/>
    </row>
    <row r="330" spans="1:34" ht="92.25" customHeight="1">
      <c r="A330" s="741"/>
      <c r="B330" s="822" t="s">
        <v>3916</v>
      </c>
      <c r="C330" s="741" t="s">
        <v>2311</v>
      </c>
      <c r="D330" s="1468" t="s">
        <v>2312</v>
      </c>
      <c r="E330" s="741" t="s">
        <v>2313</v>
      </c>
      <c r="F330" s="1487">
        <v>60000</v>
      </c>
      <c r="G330" s="741">
        <v>60000</v>
      </c>
      <c r="H330" s="741">
        <v>60000</v>
      </c>
      <c r="I330" s="741" t="s">
        <v>2314</v>
      </c>
      <c r="J330" s="741">
        <v>60000</v>
      </c>
      <c r="K330" s="1647"/>
      <c r="L330" s="594" t="s">
        <v>401</v>
      </c>
      <c r="M330" s="1304" t="s">
        <v>2315</v>
      </c>
      <c r="N330" s="1076" t="s">
        <v>3917</v>
      </c>
      <c r="O330" s="1064">
        <v>30000</v>
      </c>
      <c r="P330" s="893"/>
      <c r="Q330" s="972"/>
      <c r="R330" s="599">
        <v>30000</v>
      </c>
      <c r="S330" s="624"/>
      <c r="T330" s="1140"/>
      <c r="U330" s="1140"/>
      <c r="V330" s="1526"/>
      <c r="W330" s="1417"/>
      <c r="X330" s="1355"/>
      <c r="Y330" s="1355"/>
      <c r="Z330" s="1141"/>
      <c r="AA330" s="599"/>
      <c r="AB330" s="599"/>
      <c r="AC330" s="1455"/>
      <c r="AD330" s="984"/>
      <c r="AE330" s="599"/>
      <c r="AF330" s="984"/>
      <c r="AG330" s="599"/>
      <c r="AH330" s="599"/>
    </row>
    <row r="331" spans="1:34" ht="38.25" customHeight="1">
      <c r="A331" s="311"/>
      <c r="B331" s="446" t="s">
        <v>3918</v>
      </c>
      <c r="C331" s="599" t="s">
        <v>2316</v>
      </c>
      <c r="D331" s="1076" t="s">
        <v>2317</v>
      </c>
      <c r="E331" s="599"/>
      <c r="F331" s="601">
        <v>149737.64000000001</v>
      </c>
      <c r="G331" s="601"/>
      <c r="H331" s="601">
        <v>149737.64000000001</v>
      </c>
      <c r="I331" s="599" t="s">
        <v>2318</v>
      </c>
      <c r="J331" s="1185">
        <v>149737.64000000001</v>
      </c>
      <c r="K331" s="580" t="s">
        <v>2319</v>
      </c>
      <c r="L331" s="624" t="s">
        <v>2320</v>
      </c>
      <c r="M331" s="599"/>
      <c r="N331" s="594"/>
      <c r="O331" s="1455"/>
      <c r="P331" s="1455"/>
      <c r="Q331" s="924"/>
      <c r="R331" s="1592"/>
      <c r="S331" s="1648"/>
      <c r="T331" s="607"/>
      <c r="U331" s="607"/>
      <c r="V331" s="1590"/>
      <c r="W331" s="1088"/>
      <c r="X331" s="1088"/>
      <c r="Y331" s="1088"/>
      <c r="Z331" s="607"/>
      <c r="AA331" s="607"/>
      <c r="AB331" s="1344">
        <v>2080000</v>
      </c>
      <c r="AC331" s="1592">
        <v>6000000</v>
      </c>
      <c r="AD331" s="1088"/>
      <c r="AE331" s="607"/>
      <c r="AF331" s="1088"/>
      <c r="AG331" s="607"/>
      <c r="AH331" s="607"/>
    </row>
    <row r="332" spans="1:34" s="1180" customFormat="1" ht="30.75" customHeight="1">
      <c r="A332" s="1170"/>
      <c r="B332" s="1171"/>
      <c r="C332" s="1172" t="s">
        <v>591</v>
      </c>
      <c r="D332" s="1171"/>
      <c r="E332" s="1173"/>
      <c r="F332" s="1174"/>
      <c r="G332" s="1175"/>
      <c r="H332" s="1174"/>
      <c r="I332" s="1174"/>
      <c r="J332" s="1175"/>
      <c r="K332" s="1176"/>
      <c r="L332" s="1461"/>
      <c r="M332" s="1178"/>
      <c r="N332" s="1173"/>
      <c r="O332" s="1173"/>
      <c r="P332" s="1173"/>
      <c r="Q332" s="1176"/>
      <c r="R332" s="1176" t="s">
        <v>65</v>
      </c>
      <c r="S332" s="1176"/>
      <c r="T332" s="1176"/>
      <c r="U332" s="1176"/>
      <c r="V332" s="1128"/>
      <c r="W332" s="1128"/>
      <c r="X332" s="1128"/>
      <c r="Y332" s="1128"/>
      <c r="Z332" s="1128"/>
      <c r="AA332" s="1128"/>
      <c r="AB332" s="1128"/>
      <c r="AC332" s="1128"/>
      <c r="AD332" s="1144"/>
      <c r="AE332" s="1128"/>
      <c r="AF332" s="1144"/>
      <c r="AG332" s="1128"/>
      <c r="AH332" s="1128"/>
    </row>
    <row r="333" spans="1:34" ht="69" customHeight="1">
      <c r="A333" s="311"/>
      <c r="B333" s="446" t="s">
        <v>3919</v>
      </c>
      <c r="C333" s="599" t="s">
        <v>2321</v>
      </c>
      <c r="D333" s="446" t="s">
        <v>2322</v>
      </c>
      <c r="E333" s="599" t="s">
        <v>2323</v>
      </c>
      <c r="F333" s="601">
        <v>962762.03</v>
      </c>
      <c r="G333" s="601">
        <v>500000</v>
      </c>
      <c r="H333" s="601">
        <v>500000</v>
      </c>
      <c r="I333" s="599"/>
      <c r="J333" s="625" t="s">
        <v>3920</v>
      </c>
      <c r="K333" s="581" t="s">
        <v>2324</v>
      </c>
      <c r="L333" s="594" t="s">
        <v>401</v>
      </c>
      <c r="M333" s="599"/>
      <c r="N333" s="594"/>
      <c r="O333" s="1455"/>
      <c r="P333" s="1455"/>
      <c r="Q333" s="924"/>
      <c r="R333" s="1592"/>
      <c r="S333" s="1648"/>
      <c r="T333" s="607"/>
      <c r="U333" s="607"/>
      <c r="V333" s="1590"/>
      <c r="W333" s="1088"/>
      <c r="X333" s="1088"/>
      <c r="Y333" s="1088"/>
      <c r="Z333" s="607"/>
      <c r="AA333" s="607"/>
      <c r="AB333" s="1344">
        <v>2080000</v>
      </c>
      <c r="AC333" s="1592">
        <v>6000000</v>
      </c>
      <c r="AD333" s="1088"/>
      <c r="AE333" s="607"/>
      <c r="AF333" s="1088"/>
      <c r="AG333" s="607"/>
      <c r="AH333" s="607"/>
    </row>
    <row r="334" spans="1:34" ht="41.25" customHeight="1">
      <c r="A334" s="599"/>
      <c r="B334" s="442" t="s">
        <v>3921</v>
      </c>
      <c r="C334" s="1197" t="s">
        <v>2325</v>
      </c>
      <c r="D334" s="1649" t="s">
        <v>2326</v>
      </c>
      <c r="E334" s="599" t="s">
        <v>2251</v>
      </c>
      <c r="F334" s="625">
        <v>14500104.67</v>
      </c>
      <c r="G334" s="599">
        <v>4351889.07</v>
      </c>
      <c r="H334" s="599">
        <v>4351889.07</v>
      </c>
      <c r="I334" s="607" t="s">
        <v>2327</v>
      </c>
      <c r="J334" s="1487" t="s">
        <v>2328</v>
      </c>
      <c r="K334" s="602" t="s">
        <v>2329</v>
      </c>
      <c r="L334" s="594" t="s">
        <v>401</v>
      </c>
      <c r="M334" s="446" t="s">
        <v>2330</v>
      </c>
      <c r="N334" s="599"/>
      <c r="O334" s="599">
        <v>50000</v>
      </c>
      <c r="P334" s="890"/>
      <c r="Q334" s="599"/>
      <c r="R334" s="599">
        <v>50000</v>
      </c>
      <c r="S334" s="1562" t="s">
        <v>2331</v>
      </c>
      <c r="T334" s="1140"/>
      <c r="U334" s="1140"/>
      <c r="V334" s="1526"/>
      <c r="W334" s="1417"/>
      <c r="X334" s="1355"/>
      <c r="Y334" s="1355"/>
      <c r="Z334" s="1141"/>
      <c r="AA334" s="599"/>
      <c r="AB334" s="599"/>
      <c r="AC334" s="1455"/>
      <c r="AD334" s="984"/>
      <c r="AE334" s="599"/>
      <c r="AF334" s="984"/>
      <c r="AG334" s="599"/>
      <c r="AH334" s="599"/>
    </row>
    <row r="335" spans="1:34" ht="87.75" customHeight="1">
      <c r="A335" s="311"/>
      <c r="B335" s="465" t="s">
        <v>2332</v>
      </c>
      <c r="C335" s="602" t="s">
        <v>2333</v>
      </c>
      <c r="D335" s="446" t="s">
        <v>2334</v>
      </c>
      <c r="E335" s="599"/>
      <c r="F335" s="601">
        <v>996000</v>
      </c>
      <c r="G335" s="625" t="s">
        <v>2335</v>
      </c>
      <c r="H335" s="601" t="s">
        <v>2336</v>
      </c>
      <c r="I335" s="599" t="s">
        <v>2337</v>
      </c>
      <c r="J335" s="595" t="s">
        <v>2338</v>
      </c>
      <c r="K335" s="442" t="s">
        <v>2339</v>
      </c>
      <c r="L335" s="594" t="s">
        <v>401</v>
      </c>
      <c r="M335" s="1565" t="s">
        <v>3922</v>
      </c>
      <c r="N335" s="1650" t="s">
        <v>2162</v>
      </c>
      <c r="O335" s="1561">
        <v>358245</v>
      </c>
      <c r="P335" s="1006"/>
      <c r="Q335" s="1651">
        <v>358245</v>
      </c>
      <c r="R335" s="1563"/>
      <c r="S335" s="1563" t="s">
        <v>2341</v>
      </c>
      <c r="T335" s="607"/>
      <c r="U335" s="607"/>
      <c r="V335" s="1590"/>
      <c r="W335" s="1088"/>
      <c r="X335" s="1088"/>
      <c r="Y335" s="1088"/>
      <c r="Z335" s="607"/>
      <c r="AA335" s="607"/>
      <c r="AB335" s="1344"/>
      <c r="AC335" s="1592"/>
      <c r="AD335" s="1088"/>
      <c r="AE335" s="607"/>
      <c r="AF335" s="1088"/>
      <c r="AG335" s="607"/>
      <c r="AH335" s="607"/>
    </row>
    <row r="336" spans="1:34" ht="96.75" customHeight="1">
      <c r="A336" s="311"/>
      <c r="B336" s="1597" t="s">
        <v>2342</v>
      </c>
      <c r="C336" s="602" t="s">
        <v>2343</v>
      </c>
      <c r="D336" s="446" t="s">
        <v>2344</v>
      </c>
      <c r="E336" s="599"/>
      <c r="F336" s="601">
        <v>700000</v>
      </c>
      <c r="G336" s="601">
        <v>700000</v>
      </c>
      <c r="H336" s="601"/>
      <c r="I336" s="602"/>
      <c r="J336" s="596" t="s">
        <v>2345</v>
      </c>
      <c r="K336" s="1652" t="s">
        <v>2346</v>
      </c>
      <c r="L336" s="594"/>
      <c r="M336" s="599"/>
      <c r="N336" s="594"/>
      <c r="O336" s="1455"/>
      <c r="P336" s="1455"/>
      <c r="Q336" s="924"/>
      <c r="R336" s="1592"/>
      <c r="S336" s="1648"/>
      <c r="T336" s="607"/>
      <c r="U336" s="607"/>
      <c r="V336" s="1590"/>
      <c r="W336" s="1088"/>
      <c r="X336" s="1088"/>
      <c r="Y336" s="1088"/>
      <c r="Z336" s="607"/>
      <c r="AA336" s="607"/>
      <c r="AB336" s="1344"/>
      <c r="AC336" s="1592"/>
      <c r="AD336" s="1088"/>
      <c r="AE336" s="607"/>
      <c r="AF336" s="1088"/>
      <c r="AG336" s="607"/>
      <c r="AH336" s="607"/>
    </row>
    <row r="337" spans="1:38" ht="42.75" customHeight="1">
      <c r="A337" s="311"/>
      <c r="B337" s="465" t="s">
        <v>2347</v>
      </c>
      <c r="C337" s="602" t="s">
        <v>2348</v>
      </c>
      <c r="D337" s="446" t="s">
        <v>3923</v>
      </c>
      <c r="E337" s="599" t="s">
        <v>2349</v>
      </c>
      <c r="F337" s="601">
        <v>2745000</v>
      </c>
      <c r="G337" s="601">
        <v>895000</v>
      </c>
      <c r="H337" s="601"/>
      <c r="I337" s="599"/>
      <c r="J337" s="595">
        <v>2745000</v>
      </c>
      <c r="K337" s="442" t="s">
        <v>2350</v>
      </c>
      <c r="L337" s="594" t="s">
        <v>401</v>
      </c>
      <c r="M337" s="599" t="s">
        <v>3924</v>
      </c>
      <c r="N337" s="1653" t="s">
        <v>3925</v>
      </c>
      <c r="O337" s="1654">
        <v>573000</v>
      </c>
      <c r="P337" s="1654"/>
      <c r="Q337" s="1654">
        <v>573000</v>
      </c>
      <c r="R337" s="580">
        <v>573000</v>
      </c>
      <c r="S337" s="1562" t="s">
        <v>2351</v>
      </c>
      <c r="T337" s="607"/>
      <c r="U337" s="607"/>
      <c r="V337" s="1590"/>
      <c r="W337" s="1088"/>
      <c r="X337" s="1088"/>
      <c r="Y337" s="1088"/>
      <c r="Z337" s="607"/>
      <c r="AA337" s="607"/>
      <c r="AB337" s="1344"/>
      <c r="AC337" s="1592"/>
      <c r="AD337" s="1088"/>
      <c r="AE337" s="607"/>
      <c r="AF337" s="1088"/>
      <c r="AG337" s="607"/>
      <c r="AH337" s="607"/>
    </row>
    <row r="338" spans="1:38" ht="51" customHeight="1">
      <c r="A338" s="311"/>
      <c r="B338" s="446" t="s">
        <v>2352</v>
      </c>
      <c r="C338" s="599" t="s">
        <v>2353</v>
      </c>
      <c r="D338" s="446" t="s">
        <v>2354</v>
      </c>
      <c r="E338" s="599"/>
      <c r="F338" s="442" t="s">
        <v>2355</v>
      </c>
      <c r="G338" s="601"/>
      <c r="H338" s="601"/>
      <c r="I338" s="599"/>
      <c r="J338" s="1326" t="s">
        <v>2356</v>
      </c>
      <c r="K338" s="1111" t="s">
        <v>2357</v>
      </c>
      <c r="L338" s="594" t="s">
        <v>401</v>
      </c>
      <c r="M338" s="1565" t="s">
        <v>3926</v>
      </c>
      <c r="N338" s="1650" t="s">
        <v>2162</v>
      </c>
      <c r="O338" s="1561">
        <f>441680+458320</f>
        <v>900000</v>
      </c>
      <c r="P338" s="1006"/>
      <c r="Q338" s="1651" t="s">
        <v>2358</v>
      </c>
      <c r="R338" s="1563"/>
      <c r="S338" s="1564" t="s">
        <v>2359</v>
      </c>
      <c r="T338" s="607"/>
      <c r="U338" s="607"/>
      <c r="V338" s="1590"/>
      <c r="W338" s="1088"/>
      <c r="X338" s="1088"/>
      <c r="Y338" s="1088"/>
      <c r="Z338" s="607"/>
      <c r="AA338" s="607"/>
      <c r="AB338" s="1344"/>
      <c r="AC338" s="1592"/>
      <c r="AD338" s="1088"/>
      <c r="AE338" s="607"/>
      <c r="AF338" s="1088"/>
      <c r="AG338" s="607"/>
      <c r="AH338" s="607"/>
    </row>
    <row r="339" spans="1:38" ht="42" customHeight="1">
      <c r="A339" s="311"/>
      <c r="B339" s="1023" t="s">
        <v>3927</v>
      </c>
      <c r="C339" s="602" t="s">
        <v>2360</v>
      </c>
      <c r="D339" s="446" t="s">
        <v>2361</v>
      </c>
      <c r="E339" s="599"/>
      <c r="F339" s="601">
        <v>210000</v>
      </c>
      <c r="G339" s="601"/>
      <c r="H339" s="601"/>
      <c r="I339" s="602"/>
      <c r="J339" s="595" t="s">
        <v>2362</v>
      </c>
      <c r="K339" s="442" t="s">
        <v>2363</v>
      </c>
      <c r="L339" s="594" t="s">
        <v>401</v>
      </c>
      <c r="M339" s="599"/>
      <c r="N339" s="594"/>
      <c r="O339" s="1455"/>
      <c r="P339" s="1455"/>
      <c r="Q339" s="924"/>
      <c r="R339" s="1592"/>
      <c r="S339" s="1648"/>
      <c r="T339" s="607"/>
      <c r="U339" s="607"/>
      <c r="V339" s="1590"/>
      <c r="W339" s="1088"/>
      <c r="X339" s="1088"/>
      <c r="Y339" s="1088"/>
      <c r="Z339" s="607"/>
      <c r="AA339" s="607"/>
      <c r="AB339" s="1344"/>
      <c r="AC339" s="1592"/>
      <c r="AD339" s="1088"/>
      <c r="AE339" s="607"/>
      <c r="AF339" s="1088"/>
      <c r="AG339" s="607"/>
      <c r="AH339" s="607"/>
    </row>
    <row r="340" spans="1:38" ht="123.75" customHeight="1">
      <c r="B340" s="474" t="s">
        <v>3928</v>
      </c>
      <c r="C340" s="973" t="s">
        <v>2364</v>
      </c>
      <c r="D340" s="823" t="s">
        <v>2365</v>
      </c>
      <c r="E340" s="599"/>
      <c r="F340" s="625">
        <v>50000</v>
      </c>
      <c r="G340" s="599"/>
      <c r="H340" s="599"/>
      <c r="I340" s="607"/>
      <c r="J340" s="1636">
        <v>50000</v>
      </c>
      <c r="K340" s="602" t="s">
        <v>2331</v>
      </c>
      <c r="L340" s="594" t="s">
        <v>401</v>
      </c>
      <c r="M340" s="977"/>
      <c r="N340" s="599"/>
      <c r="O340" s="599"/>
      <c r="P340" s="890"/>
      <c r="Q340" s="599"/>
      <c r="R340" s="599"/>
      <c r="S340" s="1562"/>
      <c r="T340" s="1655"/>
      <c r="U340" s="1655"/>
      <c r="V340" s="1578"/>
      <c r="W340" s="1579"/>
      <c r="X340" s="1580"/>
      <c r="Y340" s="1580"/>
      <c r="Z340" s="1345"/>
      <c r="AA340" s="607"/>
      <c r="AB340" s="607"/>
      <c r="AC340" s="1581"/>
      <c r="AD340" s="1088"/>
      <c r="AE340" s="607"/>
      <c r="AF340" s="1088"/>
      <c r="AG340" s="607"/>
      <c r="AH340" s="607"/>
    </row>
    <row r="341" spans="1:38" ht="27" customHeight="1">
      <c r="A341" s="311"/>
      <c r="B341" s="2693" t="s">
        <v>3929</v>
      </c>
      <c r="C341" s="2542" t="s">
        <v>2366</v>
      </c>
      <c r="D341" s="2351" t="s">
        <v>2367</v>
      </c>
      <c r="E341" s="599"/>
      <c r="F341" s="2544">
        <v>6452291.1699999999</v>
      </c>
      <c r="G341" s="601"/>
      <c r="H341" s="601"/>
      <c r="I341" s="602"/>
      <c r="J341" s="2544">
        <f>1862163.63+2693740+1031941.14</f>
        <v>5587844.7699999996</v>
      </c>
      <c r="K341" s="2687" t="s">
        <v>2368</v>
      </c>
      <c r="L341" s="594"/>
      <c r="M341" s="599" t="s">
        <v>2369</v>
      </c>
      <c r="N341" s="594" t="s">
        <v>2370</v>
      </c>
      <c r="O341" s="1455">
        <v>2219928</v>
      </c>
      <c r="P341" s="1455"/>
      <c r="Q341" s="924"/>
      <c r="R341" s="1581" t="s">
        <v>2371</v>
      </c>
      <c r="S341" s="1070" t="s">
        <v>2372</v>
      </c>
      <c r="T341" s="607"/>
      <c r="U341" s="607"/>
      <c r="V341" s="1590"/>
      <c r="W341" s="1088"/>
      <c r="X341" s="1088"/>
      <c r="Y341" s="1088"/>
      <c r="Z341" s="607"/>
      <c r="AA341" s="607"/>
      <c r="AB341" s="1344"/>
      <c r="AC341" s="1592"/>
      <c r="AD341" s="1088"/>
      <c r="AE341" s="607"/>
      <c r="AF341" s="1088"/>
      <c r="AG341" s="607"/>
      <c r="AH341" s="607"/>
    </row>
    <row r="342" spans="1:38" ht="39.75" customHeight="1">
      <c r="A342" s="311"/>
      <c r="B342" s="2693"/>
      <c r="C342" s="2542"/>
      <c r="D342" s="2351"/>
      <c r="E342" s="599"/>
      <c r="F342" s="2544"/>
      <c r="G342" s="601"/>
      <c r="H342" s="601"/>
      <c r="I342" s="602"/>
      <c r="J342" s="2544"/>
      <c r="K342" s="2687"/>
      <c r="L342" s="594"/>
      <c r="M342" s="599" t="s">
        <v>3930</v>
      </c>
      <c r="N342" s="1120" t="s">
        <v>3857</v>
      </c>
      <c r="O342" s="1455">
        <v>299750</v>
      </c>
      <c r="P342" s="1464"/>
      <c r="Q342" s="924"/>
      <c r="R342" s="1455">
        <v>299750</v>
      </c>
      <c r="S342" s="1455" t="s">
        <v>2373</v>
      </c>
      <c r="T342" s="607"/>
      <c r="U342" s="607"/>
      <c r="V342" s="1590"/>
      <c r="W342" s="1088"/>
      <c r="X342" s="1088"/>
      <c r="Y342" s="1088"/>
      <c r="Z342" s="607"/>
      <c r="AA342" s="607"/>
      <c r="AB342" s="1344"/>
      <c r="AC342" s="1592"/>
      <c r="AD342" s="1088"/>
      <c r="AE342" s="607"/>
      <c r="AF342" s="1088"/>
      <c r="AG342" s="607"/>
      <c r="AH342" s="607"/>
    </row>
    <row r="343" spans="1:38" ht="54" customHeight="1">
      <c r="A343" s="311"/>
      <c r="B343" s="2693"/>
      <c r="C343" s="2542"/>
      <c r="D343" s="2351"/>
      <c r="E343" s="599"/>
      <c r="F343" s="2544"/>
      <c r="G343" s="601">
        <v>2000000</v>
      </c>
      <c r="H343" s="601">
        <v>2000000</v>
      </c>
      <c r="I343" s="602"/>
      <c r="J343" s="2544"/>
      <c r="K343" s="2687"/>
      <c r="L343" s="594" t="s">
        <v>2374</v>
      </c>
      <c r="M343" s="1023" t="s">
        <v>3931</v>
      </c>
      <c r="N343" s="1656" t="s">
        <v>3932</v>
      </c>
      <c r="O343" s="446">
        <v>1190000</v>
      </c>
      <c r="P343" s="1455"/>
      <c r="Q343" s="924"/>
      <c r="R343" s="1581">
        <v>430000</v>
      </c>
      <c r="S343" s="1657">
        <v>43010</v>
      </c>
      <c r="T343" s="607"/>
      <c r="U343" s="607" t="s">
        <v>2375</v>
      </c>
      <c r="V343" s="1590"/>
      <c r="W343" s="1088"/>
      <c r="X343" s="1088"/>
      <c r="Y343" s="1088"/>
      <c r="Z343" s="607"/>
      <c r="AA343" s="607"/>
      <c r="AB343" s="1344"/>
      <c r="AC343" s="1592"/>
      <c r="AD343" s="1088"/>
      <c r="AE343" s="607"/>
      <c r="AF343" s="1088"/>
      <c r="AG343" s="607"/>
      <c r="AH343" s="607"/>
    </row>
    <row r="344" spans="1:38" ht="66.75" customHeight="1">
      <c r="A344" s="311"/>
      <c r="B344" s="478" t="s">
        <v>3933</v>
      </c>
      <c r="C344" s="965" t="s">
        <v>2094</v>
      </c>
      <c r="D344" s="478" t="s">
        <v>2376</v>
      </c>
      <c r="E344" s="599">
        <v>43290.09</v>
      </c>
      <c r="F344" s="600"/>
      <c r="G344" s="601"/>
      <c r="H344" s="601"/>
      <c r="I344" s="602"/>
      <c r="J344" s="599">
        <v>43290.09</v>
      </c>
      <c r="K344" s="1658">
        <v>0</v>
      </c>
      <c r="L344" s="594" t="s">
        <v>401</v>
      </c>
      <c r="M344" s="599"/>
      <c r="N344" s="446"/>
      <c r="O344" s="602"/>
      <c r="P344" s="446"/>
      <c r="Q344" s="1455"/>
      <c r="R344" s="924"/>
      <c r="S344" s="1581"/>
      <c r="T344" s="1657"/>
      <c r="U344" s="607"/>
      <c r="V344" s="607"/>
      <c r="W344" s="1590"/>
      <c r="X344" s="1088"/>
      <c r="Y344" s="1088"/>
      <c r="Z344" s="1088"/>
      <c r="AA344" s="607"/>
      <c r="AB344" s="607"/>
      <c r="AC344" s="1344"/>
      <c r="AD344" s="1592"/>
      <c r="AE344" s="1088"/>
      <c r="AF344" s="607"/>
      <c r="AG344" s="1088"/>
      <c r="AH344" s="607"/>
      <c r="AI344" s="607"/>
    </row>
    <row r="345" spans="1:38" ht="60.75" customHeight="1">
      <c r="A345" s="311"/>
      <c r="B345" s="478" t="s">
        <v>3933</v>
      </c>
      <c r="C345" s="965" t="s">
        <v>2377</v>
      </c>
      <c r="D345" s="478" t="s">
        <v>2378</v>
      </c>
      <c r="E345" s="599">
        <v>149572.82</v>
      </c>
      <c r="F345" s="600"/>
      <c r="G345" s="601"/>
      <c r="H345" s="601"/>
      <c r="I345" s="602"/>
      <c r="J345" s="599">
        <v>149572.82</v>
      </c>
      <c r="K345" s="1658">
        <v>0</v>
      </c>
      <c r="L345" s="594" t="s">
        <v>401</v>
      </c>
      <c r="M345" s="599"/>
      <c r="N345" s="446"/>
      <c r="O345" s="602"/>
      <c r="P345" s="446"/>
      <c r="Q345" s="1455"/>
      <c r="R345" s="924"/>
      <c r="S345" s="1581"/>
      <c r="T345" s="1657"/>
      <c r="U345" s="607"/>
      <c r="V345" s="607"/>
      <c r="W345" s="1590"/>
      <c r="X345" s="1088"/>
      <c r="Y345" s="1088"/>
      <c r="Z345" s="1088"/>
      <c r="AA345" s="607"/>
      <c r="AB345" s="607"/>
      <c r="AC345" s="1344"/>
      <c r="AD345" s="1592"/>
      <c r="AE345" s="1088"/>
      <c r="AF345" s="607"/>
      <c r="AG345" s="1088"/>
      <c r="AH345" s="607"/>
      <c r="AI345" s="607"/>
    </row>
    <row r="346" spans="1:38" ht="64.5" customHeight="1">
      <c r="A346" s="311"/>
      <c r="B346" s="478" t="s">
        <v>3933</v>
      </c>
      <c r="C346" s="965" t="s">
        <v>2379</v>
      </c>
      <c r="D346" s="478" t="s">
        <v>2380</v>
      </c>
      <c r="E346" s="599">
        <v>90000</v>
      </c>
      <c r="F346" s="600"/>
      <c r="G346" s="601"/>
      <c r="H346" s="601"/>
      <c r="I346" s="602"/>
      <c r="J346" s="599">
        <v>90000</v>
      </c>
      <c r="K346" s="1658">
        <v>0</v>
      </c>
      <c r="L346" s="594" t="s">
        <v>401</v>
      </c>
      <c r="M346" s="599"/>
      <c r="N346" s="446"/>
      <c r="O346" s="602"/>
      <c r="P346" s="446"/>
      <c r="Q346" s="1455"/>
      <c r="R346" s="924"/>
      <c r="S346" s="1581"/>
      <c r="T346" s="1657"/>
      <c r="U346" s="607"/>
      <c r="V346" s="607"/>
      <c r="W346" s="1590"/>
      <c r="X346" s="1088"/>
      <c r="Y346" s="1088"/>
      <c r="Z346" s="1088"/>
      <c r="AA346" s="607"/>
      <c r="AB346" s="607"/>
      <c r="AC346" s="1344"/>
      <c r="AD346" s="1592"/>
      <c r="AE346" s="1088"/>
      <c r="AF346" s="607"/>
      <c r="AG346" s="1088"/>
      <c r="AH346" s="607"/>
      <c r="AI346" s="607"/>
    </row>
    <row r="347" spans="1:38" s="973" customFormat="1" ht="41.25" customHeight="1">
      <c r="A347" s="1541"/>
      <c r="B347" s="446" t="s">
        <v>2381</v>
      </c>
      <c r="C347" s="602" t="s">
        <v>2382</v>
      </c>
      <c r="D347" s="446" t="s">
        <v>2383</v>
      </c>
      <c r="E347" s="599"/>
      <c r="F347" s="601">
        <v>225000</v>
      </c>
      <c r="G347" s="601"/>
      <c r="H347" s="601"/>
      <c r="I347" s="602"/>
      <c r="J347" s="601">
        <v>225000</v>
      </c>
      <c r="K347" s="442" t="s">
        <v>2384</v>
      </c>
      <c r="L347" s="446" t="s">
        <v>401</v>
      </c>
      <c r="M347" s="599"/>
      <c r="N347" s="446"/>
      <c r="O347" s="1455"/>
      <c r="P347" s="1455"/>
      <c r="Q347" s="924"/>
      <c r="R347" s="1592"/>
      <c r="S347" s="1344"/>
      <c r="T347" s="607"/>
      <c r="U347" s="607"/>
      <c r="V347" s="1590"/>
      <c r="W347" s="1088"/>
      <c r="X347" s="1088"/>
      <c r="Y347" s="1088"/>
      <c r="Z347" s="607"/>
      <c r="AA347" s="607"/>
      <c r="AB347" s="1344"/>
      <c r="AC347" s="1592"/>
      <c r="AD347" s="1088"/>
      <c r="AE347" s="607"/>
      <c r="AF347" s="1088"/>
      <c r="AG347" s="607"/>
      <c r="AH347" s="607"/>
    </row>
    <row r="348" spans="1:38" ht="75.75" customHeight="1">
      <c r="A348" s="1117" t="s">
        <v>2385</v>
      </c>
      <c r="B348" s="446" t="s">
        <v>2386</v>
      </c>
      <c r="C348" s="602" t="s">
        <v>2387</v>
      </c>
      <c r="D348" s="446" t="s">
        <v>2388</v>
      </c>
      <c r="E348" s="599"/>
      <c r="F348" s="601"/>
      <c r="G348" s="601"/>
      <c r="H348" s="601"/>
      <c r="I348" s="602"/>
      <c r="J348" s="1185"/>
      <c r="K348" s="1595"/>
      <c r="L348" s="594"/>
      <c r="M348" s="599"/>
      <c r="N348" s="594"/>
      <c r="O348" s="1455"/>
      <c r="P348" s="1455"/>
      <c r="Q348" s="924"/>
      <c r="R348" s="1592"/>
      <c r="S348" s="1648"/>
      <c r="T348" s="607"/>
      <c r="U348" s="607"/>
      <c r="V348" s="1590"/>
      <c r="W348" s="1088"/>
      <c r="X348" s="1088"/>
      <c r="Y348" s="1088"/>
      <c r="Z348" s="607"/>
      <c r="AA348" s="607"/>
      <c r="AB348" s="1344"/>
      <c r="AC348" s="1592"/>
      <c r="AD348" s="1088"/>
      <c r="AE348" s="607"/>
      <c r="AF348" s="1088"/>
      <c r="AG348" s="607"/>
      <c r="AH348" s="607"/>
    </row>
    <row r="349" spans="1:38" s="1085" customFormat="1" ht="85.5" customHeight="1">
      <c r="A349" s="1163"/>
      <c r="B349" s="446" t="s">
        <v>3934</v>
      </c>
      <c r="C349" s="599" t="s">
        <v>2389</v>
      </c>
      <c r="D349" s="442" t="s">
        <v>3935</v>
      </c>
      <c r="E349" s="599" t="s">
        <v>2390</v>
      </c>
      <c r="F349" s="1185">
        <f>1521256+38000+47000</f>
        <v>1606256</v>
      </c>
      <c r="G349" s="601">
        <v>150096</v>
      </c>
      <c r="H349" s="972">
        <v>1229696</v>
      </c>
      <c r="I349" s="890" t="s">
        <v>2391</v>
      </c>
      <c r="J349" s="625" t="s">
        <v>2392</v>
      </c>
      <c r="K349" s="599" t="s">
        <v>2393</v>
      </c>
      <c r="L349" s="594"/>
      <c r="M349" s="1054"/>
      <c r="N349" s="890"/>
      <c r="O349" s="1054"/>
      <c r="P349" s="890"/>
      <c r="Q349" s="890"/>
      <c r="R349" s="890"/>
      <c r="S349" s="890"/>
      <c r="T349" s="890"/>
      <c r="U349" s="890"/>
      <c r="V349" s="890"/>
      <c r="W349" s="890"/>
      <c r="X349" s="890"/>
      <c r="Y349" s="890"/>
      <c r="Z349" s="890"/>
      <c r="AA349" s="890"/>
      <c r="AB349" s="890"/>
      <c r="AC349" s="890"/>
      <c r="AD349" s="890"/>
      <c r="AE349" s="890"/>
      <c r="AF349" s="890"/>
      <c r="AG349" s="890"/>
      <c r="AH349" s="890"/>
      <c r="AI349" s="890"/>
      <c r="AJ349" s="890"/>
      <c r="AK349" s="890"/>
      <c r="AL349" s="890"/>
    </row>
    <row r="350" spans="1:38" s="1085" customFormat="1" ht="147" customHeight="1">
      <c r="A350" s="1163"/>
      <c r="B350" s="446" t="s">
        <v>3936</v>
      </c>
      <c r="C350" s="599" t="s">
        <v>2394</v>
      </c>
      <c r="D350" s="1656" t="s">
        <v>3937</v>
      </c>
      <c r="E350" s="599" t="s">
        <v>1777</v>
      </c>
      <c r="F350" s="625">
        <f>3604000+250160+60000</f>
        <v>3914160</v>
      </c>
      <c r="G350" s="601">
        <v>1081200</v>
      </c>
      <c r="H350" s="582" t="s">
        <v>2395</v>
      </c>
      <c r="I350" s="599" t="s">
        <v>3938</v>
      </c>
      <c r="J350" s="625">
        <f>806400+336000+372000.02+436799.99+211199.99+88000+52800+158710+60000+308000+78000+184800+91450</f>
        <v>3184160</v>
      </c>
      <c r="K350" s="890">
        <v>1160400</v>
      </c>
      <c r="L350" s="1659" t="s">
        <v>2396</v>
      </c>
      <c r="M350" s="1660" t="s">
        <v>2397</v>
      </c>
      <c r="N350" s="1050" t="s">
        <v>3939</v>
      </c>
      <c r="O350" s="1054">
        <v>1538543</v>
      </c>
      <c r="P350" s="890">
        <v>769271</v>
      </c>
      <c r="Q350" s="1661" t="s">
        <v>2398</v>
      </c>
      <c r="R350" s="890"/>
      <c r="S350" s="890" t="s">
        <v>2399</v>
      </c>
      <c r="T350" s="890"/>
      <c r="U350" s="890"/>
      <c r="V350" s="890"/>
      <c r="W350" s="890"/>
      <c r="X350" s="890"/>
      <c r="Y350" s="890"/>
      <c r="Z350" s="890"/>
      <c r="AA350" s="890"/>
      <c r="AB350" s="890"/>
      <c r="AC350" s="890"/>
      <c r="AD350" s="890"/>
      <c r="AE350" s="890"/>
      <c r="AF350" s="890"/>
      <c r="AG350" s="890"/>
      <c r="AH350" s="890"/>
      <c r="AI350" s="890"/>
      <c r="AJ350" s="890"/>
      <c r="AK350" s="890"/>
      <c r="AL350" s="890"/>
    </row>
    <row r="351" spans="1:38" ht="42" customHeight="1">
      <c r="A351" s="311"/>
      <c r="B351" s="446" t="s">
        <v>3940</v>
      </c>
      <c r="C351" s="602" t="s">
        <v>2400</v>
      </c>
      <c r="D351" s="446" t="s">
        <v>2401</v>
      </c>
      <c r="E351" s="599" t="s">
        <v>1657</v>
      </c>
      <c r="F351" s="601" t="s">
        <v>2402</v>
      </c>
      <c r="G351" s="601">
        <v>23370.400000000001</v>
      </c>
      <c r="H351" s="601"/>
      <c r="I351" s="602"/>
      <c r="J351" s="1185"/>
      <c r="K351" s="1595"/>
      <c r="L351" s="1094">
        <v>42416</v>
      </c>
      <c r="M351" s="599"/>
      <c r="N351" s="594"/>
      <c r="O351" s="1455"/>
      <c r="P351" s="1455"/>
      <c r="Q351" s="924"/>
      <c r="R351" s="1592"/>
      <c r="S351" s="1648"/>
      <c r="T351" s="607"/>
      <c r="U351" s="607"/>
      <c r="V351" s="1590"/>
      <c r="W351" s="1088"/>
      <c r="X351" s="1088"/>
      <c r="Y351" s="1088"/>
      <c r="Z351" s="607"/>
      <c r="AA351" s="607"/>
      <c r="AB351" s="1344"/>
      <c r="AC351" s="1592"/>
      <c r="AD351" s="1088"/>
      <c r="AE351" s="607"/>
      <c r="AF351" s="1088"/>
      <c r="AG351" s="607"/>
      <c r="AH351" s="607"/>
    </row>
    <row r="352" spans="1:38" ht="46.5" customHeight="1">
      <c r="A352" s="311"/>
      <c r="B352" s="446" t="s">
        <v>3941</v>
      </c>
      <c r="C352" s="602" t="s">
        <v>2403</v>
      </c>
      <c r="D352" s="446" t="s">
        <v>2404</v>
      </c>
      <c r="E352" s="599"/>
      <c r="F352" s="601">
        <v>120000</v>
      </c>
      <c r="G352" s="601"/>
      <c r="H352" s="601"/>
      <c r="I352" s="602"/>
      <c r="J352" s="601">
        <v>120000</v>
      </c>
      <c r="K352" s="442" t="s">
        <v>2405</v>
      </c>
      <c r="L352" s="594" t="s">
        <v>2406</v>
      </c>
      <c r="M352" s="599"/>
      <c r="N352" s="594"/>
      <c r="O352" s="1455"/>
      <c r="P352" s="1455"/>
      <c r="Q352" s="924"/>
      <c r="R352" s="1592"/>
      <c r="S352" s="1648"/>
      <c r="T352" s="607"/>
      <c r="U352" s="607"/>
      <c r="V352" s="1590"/>
      <c r="W352" s="1088"/>
      <c r="X352" s="1088"/>
      <c r="Y352" s="1088"/>
      <c r="Z352" s="607"/>
      <c r="AA352" s="607"/>
      <c r="AB352" s="1344"/>
      <c r="AC352" s="1592"/>
      <c r="AD352" s="1088"/>
      <c r="AE352" s="607"/>
      <c r="AF352" s="1088"/>
      <c r="AG352" s="607"/>
      <c r="AH352" s="607"/>
    </row>
    <row r="353" spans="1:38" ht="91.5" customHeight="1">
      <c r="A353" s="311"/>
      <c r="B353" s="1076" t="s">
        <v>3942</v>
      </c>
      <c r="C353" s="602" t="s">
        <v>2407</v>
      </c>
      <c r="D353" s="446" t="s">
        <v>2408</v>
      </c>
      <c r="E353" s="599"/>
      <c r="F353" s="601">
        <v>1180000</v>
      </c>
      <c r="G353" s="601" t="s">
        <v>2409</v>
      </c>
      <c r="H353" s="601"/>
      <c r="I353" s="602"/>
      <c r="J353" s="601" t="s">
        <v>2410</v>
      </c>
      <c r="K353" s="442" t="s">
        <v>2411</v>
      </c>
      <c r="L353" s="594" t="s">
        <v>2406</v>
      </c>
      <c r="M353" s="599" t="s">
        <v>3943</v>
      </c>
      <c r="N353" s="446" t="s">
        <v>3944</v>
      </c>
      <c r="O353" s="1455">
        <v>945900</v>
      </c>
      <c r="P353" s="1455"/>
      <c r="Q353" s="924"/>
      <c r="R353" s="1662" t="s">
        <v>2412</v>
      </c>
      <c r="S353" s="1070" t="s">
        <v>2413</v>
      </c>
      <c r="T353" s="607"/>
      <c r="U353" s="607"/>
      <c r="V353" s="1590"/>
      <c r="W353" s="1088"/>
      <c r="X353" s="1088"/>
      <c r="Y353" s="1088"/>
      <c r="Z353" s="607"/>
      <c r="AA353" s="607"/>
      <c r="AB353" s="1344"/>
      <c r="AC353" s="1592"/>
      <c r="AD353" s="1088"/>
      <c r="AE353" s="607"/>
      <c r="AF353" s="1088"/>
      <c r="AG353" s="607"/>
      <c r="AH353" s="607"/>
    </row>
    <row r="354" spans="1:38" s="1180" customFormat="1" ht="30.75" customHeight="1">
      <c r="A354" s="1170"/>
      <c r="B354" s="1171"/>
      <c r="C354" s="1172" t="s">
        <v>688</v>
      </c>
      <c r="D354" s="1171"/>
      <c r="E354" s="1173"/>
      <c r="F354" s="1174"/>
      <c r="G354" s="1175"/>
      <c r="H354" s="1174"/>
      <c r="I354" s="1174"/>
      <c r="J354" s="1175"/>
      <c r="K354" s="1176"/>
      <c r="L354" s="1461"/>
      <c r="M354" s="1178"/>
      <c r="N354" s="1173"/>
      <c r="O354" s="1173"/>
      <c r="P354" s="1173"/>
      <c r="Q354" s="1176"/>
      <c r="R354" s="1176" t="s">
        <v>65</v>
      </c>
      <c r="S354" s="1176"/>
      <c r="T354" s="1176"/>
      <c r="U354" s="1176"/>
      <c r="V354" s="1128"/>
      <c r="W354" s="1128"/>
      <c r="X354" s="1128"/>
      <c r="Y354" s="1128"/>
      <c r="Z354" s="1128"/>
      <c r="AA354" s="1128"/>
      <c r="AB354" s="1128"/>
      <c r="AC354" s="1128"/>
      <c r="AD354" s="1144"/>
      <c r="AE354" s="1128"/>
      <c r="AF354" s="1144"/>
      <c r="AG354" s="1128"/>
      <c r="AH354" s="1128"/>
    </row>
    <row r="355" spans="1:38" s="1085" customFormat="1" ht="87.75" customHeight="1">
      <c r="A355" s="1163"/>
      <c r="B355" s="446" t="s">
        <v>3945</v>
      </c>
      <c r="C355" s="599" t="s">
        <v>2414</v>
      </c>
      <c r="D355" s="442" t="s">
        <v>3946</v>
      </c>
      <c r="E355" s="599" t="s">
        <v>2390</v>
      </c>
      <c r="F355" s="601" t="s">
        <v>2415</v>
      </c>
      <c r="G355" s="601">
        <v>55100</v>
      </c>
      <c r="H355" s="599">
        <v>137750</v>
      </c>
      <c r="I355" s="890"/>
      <c r="J355" s="625">
        <v>129250</v>
      </c>
      <c r="K355" s="599" t="s">
        <v>2416</v>
      </c>
      <c r="L355" s="580"/>
      <c r="M355" s="1565" t="s">
        <v>3947</v>
      </c>
      <c r="N355" s="594" t="s">
        <v>2417</v>
      </c>
      <c r="O355" s="1561">
        <v>100000</v>
      </c>
      <c r="P355" s="890"/>
      <c r="Q355" s="890"/>
      <c r="R355" s="625">
        <v>100000</v>
      </c>
      <c r="S355" s="594" t="s">
        <v>2418</v>
      </c>
      <c r="T355" s="624" t="s">
        <v>2418</v>
      </c>
      <c r="U355" s="890"/>
      <c r="V355" s="890"/>
      <c r="W355" s="890"/>
      <c r="X355" s="890"/>
      <c r="Y355" s="890"/>
      <c r="Z355" s="890"/>
      <c r="AA355" s="890"/>
      <c r="AB355" s="890"/>
      <c r="AC355" s="890"/>
      <c r="AD355" s="890"/>
      <c r="AE355" s="890"/>
      <c r="AF355" s="890"/>
      <c r="AG355" s="890"/>
      <c r="AH355" s="890"/>
      <c r="AI355" s="890"/>
      <c r="AJ355" s="890"/>
      <c r="AK355" s="890"/>
      <c r="AL355" s="890"/>
    </row>
    <row r="356" spans="1:38" s="1085" customFormat="1" ht="51" customHeight="1">
      <c r="B356" s="2351" t="s">
        <v>3948</v>
      </c>
      <c r="C356" s="2542" t="s">
        <v>2419</v>
      </c>
      <c r="D356" s="2351" t="s">
        <v>2420</v>
      </c>
      <c r="E356" s="2542" t="s">
        <v>1691</v>
      </c>
      <c r="F356" s="2544" t="s">
        <v>2421</v>
      </c>
      <c r="G356" s="601"/>
      <c r="H356" s="599"/>
      <c r="I356" s="890"/>
      <c r="J356" s="601"/>
      <c r="K356" s="599"/>
      <c r="L356" s="580"/>
      <c r="M356" s="1663" t="s">
        <v>2422</v>
      </c>
      <c r="N356" s="594" t="s">
        <v>2423</v>
      </c>
      <c r="O356" s="1561">
        <v>64000</v>
      </c>
      <c r="P356" s="890"/>
      <c r="Q356" s="890"/>
      <c r="R356" s="1664">
        <v>64000</v>
      </c>
      <c r="S356" s="1070" t="s">
        <v>2424</v>
      </c>
      <c r="T356" s="1648"/>
      <c r="U356" s="1665" t="s">
        <v>2425</v>
      </c>
    </row>
    <row r="357" spans="1:38" ht="69.75" customHeight="1">
      <c r="A357" s="311"/>
      <c r="B357" s="2351"/>
      <c r="C357" s="2542"/>
      <c r="D357" s="2351"/>
      <c r="E357" s="2542"/>
      <c r="F357" s="2544"/>
      <c r="G357" s="601"/>
      <c r="H357" s="601" t="s">
        <v>2426</v>
      </c>
      <c r="I357" s="1595"/>
      <c r="J357" s="601" t="s">
        <v>2427</v>
      </c>
      <c r="K357" s="1015" t="s">
        <v>2428</v>
      </c>
      <c r="L357" s="594" t="s">
        <v>2406</v>
      </c>
      <c r="M357" s="599" t="s">
        <v>2429</v>
      </c>
      <c r="N357" s="594" t="s">
        <v>2430</v>
      </c>
      <c r="O357" s="1455" t="s">
        <v>2431</v>
      </c>
      <c r="P357" s="1455"/>
      <c r="Q357" s="924"/>
      <c r="R357" s="1592"/>
      <c r="S357" s="1648"/>
      <c r="T357" s="607"/>
      <c r="U357" s="607"/>
      <c r="V357" s="1590"/>
      <c r="W357" s="1088"/>
      <c r="X357" s="1088"/>
      <c r="Y357" s="1088"/>
      <c r="Z357" s="607"/>
      <c r="AA357" s="607"/>
      <c r="AB357" s="1344"/>
      <c r="AC357" s="1592"/>
      <c r="AD357" s="1088"/>
      <c r="AE357" s="607"/>
      <c r="AF357" s="1088"/>
      <c r="AG357" s="607"/>
      <c r="AH357" s="607"/>
    </row>
    <row r="358" spans="1:38" ht="54" customHeight="1">
      <c r="A358" s="311"/>
      <c r="B358" s="446" t="s">
        <v>3949</v>
      </c>
      <c r="C358" s="599" t="s">
        <v>2432</v>
      </c>
      <c r="D358" s="442" t="s">
        <v>2433</v>
      </c>
      <c r="E358" s="599" t="s">
        <v>2434</v>
      </c>
      <c r="F358" s="601">
        <v>120000</v>
      </c>
      <c r="G358" s="601">
        <v>60000</v>
      </c>
      <c r="H358" s="601">
        <v>120000</v>
      </c>
      <c r="I358" s="1595"/>
      <c r="J358" s="601">
        <v>120000</v>
      </c>
      <c r="K358" s="442" t="s">
        <v>2435</v>
      </c>
      <c r="L358" s="594" t="s">
        <v>2406</v>
      </c>
      <c r="M358" s="599"/>
      <c r="N358" s="594"/>
      <c r="O358" s="1455"/>
      <c r="P358" s="1455"/>
      <c r="Q358" s="924"/>
      <c r="R358" s="1592"/>
      <c r="S358" s="1648"/>
      <c r="T358" s="607"/>
      <c r="U358" s="607"/>
      <c r="V358" s="1590"/>
      <c r="W358" s="1088"/>
      <c r="X358" s="1088"/>
      <c r="Y358" s="1088"/>
      <c r="Z358" s="607"/>
      <c r="AA358" s="607"/>
      <c r="AB358" s="1344"/>
      <c r="AC358" s="1592"/>
      <c r="AD358" s="1088"/>
      <c r="AE358" s="607"/>
      <c r="AF358" s="1088"/>
      <c r="AG358" s="607"/>
      <c r="AH358" s="607"/>
    </row>
    <row r="359" spans="1:38" ht="57.75" customHeight="1">
      <c r="A359" s="311"/>
      <c r="B359" s="2351" t="s">
        <v>3950</v>
      </c>
      <c r="C359" s="2542" t="s">
        <v>2436</v>
      </c>
      <c r="D359" s="442" t="s">
        <v>2437</v>
      </c>
      <c r="E359" s="599" t="s">
        <v>1691</v>
      </c>
      <c r="F359" s="1119" t="s">
        <v>2438</v>
      </c>
      <c r="G359" s="601"/>
      <c r="H359" s="1185"/>
      <c r="I359" s="1595"/>
      <c r="J359" s="1666" t="s">
        <v>2439</v>
      </c>
      <c r="K359" s="1015" t="s">
        <v>2440</v>
      </c>
      <c r="L359" s="594" t="s">
        <v>2406</v>
      </c>
      <c r="M359" s="599" t="s">
        <v>2441</v>
      </c>
      <c r="N359" s="594" t="s">
        <v>3951</v>
      </c>
      <c r="O359" s="1455" t="s">
        <v>2442</v>
      </c>
      <c r="P359" s="1455"/>
      <c r="Q359" s="924"/>
      <c r="R359" s="1592"/>
      <c r="S359" s="1648"/>
      <c r="T359" s="607"/>
      <c r="U359" s="607"/>
      <c r="V359" s="1590"/>
      <c r="W359" s="1088"/>
      <c r="X359" s="1088"/>
      <c r="Y359" s="1088"/>
      <c r="Z359" s="607"/>
      <c r="AA359" s="607"/>
      <c r="AB359" s="1344"/>
      <c r="AC359" s="1592"/>
      <c r="AD359" s="1088"/>
      <c r="AE359" s="607"/>
      <c r="AF359" s="1088"/>
      <c r="AG359" s="607"/>
      <c r="AH359" s="607"/>
    </row>
    <row r="360" spans="1:38" ht="57.75" customHeight="1">
      <c r="A360" s="311"/>
      <c r="B360" s="2351"/>
      <c r="C360" s="2542"/>
      <c r="D360" s="442"/>
      <c r="E360" s="599"/>
      <c r="F360" s="1119"/>
      <c r="G360" s="601"/>
      <c r="H360" s="1185"/>
      <c r="I360" s="602"/>
      <c r="J360" s="1667"/>
      <c r="K360" s="1595"/>
      <c r="L360" s="599"/>
      <c r="M360" s="1041" t="s">
        <v>3952</v>
      </c>
      <c r="N360" s="446" t="s">
        <v>2443</v>
      </c>
      <c r="O360" s="1668">
        <v>193000</v>
      </c>
      <c r="P360" s="890"/>
      <c r="Q360" s="890"/>
      <c r="R360" s="625">
        <v>193000</v>
      </c>
      <c r="S360" s="1295">
        <v>43747</v>
      </c>
      <c r="T360" s="607"/>
      <c r="U360" s="607"/>
      <c r="V360" s="1590"/>
      <c r="W360" s="1088"/>
      <c r="X360" s="1088"/>
      <c r="Y360" s="1088"/>
      <c r="Z360" s="607"/>
      <c r="AA360" s="607"/>
      <c r="AB360" s="1344"/>
      <c r="AC360" s="1592"/>
      <c r="AD360" s="1088"/>
      <c r="AE360" s="607"/>
      <c r="AF360" s="1088"/>
      <c r="AG360" s="607"/>
      <c r="AH360" s="607"/>
    </row>
    <row r="361" spans="1:38" ht="87" customHeight="1">
      <c r="A361" s="311"/>
      <c r="B361" s="446" t="s">
        <v>3953</v>
      </c>
      <c r="C361" s="599" t="s">
        <v>2444</v>
      </c>
      <c r="D361" s="442" t="s">
        <v>2445</v>
      </c>
      <c r="E361" s="599" t="s">
        <v>2434</v>
      </c>
      <c r="F361" s="601">
        <v>550500</v>
      </c>
      <c r="G361" s="601"/>
      <c r="H361" s="1185"/>
      <c r="I361" s="602" t="s">
        <v>3954</v>
      </c>
      <c r="J361" s="625" t="s">
        <v>2446</v>
      </c>
      <c r="K361" s="1669" t="s">
        <v>3955</v>
      </c>
      <c r="L361" s="599" t="s">
        <v>2447</v>
      </c>
      <c r="M361" s="599"/>
      <c r="N361" s="594"/>
      <c r="O361" s="1455"/>
      <c r="P361" s="1455"/>
      <c r="Q361" s="924"/>
      <c r="R361" s="1592"/>
      <c r="S361" s="1648"/>
      <c r="T361" s="607"/>
      <c r="U361" s="607"/>
      <c r="V361" s="1590"/>
      <c r="W361" s="1088"/>
      <c r="X361" s="1088"/>
      <c r="Y361" s="1088"/>
      <c r="Z361" s="607"/>
      <c r="AA361" s="607"/>
      <c r="AB361" s="1344"/>
      <c r="AC361" s="1592"/>
      <c r="AD361" s="1088"/>
      <c r="AE361" s="607"/>
      <c r="AF361" s="1088"/>
      <c r="AG361" s="607"/>
      <c r="AH361" s="607"/>
    </row>
    <row r="362" spans="1:38" ht="43.5" customHeight="1">
      <c r="A362" s="311"/>
      <c r="B362" s="2578" t="s">
        <v>3956</v>
      </c>
      <c r="C362" s="2579" t="s">
        <v>2448</v>
      </c>
      <c r="D362" s="2351" t="s">
        <v>3957</v>
      </c>
      <c r="E362" s="2580" t="s">
        <v>1691</v>
      </c>
      <c r="F362" s="1670" t="s">
        <v>2449</v>
      </c>
      <c r="G362" s="601"/>
      <c r="H362" s="2559">
        <v>1398254.04</v>
      </c>
      <c r="I362" s="602"/>
      <c r="J362" s="1185"/>
      <c r="K362" s="1671"/>
      <c r="L362" s="599"/>
      <c r="M362" s="599" t="s">
        <v>2450</v>
      </c>
      <c r="N362" s="594" t="s">
        <v>3958</v>
      </c>
      <c r="O362" s="1455" t="s">
        <v>2451</v>
      </c>
      <c r="P362" s="1455"/>
      <c r="Q362" s="924"/>
      <c r="R362" s="1592"/>
      <c r="S362" s="1648"/>
      <c r="T362" s="607"/>
      <c r="U362" s="607"/>
      <c r="V362" s="1590"/>
      <c r="W362" s="1088"/>
      <c r="X362" s="1088"/>
      <c r="Y362" s="1088"/>
      <c r="Z362" s="607"/>
      <c r="AA362" s="607"/>
      <c r="AB362" s="1344"/>
      <c r="AC362" s="1592"/>
      <c r="AD362" s="1088"/>
      <c r="AE362" s="607"/>
      <c r="AF362" s="1088"/>
      <c r="AG362" s="607"/>
      <c r="AH362" s="607"/>
    </row>
    <row r="363" spans="1:38" ht="58.5" customHeight="1">
      <c r="A363" s="311"/>
      <c r="B363" s="2578"/>
      <c r="C363" s="2579"/>
      <c r="D363" s="2351"/>
      <c r="E363" s="2580"/>
      <c r="F363" s="1672" t="s">
        <v>2452</v>
      </c>
      <c r="G363" s="601"/>
      <c r="H363" s="2559"/>
      <c r="I363" s="602"/>
      <c r="J363" s="1185"/>
      <c r="K363" s="1671"/>
      <c r="L363" s="599"/>
      <c r="M363" s="1041" t="s">
        <v>3959</v>
      </c>
      <c r="N363" s="446" t="s">
        <v>2174</v>
      </c>
      <c r="O363" s="1455">
        <v>1448467</v>
      </c>
      <c r="P363" s="1455"/>
      <c r="Q363" s="1673">
        <f>O363+O364</f>
        <v>1633767</v>
      </c>
      <c r="R363" s="1662" t="s">
        <v>2453</v>
      </c>
      <c r="S363" s="1657" t="s">
        <v>2454</v>
      </c>
      <c r="T363" s="607"/>
      <c r="U363" s="607"/>
      <c r="V363" s="1590"/>
      <c r="W363" s="1088"/>
      <c r="X363" s="1088"/>
      <c r="Y363" s="1088"/>
      <c r="Z363" s="607"/>
      <c r="AA363" s="607"/>
      <c r="AB363" s="1344"/>
      <c r="AC363" s="1592"/>
      <c r="AD363" s="1088"/>
      <c r="AE363" s="607"/>
      <c r="AF363" s="1088"/>
      <c r="AG363" s="607"/>
      <c r="AH363" s="607"/>
    </row>
    <row r="364" spans="1:38" ht="59.25" customHeight="1">
      <c r="A364" s="311"/>
      <c r="B364" s="1674"/>
      <c r="C364" s="2579"/>
      <c r="D364" s="2351"/>
      <c r="E364" s="1675"/>
      <c r="F364" s="1672" t="s">
        <v>2452</v>
      </c>
      <c r="G364" s="601"/>
      <c r="H364" s="1658"/>
      <c r="I364" s="602"/>
      <c r="J364" s="1185"/>
      <c r="K364" s="1671"/>
      <c r="L364" s="599"/>
      <c r="M364" s="1041" t="s">
        <v>3960</v>
      </c>
      <c r="N364" s="446" t="s">
        <v>3961</v>
      </c>
      <c r="O364" s="1455">
        <v>185300</v>
      </c>
      <c r="P364" s="1455"/>
      <c r="Q364" s="924"/>
      <c r="R364" s="1662">
        <v>185300</v>
      </c>
      <c r="S364" s="1657" t="s">
        <v>2455</v>
      </c>
      <c r="T364" s="607"/>
      <c r="U364" s="607"/>
      <c r="V364" s="1590"/>
      <c r="W364" s="1088"/>
      <c r="X364" s="1088"/>
      <c r="Y364" s="1088"/>
      <c r="Z364" s="607"/>
      <c r="AA364" s="607"/>
      <c r="AB364" s="1344"/>
      <c r="AC364" s="1592"/>
      <c r="AD364" s="1088"/>
      <c r="AE364" s="607"/>
      <c r="AF364" s="1088"/>
      <c r="AG364" s="607"/>
      <c r="AH364" s="607"/>
    </row>
    <row r="365" spans="1:38" ht="96.75" customHeight="1">
      <c r="A365" s="311"/>
      <c r="B365" s="446" t="s">
        <v>3962</v>
      </c>
      <c r="C365" s="599" t="s">
        <v>2456</v>
      </c>
      <c r="D365" s="442" t="s">
        <v>2457</v>
      </c>
      <c r="E365" s="599"/>
      <c r="F365" s="601">
        <v>620000</v>
      </c>
      <c r="G365" s="601"/>
      <c r="H365" s="601">
        <v>620000</v>
      </c>
      <c r="I365" s="602" t="s">
        <v>2458</v>
      </c>
      <c r="J365" s="1676" t="s">
        <v>2459</v>
      </c>
      <c r="K365" s="1671" t="s">
        <v>2460</v>
      </c>
      <c r="L365" s="599" t="s">
        <v>2374</v>
      </c>
      <c r="M365" s="599"/>
      <c r="N365" s="594"/>
      <c r="O365" s="1455" t="s">
        <v>1122</v>
      </c>
      <c r="P365" s="1455"/>
      <c r="Q365" s="924"/>
      <c r="R365" s="1592"/>
      <c r="S365" s="1648"/>
      <c r="T365" s="607"/>
      <c r="U365" s="607"/>
      <c r="V365" s="1590"/>
      <c r="W365" s="1088"/>
      <c r="X365" s="1088"/>
      <c r="Y365" s="1088"/>
      <c r="Z365" s="607"/>
      <c r="AA365" s="607"/>
      <c r="AB365" s="1344"/>
      <c r="AC365" s="1592"/>
      <c r="AD365" s="1088"/>
      <c r="AE365" s="607"/>
      <c r="AF365" s="1088"/>
      <c r="AG365" s="607"/>
      <c r="AH365" s="607"/>
    </row>
    <row r="366" spans="1:38" ht="90.75" customHeight="1">
      <c r="A366" s="311"/>
      <c r="B366" s="446" t="s">
        <v>3963</v>
      </c>
      <c r="C366" s="602" t="s">
        <v>2461</v>
      </c>
      <c r="D366" s="446" t="s">
        <v>2462</v>
      </c>
      <c r="E366" s="599" t="s">
        <v>2463</v>
      </c>
      <c r="F366" s="601">
        <v>2782324</v>
      </c>
      <c r="G366" s="601"/>
      <c r="H366" s="601" t="s">
        <v>1551</v>
      </c>
      <c r="I366" s="602"/>
      <c r="J366" s="601">
        <v>2869048.8</v>
      </c>
      <c r="K366" s="442" t="s">
        <v>3964</v>
      </c>
      <c r="L366" s="594" t="s">
        <v>2464</v>
      </c>
      <c r="M366" s="599" t="s">
        <v>2465</v>
      </c>
      <c r="N366" s="594" t="s">
        <v>3965</v>
      </c>
      <c r="O366" s="1455" t="s">
        <v>2466</v>
      </c>
      <c r="P366" s="1455"/>
      <c r="Q366" s="924"/>
      <c r="R366" s="1592"/>
      <c r="S366" s="1648"/>
      <c r="T366" s="607"/>
      <c r="U366" s="607"/>
      <c r="V366" s="1590"/>
      <c r="W366" s="1088"/>
      <c r="X366" s="1088"/>
      <c r="Y366" s="1088"/>
      <c r="Z366" s="607"/>
      <c r="AA366" s="607"/>
      <c r="AB366" s="1344"/>
      <c r="AC366" s="1592"/>
      <c r="AD366" s="1088"/>
      <c r="AE366" s="607"/>
      <c r="AF366" s="1088"/>
      <c r="AG366" s="607"/>
      <c r="AH366" s="607"/>
    </row>
    <row r="367" spans="1:38" ht="78" customHeight="1">
      <c r="A367" s="311"/>
      <c r="B367" s="446" t="s">
        <v>3966</v>
      </c>
      <c r="C367" s="599" t="s">
        <v>2467</v>
      </c>
      <c r="D367" s="442" t="s">
        <v>2468</v>
      </c>
      <c r="E367" s="599"/>
      <c r="F367" s="601">
        <v>2819755.99</v>
      </c>
      <c r="G367" s="601"/>
      <c r="H367" s="1185"/>
      <c r="I367" s="602"/>
      <c r="J367" s="601" t="s">
        <v>2469</v>
      </c>
      <c r="K367" s="1595"/>
      <c r="L367" s="599"/>
      <c r="M367" s="599" t="s">
        <v>2470</v>
      </c>
      <c r="N367" s="599" t="s">
        <v>2467</v>
      </c>
      <c r="O367" s="1455">
        <v>1099760</v>
      </c>
      <c r="P367" s="1455"/>
      <c r="Q367" s="924"/>
      <c r="R367" s="1592"/>
      <c r="S367" s="1648"/>
      <c r="T367" s="607"/>
      <c r="U367" s="607"/>
      <c r="V367" s="1590"/>
      <c r="W367" s="1088"/>
      <c r="X367" s="1088"/>
      <c r="Y367" s="1088"/>
      <c r="Z367" s="607"/>
      <c r="AA367" s="607"/>
      <c r="AB367" s="1344"/>
      <c r="AC367" s="1592"/>
      <c r="AD367" s="1088"/>
      <c r="AE367" s="607"/>
      <c r="AF367" s="1088"/>
      <c r="AG367" s="607"/>
      <c r="AH367" s="607"/>
    </row>
    <row r="368" spans="1:38" ht="135" customHeight="1">
      <c r="A368" s="311"/>
      <c r="B368" s="2416" t="s">
        <v>3967</v>
      </c>
      <c r="C368" s="2483" t="s">
        <v>2471</v>
      </c>
      <c r="D368" s="2416" t="s">
        <v>2472</v>
      </c>
      <c r="E368" s="599"/>
      <c r="F368" s="2508">
        <v>5686458.96</v>
      </c>
      <c r="G368" s="601"/>
      <c r="H368" s="1185"/>
      <c r="I368" s="602" t="s">
        <v>65</v>
      </c>
      <c r="J368" s="601"/>
      <c r="K368" s="1595"/>
      <c r="L368" s="599"/>
      <c r="M368" s="1565" t="s">
        <v>3968</v>
      </c>
      <c r="N368" s="594" t="s">
        <v>2417</v>
      </c>
      <c r="O368" s="1561" t="s">
        <v>2473</v>
      </c>
      <c r="P368" s="1455"/>
      <c r="Q368" s="1677" t="s">
        <v>3969</v>
      </c>
      <c r="R368" s="1561" t="s">
        <v>2474</v>
      </c>
      <c r="S368" s="1678" t="s">
        <v>2475</v>
      </c>
      <c r="T368" s="607"/>
      <c r="U368" s="1678" t="s">
        <v>2475</v>
      </c>
      <c r="V368" s="1590"/>
      <c r="W368" s="1088"/>
      <c r="X368" s="1088"/>
      <c r="Y368" s="1088"/>
      <c r="Z368" s="607"/>
      <c r="AA368" s="607"/>
      <c r="AB368" s="1344"/>
      <c r="AC368" s="1592"/>
      <c r="AD368" s="1088"/>
      <c r="AE368" s="607"/>
      <c r="AF368" s="1088"/>
      <c r="AG368" s="607"/>
      <c r="AH368" s="607"/>
    </row>
    <row r="369" spans="1:38" ht="52.5" customHeight="1">
      <c r="A369" s="311"/>
      <c r="B369" s="2416"/>
      <c r="C369" s="2483"/>
      <c r="D369" s="2416"/>
      <c r="E369" s="599"/>
      <c r="F369" s="2508"/>
      <c r="G369" s="601"/>
      <c r="H369" s="601">
        <v>4022990.8</v>
      </c>
      <c r="I369" s="602"/>
      <c r="J369" s="1679" t="s">
        <v>3970</v>
      </c>
      <c r="K369" s="602" t="s">
        <v>2476</v>
      </c>
      <c r="L369" s="599"/>
      <c r="M369" s="1514" t="s">
        <v>3971</v>
      </c>
      <c r="N369" s="594" t="s">
        <v>2174</v>
      </c>
      <c r="O369" s="1680">
        <v>1098176.1299999999</v>
      </c>
      <c r="P369" s="1455"/>
      <c r="Q369" s="924"/>
      <c r="R369" s="1680" t="s">
        <v>2477</v>
      </c>
      <c r="S369" s="1657" t="s">
        <v>2478</v>
      </c>
      <c r="T369" s="607"/>
      <c r="U369" s="607"/>
      <c r="V369" s="1590"/>
      <c r="W369" s="1088"/>
      <c r="X369" s="1088"/>
      <c r="Y369" s="1088"/>
      <c r="Z369" s="607"/>
      <c r="AA369" s="607"/>
      <c r="AB369" s="1344"/>
      <c r="AC369" s="1592"/>
      <c r="AD369" s="1088"/>
      <c r="AE369" s="607"/>
      <c r="AF369" s="1088"/>
      <c r="AG369" s="607"/>
      <c r="AH369" s="607"/>
    </row>
    <row r="370" spans="1:38" ht="43.5">
      <c r="A370" s="311"/>
      <c r="B370" s="2351" t="s">
        <v>3972</v>
      </c>
      <c r="C370" s="2542" t="s">
        <v>2479</v>
      </c>
      <c r="D370" s="2575" t="s">
        <v>3973</v>
      </c>
      <c r="E370" s="2542"/>
      <c r="F370" s="2576" t="s">
        <v>3974</v>
      </c>
      <c r="G370" s="601"/>
      <c r="H370" s="1185"/>
      <c r="I370" s="602"/>
      <c r="J370" s="1185"/>
      <c r="K370" s="1595"/>
      <c r="L370" s="599"/>
      <c r="M370" s="594" t="s">
        <v>3975</v>
      </c>
      <c r="N370" s="594" t="s">
        <v>2480</v>
      </c>
      <c r="O370" s="1681">
        <v>275300</v>
      </c>
      <c r="P370" s="1455"/>
      <c r="Q370" s="924"/>
      <c r="R370" s="1681">
        <v>275300</v>
      </c>
      <c r="S370" s="1657">
        <v>43266</v>
      </c>
      <c r="T370" s="607"/>
      <c r="U370" s="607"/>
      <c r="V370" s="1590"/>
      <c r="W370" s="1088"/>
      <c r="X370" s="1088"/>
      <c r="Y370" s="1088"/>
      <c r="Z370" s="607"/>
      <c r="AA370" s="607"/>
      <c r="AB370" s="1344"/>
      <c r="AC370" s="1592"/>
      <c r="AD370" s="1088"/>
      <c r="AE370" s="607"/>
      <c r="AF370" s="1088"/>
      <c r="AG370" s="607"/>
      <c r="AH370" s="607"/>
    </row>
    <row r="371" spans="1:38" ht="51" customHeight="1">
      <c r="A371" s="311"/>
      <c r="B371" s="2351"/>
      <c r="C371" s="2542"/>
      <c r="D371" s="2575"/>
      <c r="E371" s="2542"/>
      <c r="F371" s="2576"/>
      <c r="G371" s="601"/>
      <c r="H371" s="1185"/>
      <c r="I371" s="602"/>
      <c r="J371" s="625" t="s">
        <v>2481</v>
      </c>
      <c r="K371" s="442" t="s">
        <v>3239</v>
      </c>
      <c r="L371" s="599" t="s">
        <v>2482</v>
      </c>
      <c r="M371" s="594" t="s">
        <v>3976</v>
      </c>
      <c r="N371" s="594" t="s">
        <v>2483</v>
      </c>
      <c r="O371" s="1680">
        <f>316733.87+235700</f>
        <v>552433.87</v>
      </c>
      <c r="P371" s="1455"/>
      <c r="Q371" s="924"/>
      <c r="R371" s="1682" t="s">
        <v>2484</v>
      </c>
      <c r="S371" s="1657" t="s">
        <v>2485</v>
      </c>
      <c r="T371" s="607"/>
      <c r="U371" s="607"/>
      <c r="V371" s="1590"/>
      <c r="W371" s="1088"/>
      <c r="X371" s="1088"/>
      <c r="Y371" s="1088"/>
      <c r="Z371" s="607"/>
      <c r="AA371" s="607"/>
      <c r="AB371" s="1344"/>
      <c r="AC371" s="1592"/>
      <c r="AD371" s="1088"/>
      <c r="AE371" s="607"/>
      <c r="AF371" s="1088"/>
      <c r="AG371" s="607"/>
      <c r="AH371" s="607"/>
    </row>
    <row r="372" spans="1:38" ht="72.75" customHeight="1">
      <c r="A372" s="311"/>
      <c r="B372" s="2351"/>
      <c r="C372" s="2542"/>
      <c r="D372" s="2575"/>
      <c r="E372" s="2542"/>
      <c r="F372" s="2576"/>
      <c r="G372" s="601"/>
      <c r="H372" s="1185"/>
      <c r="I372" s="602"/>
      <c r="J372" s="625"/>
      <c r="K372" s="1595"/>
      <c r="L372" s="599"/>
      <c r="M372" s="446" t="s">
        <v>3977</v>
      </c>
      <c r="N372" s="594" t="s">
        <v>2486</v>
      </c>
      <c r="O372" s="625">
        <v>526200</v>
      </c>
      <c r="P372" s="890"/>
      <c r="Q372" s="890"/>
      <c r="R372" s="625" t="s">
        <v>2487</v>
      </c>
      <c r="S372" s="594" t="s">
        <v>2488</v>
      </c>
      <c r="T372" s="607"/>
      <c r="U372" s="607"/>
      <c r="V372" s="1590"/>
      <c r="W372" s="1088"/>
      <c r="X372" s="1088"/>
      <c r="Y372" s="1088"/>
      <c r="Z372" s="607"/>
      <c r="AA372" s="607"/>
      <c r="AB372" s="1344"/>
      <c r="AC372" s="1592"/>
      <c r="AD372" s="1088"/>
      <c r="AE372" s="607"/>
      <c r="AF372" s="1088"/>
      <c r="AG372" s="607"/>
      <c r="AH372" s="607"/>
    </row>
    <row r="373" spans="1:38" ht="45" customHeight="1">
      <c r="A373" s="311"/>
      <c r="B373" s="2351"/>
      <c r="C373" s="2542"/>
      <c r="D373" s="2575"/>
      <c r="E373" s="2542"/>
      <c r="F373" s="2576"/>
      <c r="G373" s="601"/>
      <c r="H373" s="601"/>
      <c r="I373" s="602"/>
      <c r="J373" s="1185"/>
      <c r="K373" s="1595"/>
      <c r="L373" s="594"/>
      <c r="M373" s="599" t="s">
        <v>3978</v>
      </c>
      <c r="N373" s="594" t="s">
        <v>3958</v>
      </c>
      <c r="O373" s="1455" t="s">
        <v>2489</v>
      </c>
      <c r="P373" s="1455"/>
      <c r="Q373" s="924"/>
      <c r="R373" s="1592"/>
      <c r="S373" s="1648"/>
      <c r="T373" s="607"/>
      <c r="U373" s="607"/>
      <c r="V373" s="1590"/>
      <c r="W373" s="1088"/>
      <c r="X373" s="1088"/>
      <c r="Y373" s="1088"/>
      <c r="Z373" s="607"/>
      <c r="AA373" s="607"/>
      <c r="AB373" s="1344"/>
      <c r="AC373" s="1592"/>
      <c r="AD373" s="1088"/>
      <c r="AE373" s="607"/>
      <c r="AF373" s="1088"/>
      <c r="AG373" s="607"/>
      <c r="AH373" s="607"/>
    </row>
    <row r="374" spans="1:38" ht="38.25" customHeight="1">
      <c r="A374" s="311"/>
      <c r="B374" s="2351" t="s">
        <v>3979</v>
      </c>
      <c r="C374" s="1030"/>
      <c r="D374" s="474"/>
      <c r="E374" s="1683"/>
      <c r="F374" s="1143"/>
      <c r="G374" s="601"/>
      <c r="H374" s="601"/>
      <c r="I374" s="602"/>
      <c r="J374" s="1185"/>
      <c r="K374" s="1595"/>
      <c r="L374" s="594"/>
      <c r="M374" s="446" t="s">
        <v>3980</v>
      </c>
      <c r="N374" s="446" t="s">
        <v>2490</v>
      </c>
      <c r="O374" s="1455">
        <f>68750+68750</f>
        <v>137500</v>
      </c>
      <c r="P374" s="1455"/>
      <c r="Q374" s="1642"/>
      <c r="R374" s="1684" t="s">
        <v>2491</v>
      </c>
      <c r="S374" s="1104" t="s">
        <v>2492</v>
      </c>
      <c r="T374" s="607"/>
      <c r="U374" s="607" t="s">
        <v>2493</v>
      </c>
      <c r="V374" s="1590"/>
      <c r="W374" s="1088"/>
      <c r="X374" s="1088"/>
      <c r="Y374" s="1088"/>
      <c r="Z374" s="607"/>
      <c r="AA374" s="607"/>
      <c r="AB374" s="1344"/>
      <c r="AC374" s="1592"/>
      <c r="AD374" s="1088"/>
      <c r="AE374" s="607"/>
      <c r="AF374" s="1088"/>
      <c r="AG374" s="607"/>
      <c r="AH374" s="607"/>
    </row>
    <row r="375" spans="1:38" s="1085" customFormat="1" ht="41.25" customHeight="1">
      <c r="A375" s="1163"/>
      <c r="B375" s="2351"/>
      <c r="C375" s="1030"/>
      <c r="D375" s="474"/>
      <c r="E375" s="1683"/>
      <c r="F375" s="1143"/>
      <c r="G375" s="601"/>
      <c r="H375" s="983"/>
      <c r="I375" s="602"/>
      <c r="J375" s="1185"/>
      <c r="K375" s="1595"/>
      <c r="L375" s="594"/>
      <c r="M375" s="446" t="s">
        <v>3981</v>
      </c>
      <c r="N375" s="594" t="s">
        <v>2494</v>
      </c>
      <c r="O375" s="1561">
        <v>110000</v>
      </c>
      <c r="P375" s="599"/>
      <c r="Q375" s="599"/>
      <c r="R375" s="1561">
        <v>110000</v>
      </c>
      <c r="S375" s="1299">
        <v>43440</v>
      </c>
      <c r="T375" s="624" t="s">
        <v>2418</v>
      </c>
      <c r="U375" s="890"/>
      <c r="V375" s="890"/>
      <c r="W375" s="890"/>
      <c r="X375" s="890"/>
      <c r="Y375" s="890"/>
      <c r="Z375" s="890"/>
      <c r="AA375" s="890"/>
      <c r="AB375" s="890"/>
      <c r="AC375" s="890"/>
      <c r="AD375" s="890"/>
      <c r="AE375" s="890"/>
      <c r="AF375" s="890"/>
      <c r="AG375" s="890"/>
      <c r="AH375" s="890"/>
      <c r="AI375" s="890"/>
      <c r="AJ375" s="890"/>
      <c r="AK375" s="890"/>
      <c r="AL375" s="890"/>
    </row>
    <row r="376" spans="1:38" ht="42" customHeight="1">
      <c r="A376" s="311"/>
      <c r="B376" s="2351"/>
      <c r="C376" s="1030"/>
      <c r="D376" s="474"/>
      <c r="E376" s="1683"/>
      <c r="F376" s="1143"/>
      <c r="G376" s="601"/>
      <c r="H376" s="601"/>
      <c r="I376" s="602"/>
      <c r="J376" s="1185"/>
      <c r="K376" s="1595"/>
      <c r="L376" s="594"/>
      <c r="M376" s="1685" t="s">
        <v>3982</v>
      </c>
      <c r="N376" s="1685" t="s">
        <v>2495</v>
      </c>
      <c r="O376" s="1455">
        <v>89870</v>
      </c>
      <c r="P376" s="1455"/>
      <c r="Q376" s="1455"/>
      <c r="R376" s="1686">
        <v>89870</v>
      </c>
      <c r="S376" s="1687">
        <v>43306</v>
      </c>
      <c r="T376" s="607"/>
      <c r="U376" s="607" t="s">
        <v>2493</v>
      </c>
      <c r="V376" s="1590"/>
      <c r="W376" s="1088"/>
      <c r="X376" s="1088"/>
      <c r="Y376" s="1088"/>
      <c r="Z376" s="607"/>
      <c r="AA376" s="607"/>
      <c r="AB376" s="1344"/>
      <c r="AC376" s="1592"/>
      <c r="AD376" s="1088"/>
      <c r="AE376" s="607"/>
      <c r="AF376" s="1088"/>
      <c r="AG376" s="607"/>
      <c r="AH376" s="607"/>
    </row>
    <row r="377" spans="1:38" ht="42.75" customHeight="1">
      <c r="A377" s="311"/>
      <c r="B377" s="2351"/>
      <c r="C377" s="1030"/>
      <c r="D377" s="474"/>
      <c r="E377" s="1683"/>
      <c r="F377" s="1143"/>
      <c r="G377" s="601"/>
      <c r="H377" s="601"/>
      <c r="I377" s="602"/>
      <c r="J377" s="1185"/>
      <c r="K377" s="1595"/>
      <c r="L377" s="594"/>
      <c r="M377" s="599" t="s">
        <v>3983</v>
      </c>
      <c r="N377" s="1076" t="s">
        <v>3984</v>
      </c>
      <c r="O377" s="1455" t="s">
        <v>2496</v>
      </c>
      <c r="P377" s="1455"/>
      <c r="Q377" s="1469" t="s">
        <v>2497</v>
      </c>
      <c r="R377" s="1686"/>
      <c r="S377" s="1687"/>
      <c r="T377" s="607"/>
      <c r="U377" s="607"/>
      <c r="V377" s="1590"/>
      <c r="W377" s="1088"/>
      <c r="X377" s="1088"/>
      <c r="Y377" s="1088"/>
      <c r="Z377" s="607"/>
      <c r="AA377" s="607"/>
      <c r="AB377" s="1344"/>
      <c r="AC377" s="1592"/>
      <c r="AD377" s="1088"/>
      <c r="AE377" s="607"/>
      <c r="AF377" s="1088"/>
      <c r="AG377" s="607"/>
      <c r="AH377" s="607"/>
    </row>
    <row r="378" spans="1:38" ht="52.5" customHeight="1">
      <c r="A378" s="311"/>
      <c r="B378" s="2351"/>
      <c r="C378" s="965" t="s">
        <v>2479</v>
      </c>
      <c r="D378" s="1688" t="s">
        <v>3985</v>
      </c>
      <c r="E378" s="1683"/>
      <c r="F378" s="604" t="s">
        <v>3986</v>
      </c>
      <c r="G378" s="601"/>
      <c r="H378" s="601"/>
      <c r="I378" s="602" t="s">
        <v>65</v>
      </c>
      <c r="J378" s="625" t="s">
        <v>3240</v>
      </c>
      <c r="K378" s="1015" t="s">
        <v>3241</v>
      </c>
      <c r="L378" s="594"/>
      <c r="M378" s="599" t="s">
        <v>3987</v>
      </c>
      <c r="N378" s="594" t="s">
        <v>3958</v>
      </c>
      <c r="O378" s="1455" t="s">
        <v>2498</v>
      </c>
      <c r="P378" s="1455"/>
      <c r="Q378" s="924"/>
      <c r="R378" s="1592"/>
      <c r="S378" s="1648"/>
      <c r="T378" s="607"/>
      <c r="U378" s="607"/>
      <c r="V378" s="1590"/>
      <c r="W378" s="1088"/>
      <c r="X378" s="1088"/>
      <c r="Y378" s="1088"/>
      <c r="Z378" s="607"/>
      <c r="AA378" s="607"/>
      <c r="AB378" s="1344"/>
      <c r="AC378" s="1592"/>
      <c r="AD378" s="1088"/>
      <c r="AE378" s="607"/>
      <c r="AF378" s="1088"/>
      <c r="AG378" s="607"/>
      <c r="AH378" s="607"/>
    </row>
    <row r="379" spans="1:38" ht="46.5" customHeight="1">
      <c r="A379" s="311"/>
      <c r="B379" s="2577" t="s">
        <v>3988</v>
      </c>
      <c r="C379" s="2483" t="s">
        <v>2499</v>
      </c>
      <c r="D379" s="2416" t="s">
        <v>3989</v>
      </c>
      <c r="E379" s="2483" t="s">
        <v>2500</v>
      </c>
      <c r="F379" s="2518" t="s">
        <v>2501</v>
      </c>
      <c r="G379" s="601"/>
      <c r="H379" s="601"/>
      <c r="I379" s="602"/>
      <c r="J379" s="2568" t="s">
        <v>3990</v>
      </c>
      <c r="K379" s="2542" t="s">
        <v>4276</v>
      </c>
      <c r="L379" s="594"/>
      <c r="M379" s="594" t="s">
        <v>3991</v>
      </c>
      <c r="N379" s="594" t="s">
        <v>2502</v>
      </c>
      <c r="O379" s="1561">
        <v>565780</v>
      </c>
      <c r="P379" s="1455"/>
      <c r="Q379" s="924"/>
      <c r="R379" s="1561">
        <v>565780</v>
      </c>
      <c r="S379" s="1070" t="s">
        <v>2503</v>
      </c>
      <c r="T379" s="607"/>
      <c r="U379" s="607"/>
      <c r="V379" s="1590"/>
      <c r="W379" s="1088"/>
      <c r="X379" s="1088"/>
      <c r="Y379" s="1088"/>
      <c r="Z379" s="607"/>
      <c r="AA379" s="607"/>
      <c r="AB379" s="1344"/>
      <c r="AC379" s="1592"/>
      <c r="AD379" s="1088"/>
      <c r="AE379" s="607"/>
      <c r="AF379" s="1088"/>
      <c r="AG379" s="607"/>
      <c r="AH379" s="607"/>
    </row>
    <row r="380" spans="1:38" ht="55.5" customHeight="1">
      <c r="A380" s="311"/>
      <c r="B380" s="2577"/>
      <c r="C380" s="2483"/>
      <c r="D380" s="2416"/>
      <c r="E380" s="2483"/>
      <c r="F380" s="2518"/>
      <c r="G380" s="601"/>
      <c r="H380" s="1185"/>
      <c r="I380" s="602"/>
      <c r="J380" s="2568"/>
      <c r="K380" s="2542"/>
      <c r="L380" s="599"/>
      <c r="M380" s="594" t="s">
        <v>3992</v>
      </c>
      <c r="N380" s="594" t="s">
        <v>3993</v>
      </c>
      <c r="O380" s="1561">
        <v>1866760</v>
      </c>
      <c r="P380" s="1455"/>
      <c r="Q380" s="924"/>
      <c r="R380" s="1561" t="s">
        <v>2504</v>
      </c>
      <c r="S380" s="1657" t="s">
        <v>2505</v>
      </c>
      <c r="T380" s="607"/>
      <c r="U380" s="607"/>
      <c r="V380" s="1590"/>
      <c r="W380" s="1088"/>
      <c r="X380" s="1088"/>
      <c r="Y380" s="1088"/>
      <c r="Z380" s="607"/>
      <c r="AA380" s="607"/>
      <c r="AB380" s="1344"/>
      <c r="AC380" s="1592"/>
      <c r="AD380" s="1088"/>
      <c r="AE380" s="607"/>
      <c r="AF380" s="1088"/>
      <c r="AG380" s="607"/>
      <c r="AH380" s="607"/>
    </row>
    <row r="381" spans="1:38" ht="56.25" customHeight="1">
      <c r="A381" s="311"/>
      <c r="B381" s="2577"/>
      <c r="C381" s="2483"/>
      <c r="D381" s="2416"/>
      <c r="E381" s="2483"/>
      <c r="F381" s="2518"/>
      <c r="G381" s="601"/>
      <c r="H381" s="601">
        <v>1990828.68</v>
      </c>
      <c r="I381" s="602"/>
      <c r="J381" s="2568"/>
      <c r="K381" s="2542"/>
      <c r="L381" s="594"/>
      <c r="M381" s="599" t="s">
        <v>2506</v>
      </c>
      <c r="N381" s="624" t="s">
        <v>3994</v>
      </c>
      <c r="O381" s="1455">
        <v>230000</v>
      </c>
      <c r="P381" s="1455"/>
      <c r="Q381" s="924"/>
      <c r="R381" s="1689"/>
      <c r="S381" s="1690" t="s">
        <v>2507</v>
      </c>
      <c r="T381" s="607"/>
      <c r="U381" s="607"/>
      <c r="V381" s="1590"/>
      <c r="W381" s="1088"/>
      <c r="X381" s="1088"/>
      <c r="Y381" s="1088"/>
      <c r="Z381" s="607"/>
      <c r="AA381" s="607"/>
      <c r="AB381" s="1344"/>
      <c r="AC381" s="1592"/>
      <c r="AD381" s="1088"/>
      <c r="AE381" s="607"/>
      <c r="AF381" s="1088"/>
      <c r="AG381" s="607"/>
      <c r="AH381" s="607"/>
    </row>
    <row r="382" spans="1:38" ht="117" customHeight="1">
      <c r="A382" s="599"/>
      <c r="B382" s="1691"/>
      <c r="C382" s="607"/>
      <c r="D382" s="823"/>
      <c r="E382" s="607"/>
      <c r="F382" s="1692"/>
      <c r="G382" s="891"/>
      <c r="H382" s="599" t="s">
        <v>2508</v>
      </c>
      <c r="I382" s="1185"/>
      <c r="J382" s="2568"/>
      <c r="K382" s="2542"/>
      <c r="L382" s="594" t="s">
        <v>2509</v>
      </c>
      <c r="M382" s="1663" t="s">
        <v>2510</v>
      </c>
      <c r="N382" s="1693" t="s">
        <v>3995</v>
      </c>
      <c r="O382" s="1561" t="s">
        <v>2511</v>
      </c>
      <c r="P382" s="599"/>
      <c r="Q382" s="605" t="s">
        <v>2512</v>
      </c>
      <c r="R382" s="599">
        <v>149491.51999999999</v>
      </c>
      <c r="S382" s="1295">
        <v>43799</v>
      </c>
      <c r="T382" s="1140"/>
      <c r="U382" s="1140"/>
      <c r="V382" s="1526"/>
      <c r="W382" s="1052"/>
      <c r="X382" s="1355"/>
      <c r="Y382" s="1353"/>
      <c r="Z382" s="599"/>
      <c r="AA382" s="599"/>
      <c r="AB382" s="580">
        <v>9020000</v>
      </c>
      <c r="AC382" s="580">
        <v>13474000</v>
      </c>
      <c r="AD382" s="1465">
        <v>4520000</v>
      </c>
      <c r="AE382" s="599"/>
      <c r="AF382" s="984">
        <v>1300000</v>
      </c>
      <c r="AG382" s="599"/>
      <c r="AH382" s="599"/>
    </row>
    <row r="383" spans="1:38" ht="41.25" customHeight="1">
      <c r="A383" s="2542"/>
      <c r="B383" s="2570" t="s">
        <v>2513</v>
      </c>
      <c r="C383" s="2542" t="s">
        <v>2514</v>
      </c>
      <c r="D383" s="2351" t="s">
        <v>2515</v>
      </c>
      <c r="E383" s="965"/>
      <c r="F383" s="600"/>
      <c r="G383" s="891"/>
      <c r="H383" s="2544" t="s">
        <v>2516</v>
      </c>
      <c r="I383" s="1185"/>
      <c r="J383" s="1006"/>
      <c r="K383" s="599"/>
      <c r="L383" s="594"/>
      <c r="M383" s="599" t="s">
        <v>2517</v>
      </c>
      <c r="N383" s="1115" t="s">
        <v>3996</v>
      </c>
      <c r="O383" s="1680">
        <v>18000</v>
      </c>
      <c r="P383" s="599"/>
      <c r="Q383" s="1590"/>
      <c r="R383" s="599" t="s">
        <v>2518</v>
      </c>
      <c r="S383" s="1648"/>
      <c r="T383" s="1655"/>
      <c r="U383" s="1655"/>
      <c r="V383" s="1578"/>
      <c r="W383" s="1694"/>
      <c r="X383" s="1580"/>
      <c r="Y383" s="1695"/>
      <c r="Z383" s="607"/>
      <c r="AA383" s="607"/>
      <c r="AB383" s="1344"/>
      <c r="AC383" s="1344"/>
      <c r="AD383" s="1510"/>
      <c r="AE383" s="607"/>
      <c r="AF383" s="1088"/>
      <c r="AG383" s="607"/>
      <c r="AH383" s="607"/>
    </row>
    <row r="384" spans="1:38" ht="45" customHeight="1">
      <c r="A384" s="2542"/>
      <c r="B384" s="2570"/>
      <c r="C384" s="2542"/>
      <c r="D384" s="2351"/>
      <c r="E384" s="1094">
        <v>43345</v>
      </c>
      <c r="F384" s="599">
        <v>993266.97</v>
      </c>
      <c r="G384" s="625" t="s">
        <v>2519</v>
      </c>
      <c r="H384" s="2544"/>
      <c r="I384" s="602"/>
      <c r="J384" s="601">
        <v>993266.97</v>
      </c>
      <c r="K384" s="602" t="s">
        <v>2520</v>
      </c>
      <c r="L384" s="599" t="s">
        <v>401</v>
      </c>
      <c r="M384" s="599" t="s">
        <v>3997</v>
      </c>
      <c r="N384" s="1115" t="s">
        <v>2521</v>
      </c>
      <c r="O384" s="1680">
        <v>585272</v>
      </c>
      <c r="P384" s="1455"/>
      <c r="Q384" s="924"/>
      <c r="R384" s="1696" t="s">
        <v>2522</v>
      </c>
      <c r="S384" s="1678"/>
      <c r="T384" s="607"/>
      <c r="U384" s="607"/>
      <c r="V384" s="1590"/>
      <c r="W384" s="1088"/>
      <c r="X384" s="1088"/>
      <c r="Y384" s="1088"/>
      <c r="Z384" s="607"/>
      <c r="AA384" s="607"/>
      <c r="AB384" s="1344"/>
      <c r="AC384" s="1592"/>
      <c r="AD384" s="1088"/>
      <c r="AE384" s="607"/>
      <c r="AF384" s="1088"/>
      <c r="AG384" s="607"/>
      <c r="AH384" s="607"/>
    </row>
    <row r="385" spans="1:38" ht="46.5" customHeight="1">
      <c r="A385" s="311"/>
      <c r="B385" s="1697" t="s">
        <v>2523</v>
      </c>
      <c r="C385" s="602" t="s">
        <v>2524</v>
      </c>
      <c r="D385" s="478" t="s">
        <v>2525</v>
      </c>
      <c r="E385" s="1094">
        <v>43343</v>
      </c>
      <c r="F385" s="601">
        <v>144253.76000000001</v>
      </c>
      <c r="G385" s="625"/>
      <c r="H385" s="1630"/>
      <c r="I385" s="602"/>
      <c r="J385" s="601">
        <v>144253.76000000001</v>
      </c>
      <c r="K385" s="602"/>
      <c r="L385" s="599" t="s">
        <v>401</v>
      </c>
      <c r="M385" s="594"/>
      <c r="N385" s="1115"/>
      <c r="O385" s="1680"/>
      <c r="P385" s="1455"/>
      <c r="Q385" s="924"/>
      <c r="R385" s="1696"/>
      <c r="S385" s="1678"/>
      <c r="T385" s="607"/>
      <c r="U385" s="607"/>
      <c r="V385" s="1590"/>
      <c r="W385" s="1088"/>
      <c r="X385" s="1088"/>
      <c r="Y385" s="1088"/>
      <c r="Z385" s="607"/>
      <c r="AA385" s="607"/>
      <c r="AB385" s="1344"/>
      <c r="AC385" s="1592"/>
      <c r="AD385" s="1088"/>
      <c r="AE385" s="607"/>
      <c r="AF385" s="1088"/>
      <c r="AG385" s="607"/>
      <c r="AH385" s="607"/>
    </row>
    <row r="386" spans="1:38" s="1085" customFormat="1" ht="45.75" customHeight="1">
      <c r="A386" s="1163"/>
      <c r="B386" s="822"/>
      <c r="C386" s="2563" t="s">
        <v>2526</v>
      </c>
      <c r="D386" s="2571" t="s">
        <v>2527</v>
      </c>
      <c r="E386" s="2572"/>
      <c r="F386" s="2544" t="s">
        <v>3998</v>
      </c>
      <c r="G386" s="2544">
        <v>3383192.22</v>
      </c>
      <c r="H386" s="983"/>
      <c r="I386" s="2542" t="s">
        <v>2528</v>
      </c>
      <c r="J386" s="2573" t="s">
        <v>3999</v>
      </c>
      <c r="K386" s="2574" t="s">
        <v>4000</v>
      </c>
      <c r="L386" s="2351" t="s">
        <v>401</v>
      </c>
      <c r="M386" s="1565" t="s">
        <v>4001</v>
      </c>
      <c r="N386" s="594" t="s">
        <v>2417</v>
      </c>
      <c r="O386" s="1561">
        <v>1650000</v>
      </c>
      <c r="P386" s="599"/>
      <c r="Q386" s="599">
        <v>1650000</v>
      </c>
      <c r="R386" s="625" t="s">
        <v>2529</v>
      </c>
      <c r="S386" s="594" t="s">
        <v>2530</v>
      </c>
      <c r="T386" s="624" t="s">
        <v>2418</v>
      </c>
      <c r="U386" s="890"/>
      <c r="V386" s="890"/>
      <c r="W386" s="890"/>
      <c r="X386" s="890"/>
      <c r="Y386" s="890"/>
      <c r="Z386" s="890"/>
      <c r="AA386" s="890"/>
      <c r="AB386" s="890"/>
      <c r="AC386" s="890"/>
      <c r="AD386" s="890"/>
      <c r="AE386" s="890"/>
      <c r="AF386" s="890"/>
      <c r="AG386" s="890"/>
      <c r="AH386" s="890"/>
      <c r="AI386" s="890"/>
      <c r="AJ386" s="890"/>
      <c r="AK386" s="890"/>
      <c r="AL386" s="890"/>
    </row>
    <row r="387" spans="1:38" ht="56.25" customHeight="1" thickBot="1">
      <c r="A387" s="1408"/>
      <c r="B387" s="606" t="s">
        <v>4002</v>
      </c>
      <c r="C387" s="2563"/>
      <c r="D387" s="2571"/>
      <c r="E387" s="2572"/>
      <c r="F387" s="2544"/>
      <c r="G387" s="2544"/>
      <c r="H387" s="1698" t="s">
        <v>2531</v>
      </c>
      <c r="I387" s="2542"/>
      <c r="J387" s="2573"/>
      <c r="K387" s="2574"/>
      <c r="L387" s="2351"/>
      <c r="M387" s="599" t="s">
        <v>4003</v>
      </c>
      <c r="N387" s="594" t="s">
        <v>2532</v>
      </c>
      <c r="O387" s="1581">
        <v>338200</v>
      </c>
      <c r="P387" s="1455"/>
      <c r="Q387" s="924"/>
      <c r="R387" s="1581">
        <v>338200</v>
      </c>
      <c r="S387" s="1070" t="s">
        <v>2533</v>
      </c>
      <c r="T387" s="1140"/>
      <c r="U387" s="1140"/>
      <c r="V387" s="983"/>
      <c r="W387" s="599"/>
      <c r="X387" s="599"/>
      <c r="Y387" s="599"/>
      <c r="Z387" s="599"/>
      <c r="AA387" s="599"/>
      <c r="AB387" s="599"/>
      <c r="AC387" s="599"/>
      <c r="AD387" s="984"/>
      <c r="AE387" s="599"/>
      <c r="AF387" s="984"/>
      <c r="AG387" s="599"/>
      <c r="AH387" s="599"/>
    </row>
    <row r="388" spans="1:38" ht="104.25" customHeight="1">
      <c r="A388" s="1699"/>
      <c r="B388" s="606"/>
      <c r="C388" s="2563"/>
      <c r="D388" s="2571"/>
      <c r="E388" s="2572"/>
      <c r="F388" s="2544"/>
      <c r="G388" s="2544"/>
      <c r="H388" s="1700" t="s">
        <v>2534</v>
      </c>
      <c r="I388" s="2542"/>
      <c r="J388" s="2573"/>
      <c r="K388" s="2574"/>
      <c r="L388" s="2351"/>
      <c r="M388" s="599" t="s">
        <v>4004</v>
      </c>
      <c r="N388" s="594" t="s">
        <v>2535</v>
      </c>
      <c r="O388" s="1581">
        <v>717900</v>
      </c>
      <c r="P388" s="1455"/>
      <c r="Q388" s="924"/>
      <c r="R388" s="1662" t="s">
        <v>2536</v>
      </c>
      <c r="S388" s="1070" t="s">
        <v>2537</v>
      </c>
      <c r="T388" s="607"/>
      <c r="U388" s="607"/>
      <c r="V388" s="1590"/>
      <c r="W388" s="1088"/>
      <c r="X388" s="1088"/>
      <c r="Y388" s="1088"/>
      <c r="Z388" s="1701" t="s">
        <v>2538</v>
      </c>
      <c r="AA388" s="607"/>
      <c r="AB388" s="1344"/>
      <c r="AC388" s="1592"/>
      <c r="AD388" s="1088"/>
      <c r="AE388" s="607"/>
      <c r="AF388" s="1088"/>
      <c r="AG388" s="607"/>
      <c r="AH388" s="607"/>
    </row>
    <row r="389" spans="1:38" ht="42.75" customHeight="1">
      <c r="A389" s="1699"/>
      <c r="B389" s="606"/>
      <c r="C389" s="2563"/>
      <c r="D389" s="2571"/>
      <c r="E389" s="2572"/>
      <c r="F389" s="2544"/>
      <c r="G389" s="2544"/>
      <c r="H389" s="1700"/>
      <c r="I389" s="2542"/>
      <c r="J389" s="2573"/>
      <c r="K389" s="2574"/>
      <c r="L389" s="2351"/>
      <c r="M389" s="594" t="s">
        <v>4005</v>
      </c>
      <c r="N389" s="594" t="s">
        <v>4006</v>
      </c>
      <c r="O389" s="1561">
        <v>320580</v>
      </c>
      <c r="P389" s="1455"/>
      <c r="Q389" s="924"/>
      <c r="R389" s="1561">
        <v>320580</v>
      </c>
      <c r="S389" s="1070" t="s">
        <v>2539</v>
      </c>
      <c r="T389" s="607"/>
      <c r="U389" s="607"/>
      <c r="V389" s="1590"/>
      <c r="W389" s="1088"/>
      <c r="X389" s="1088"/>
      <c r="Y389" s="1088"/>
      <c r="Z389" s="1702" t="s">
        <v>2540</v>
      </c>
      <c r="AA389" s="1188"/>
      <c r="AB389" s="1344"/>
      <c r="AC389" s="1592"/>
      <c r="AD389" s="1088"/>
      <c r="AE389" s="607"/>
      <c r="AF389" s="1088"/>
      <c r="AG389" s="607"/>
      <c r="AH389" s="607"/>
    </row>
    <row r="390" spans="1:38" ht="42.75" customHeight="1">
      <c r="A390" s="1699"/>
      <c r="B390" s="606"/>
      <c r="C390" s="2563"/>
      <c r="D390" s="2571"/>
      <c r="E390" s="2572"/>
      <c r="F390" s="2544"/>
      <c r="G390" s="2544"/>
      <c r="H390" s="1700"/>
      <c r="I390" s="2542"/>
      <c r="J390" s="2573"/>
      <c r="K390" s="2574"/>
      <c r="L390" s="2351"/>
      <c r="M390" s="446" t="s">
        <v>4007</v>
      </c>
      <c r="N390" s="446" t="s">
        <v>2541</v>
      </c>
      <c r="O390" s="1561">
        <v>200000</v>
      </c>
      <c r="P390" s="1455"/>
      <c r="Q390" s="924"/>
      <c r="R390" s="1681">
        <v>200000</v>
      </c>
      <c r="S390" s="1703">
        <v>43377</v>
      </c>
      <c r="T390" s="607"/>
      <c r="U390" s="607"/>
      <c r="V390" s="1590"/>
      <c r="W390" s="1088"/>
      <c r="X390" s="1088"/>
      <c r="Y390" s="1088"/>
      <c r="Z390" s="1702" t="s">
        <v>2540</v>
      </c>
      <c r="AA390" s="1188"/>
      <c r="AB390" s="1344"/>
      <c r="AC390" s="1592"/>
      <c r="AD390" s="1088"/>
      <c r="AE390" s="607"/>
      <c r="AF390" s="1088"/>
      <c r="AG390" s="607"/>
      <c r="AH390" s="607"/>
    </row>
    <row r="391" spans="1:38" ht="54.75" customHeight="1">
      <c r="A391" s="1699"/>
      <c r="B391" s="607"/>
      <c r="C391" s="2563"/>
      <c r="D391" s="2571"/>
      <c r="E391" s="2572"/>
      <c r="F391" s="2544"/>
      <c r="G391" s="2544"/>
      <c r="H391" s="1700"/>
      <c r="I391" s="2542"/>
      <c r="J391" s="2573"/>
      <c r="K391" s="2574"/>
      <c r="L391" s="2351"/>
      <c r="M391" s="599" t="s">
        <v>2542</v>
      </c>
      <c r="N391" s="594" t="s">
        <v>2543</v>
      </c>
      <c r="O391" s="1455"/>
      <c r="P391" s="1455"/>
      <c r="Q391" s="924"/>
      <c r="R391" s="1592"/>
      <c r="S391" s="1648"/>
      <c r="T391" s="607"/>
      <c r="U391" s="607"/>
      <c r="V391" s="1590"/>
      <c r="W391" s="1088"/>
      <c r="X391" s="1088"/>
      <c r="Y391" s="1088"/>
      <c r="Z391" s="1704" t="s">
        <v>2544</v>
      </c>
      <c r="AA391" s="1188"/>
      <c r="AB391" s="1344"/>
      <c r="AC391" s="1592"/>
      <c r="AD391" s="1088"/>
      <c r="AE391" s="607"/>
      <c r="AF391" s="1088"/>
      <c r="AG391" s="607"/>
      <c r="AH391" s="607"/>
    </row>
    <row r="392" spans="1:38" ht="39.75" customHeight="1">
      <c r="A392" s="1699"/>
      <c r="B392" s="606"/>
      <c r="C392" s="1683" t="s">
        <v>2545</v>
      </c>
      <c r="D392" s="1705" t="s">
        <v>2546</v>
      </c>
      <c r="E392" s="1194"/>
      <c r="F392" s="1706">
        <v>220000</v>
      </c>
      <c r="G392" s="600"/>
      <c r="H392" s="1700"/>
      <c r="I392" s="965"/>
      <c r="J392" s="1706">
        <v>220000</v>
      </c>
      <c r="K392" s="965" t="s">
        <v>2547</v>
      </c>
      <c r="L392" s="1688"/>
      <c r="M392" s="599"/>
      <c r="N392" s="594"/>
      <c r="O392" s="1455"/>
      <c r="P392" s="1455"/>
      <c r="Q392" s="924"/>
      <c r="R392" s="1592"/>
      <c r="S392" s="1648"/>
      <c r="T392" s="607"/>
      <c r="U392" s="607"/>
      <c r="V392" s="1590"/>
      <c r="W392" s="1088"/>
      <c r="X392" s="1088"/>
      <c r="Y392" s="1088"/>
      <c r="Z392" s="1702" t="s">
        <v>2548</v>
      </c>
      <c r="AA392" s="1188"/>
      <c r="AB392" s="1344"/>
      <c r="AC392" s="1592"/>
      <c r="AD392" s="1088"/>
      <c r="AE392" s="607"/>
      <c r="AF392" s="1088"/>
      <c r="AG392" s="607"/>
      <c r="AH392" s="607"/>
    </row>
    <row r="393" spans="1:38" ht="80.25" customHeight="1">
      <c r="A393" s="599"/>
      <c r="B393" s="2417" t="s">
        <v>4008</v>
      </c>
      <c r="C393" s="599" t="s">
        <v>2549</v>
      </c>
      <c r="D393" s="1023" t="s">
        <v>4009</v>
      </c>
      <c r="E393" s="599" t="s">
        <v>2550</v>
      </c>
      <c r="F393" s="625">
        <v>5025718</v>
      </c>
      <c r="G393" s="891" t="s">
        <v>2551</v>
      </c>
      <c r="H393" s="599" t="s">
        <v>2552</v>
      </c>
      <c r="I393" s="1185" t="s">
        <v>2553</v>
      </c>
      <c r="J393" s="582" t="s">
        <v>3242</v>
      </c>
      <c r="K393" s="446" t="s">
        <v>4010</v>
      </c>
      <c r="L393" s="594" t="s">
        <v>2340</v>
      </c>
      <c r="M393" s="446" t="s">
        <v>4011</v>
      </c>
      <c r="N393" s="599" t="s">
        <v>2554</v>
      </c>
      <c r="O393" s="599">
        <f>452780+198760</f>
        <v>651540</v>
      </c>
      <c r="P393" s="599"/>
      <c r="Q393" s="1042"/>
      <c r="R393" s="891" t="s">
        <v>2555</v>
      </c>
      <c r="S393" s="594" t="s">
        <v>2556</v>
      </c>
      <c r="T393" s="1140"/>
      <c r="U393" s="1140"/>
      <c r="V393" s="1042"/>
      <c r="W393" s="1052"/>
      <c r="X393" s="1359"/>
      <c r="Y393" s="1007"/>
      <c r="Z393" s="1704" t="s">
        <v>2548</v>
      </c>
      <c r="AA393" s="983"/>
      <c r="AB393" s="580">
        <v>9020000</v>
      </c>
      <c r="AC393" s="580">
        <v>13474000</v>
      </c>
      <c r="AD393" s="1465">
        <v>4520000</v>
      </c>
      <c r="AE393" s="599"/>
      <c r="AF393" s="984">
        <v>1300000</v>
      </c>
      <c r="AG393" s="599"/>
      <c r="AH393" s="599"/>
    </row>
    <row r="394" spans="1:38" ht="64.5" customHeight="1">
      <c r="A394" s="599"/>
      <c r="B394" s="2417"/>
      <c r="C394" s="599"/>
      <c r="D394" s="446"/>
      <c r="E394" s="599"/>
      <c r="F394" s="625"/>
      <c r="G394" s="891"/>
      <c r="H394" s="599"/>
      <c r="I394" s="1185"/>
      <c r="J394" s="1006"/>
      <c r="K394" s="599"/>
      <c r="L394" s="594"/>
      <c r="M394" s="594" t="s">
        <v>4012</v>
      </c>
      <c r="N394" s="599" t="s">
        <v>2557</v>
      </c>
      <c r="O394" s="599">
        <f>378760+343500+348300</f>
        <v>1070560</v>
      </c>
      <c r="P394" s="599"/>
      <c r="Q394" s="1042"/>
      <c r="R394" s="891" t="s">
        <v>2558</v>
      </c>
      <c r="S394" s="579" t="s">
        <v>2559</v>
      </c>
      <c r="T394" s="1140"/>
      <c r="U394" s="1140"/>
      <c r="V394" s="1526"/>
      <c r="W394" s="1052"/>
      <c r="X394" s="1355"/>
      <c r="Y394" s="1707"/>
      <c r="Z394" s="1702" t="s">
        <v>2560</v>
      </c>
      <c r="AA394" s="983"/>
      <c r="AB394" s="580"/>
      <c r="AC394" s="580"/>
      <c r="AD394" s="1465"/>
      <c r="AE394" s="599"/>
      <c r="AF394" s="984"/>
      <c r="AG394" s="599"/>
      <c r="AH394" s="599"/>
    </row>
    <row r="395" spans="1:38" ht="66" customHeight="1">
      <c r="A395" s="1699"/>
      <c r="B395" s="2417"/>
      <c r="C395" s="599"/>
      <c r="D395" s="446"/>
      <c r="E395" s="599"/>
      <c r="F395" s="625"/>
      <c r="G395" s="891"/>
      <c r="H395" s="1700" t="s">
        <v>2534</v>
      </c>
      <c r="I395" s="1185"/>
      <c r="J395" s="1006"/>
      <c r="K395" s="599"/>
      <c r="L395" s="594"/>
      <c r="M395" s="599" t="s">
        <v>4013</v>
      </c>
      <c r="N395" s="594" t="s">
        <v>2561</v>
      </c>
      <c r="O395" s="1592">
        <v>345200</v>
      </c>
      <c r="P395" s="1464"/>
      <c r="Q395" s="1673"/>
      <c r="R395" s="1592">
        <v>345200</v>
      </c>
      <c r="S395" s="1648" t="s">
        <v>2562</v>
      </c>
      <c r="T395" s="607"/>
      <c r="U395" s="607"/>
      <c r="V395" s="1590"/>
      <c r="W395" s="1088"/>
      <c r="X395" s="1088"/>
      <c r="Y395" s="1088"/>
      <c r="Z395" s="1702" t="s">
        <v>2560</v>
      </c>
      <c r="AA395" s="1188"/>
      <c r="AB395" s="1344"/>
      <c r="AC395" s="1592"/>
      <c r="AD395" s="1088"/>
      <c r="AE395" s="607"/>
      <c r="AF395" s="1088"/>
      <c r="AG395" s="607"/>
      <c r="AH395" s="607"/>
    </row>
    <row r="396" spans="1:38" s="1085" customFormat="1" ht="225" customHeight="1">
      <c r="A396" s="1163"/>
      <c r="B396" s="2417"/>
      <c r="C396" s="599"/>
      <c r="D396" s="446"/>
      <c r="E396" s="599"/>
      <c r="F396" s="625"/>
      <c r="G396" s="891"/>
      <c r="H396" s="983"/>
      <c r="I396" s="1185"/>
      <c r="J396" s="1006"/>
      <c r="K396" s="599"/>
      <c r="L396" s="594"/>
      <c r="M396" s="977" t="s">
        <v>4014</v>
      </c>
      <c r="N396" s="594" t="s">
        <v>2563</v>
      </c>
      <c r="O396" s="1561">
        <v>2756300</v>
      </c>
      <c r="P396" s="890"/>
      <c r="Q396" s="890"/>
      <c r="R396" s="625" t="s">
        <v>2564</v>
      </c>
      <c r="S396" s="594" t="s">
        <v>2565</v>
      </c>
      <c r="T396" s="624" t="s">
        <v>2418</v>
      </c>
      <c r="U396" s="890"/>
      <c r="V396" s="890"/>
      <c r="W396" s="890"/>
      <c r="X396" s="890"/>
      <c r="Y396" s="1080"/>
      <c r="Z396" s="1702" t="s">
        <v>2566</v>
      </c>
      <c r="AA396" s="1114"/>
      <c r="AB396" s="890"/>
      <c r="AC396" s="890"/>
      <c r="AD396" s="890"/>
      <c r="AE396" s="890"/>
      <c r="AF396" s="890"/>
      <c r="AG396" s="890"/>
      <c r="AH396" s="890"/>
      <c r="AI396" s="890"/>
      <c r="AJ396" s="890"/>
      <c r="AK396" s="890"/>
      <c r="AL396" s="890"/>
    </row>
    <row r="397" spans="1:38" ht="92.25" customHeight="1">
      <c r="A397" s="599"/>
      <c r="B397" s="2417"/>
      <c r="C397" s="599"/>
      <c r="D397" s="446"/>
      <c r="E397" s="599"/>
      <c r="F397" s="625"/>
      <c r="G397" s="891"/>
      <c r="H397" s="599"/>
      <c r="I397" s="1185"/>
      <c r="J397" s="1006"/>
      <c r="K397" s="599"/>
      <c r="L397" s="594"/>
      <c r="M397" s="1565" t="s">
        <v>2567</v>
      </c>
      <c r="N397" s="580" t="s">
        <v>4015</v>
      </c>
      <c r="O397" s="599">
        <v>937150</v>
      </c>
      <c r="P397" s="599"/>
      <c r="Q397" s="1042"/>
      <c r="R397" s="890" t="s">
        <v>2568</v>
      </c>
      <c r="S397" s="624" t="s">
        <v>2569</v>
      </c>
      <c r="T397" s="1140"/>
      <c r="U397" s="1140"/>
      <c r="V397" s="1526"/>
      <c r="W397" s="1052"/>
      <c r="X397" s="1355"/>
      <c r="Y397" s="1353"/>
      <c r="Z397" s="1708" t="s">
        <v>2570</v>
      </c>
      <c r="AA397" s="599"/>
      <c r="AB397" s="580">
        <v>9020000</v>
      </c>
      <c r="AC397" s="580">
        <v>13474000</v>
      </c>
      <c r="AD397" s="1465">
        <v>4520000</v>
      </c>
      <c r="AE397" s="599"/>
      <c r="AF397" s="984">
        <v>1300000</v>
      </c>
      <c r="AG397" s="599"/>
      <c r="AH397" s="599"/>
    </row>
    <row r="398" spans="1:38" ht="70.5" customHeight="1">
      <c r="A398" s="899"/>
      <c r="B398" s="606" t="s">
        <v>4016</v>
      </c>
      <c r="C398" s="1408" t="s">
        <v>2571</v>
      </c>
      <c r="D398" s="606" t="s">
        <v>4017</v>
      </c>
      <c r="E398" s="1197"/>
      <c r="F398" s="899">
        <v>635000</v>
      </c>
      <c r="G398" s="899">
        <v>222250</v>
      </c>
      <c r="H398" s="899">
        <v>222250</v>
      </c>
      <c r="I398" s="1063">
        <v>43360</v>
      </c>
      <c r="J398" s="899">
        <v>635000</v>
      </c>
      <c r="K398" s="1408" t="s">
        <v>2572</v>
      </c>
      <c r="L398" s="741" t="s">
        <v>2374</v>
      </c>
      <c r="M398" s="624"/>
      <c r="N398" s="899"/>
      <c r="O398" s="899"/>
      <c r="P398" s="899"/>
      <c r="Q398" s="984"/>
      <c r="R398" s="599"/>
      <c r="S398" s="624"/>
      <c r="T398" s="1140"/>
      <c r="U398" s="1140"/>
      <c r="V398" s="983"/>
      <c r="W398" s="599"/>
      <c r="X398" s="599"/>
      <c r="Y398" s="984"/>
      <c r="Z398" s="1702" t="s">
        <v>2573</v>
      </c>
      <c r="AA398" s="983"/>
      <c r="AB398" s="599"/>
      <c r="AC398" s="599"/>
      <c r="AD398" s="984"/>
      <c r="AE398" s="599"/>
      <c r="AF398" s="984"/>
      <c r="AG398" s="599"/>
      <c r="AH398" s="599"/>
    </row>
    <row r="399" spans="1:38" ht="72" customHeight="1">
      <c r="A399" s="599"/>
      <c r="B399" s="446" t="s">
        <v>2574</v>
      </c>
      <c r="C399" s="602" t="s">
        <v>2575</v>
      </c>
      <c r="D399" s="446" t="s">
        <v>2576</v>
      </c>
      <c r="E399" s="599"/>
      <c r="F399" s="601">
        <v>490000</v>
      </c>
      <c r="G399" s="599"/>
      <c r="H399" s="599">
        <v>176400</v>
      </c>
      <c r="I399" s="1094"/>
      <c r="J399" s="601" t="s">
        <v>2577</v>
      </c>
      <c r="K399" s="1094" t="s">
        <v>2578</v>
      </c>
      <c r="L399" s="599" t="s">
        <v>2579</v>
      </c>
      <c r="M399" s="1709" t="s">
        <v>4018</v>
      </c>
      <c r="N399" s="1380" t="s">
        <v>2580</v>
      </c>
      <c r="O399" s="1380">
        <f>111100+66700+32200</f>
        <v>210000</v>
      </c>
      <c r="P399" s="1380"/>
      <c r="Q399" s="1710" t="s">
        <v>2581</v>
      </c>
      <c r="R399" s="1380" t="s">
        <v>2582</v>
      </c>
      <c r="S399" s="1648" t="s">
        <v>2583</v>
      </c>
      <c r="T399" s="1655"/>
      <c r="U399" s="1655"/>
      <c r="V399" s="1590"/>
      <c r="W399" s="1088"/>
      <c r="X399" s="1088"/>
      <c r="Y399" s="1088"/>
      <c r="Z399" s="1702"/>
      <c r="AA399" s="1188"/>
      <c r="AB399" s="607"/>
      <c r="AC399" s="607"/>
      <c r="AD399" s="1088"/>
      <c r="AE399" s="607"/>
      <c r="AF399" s="1088"/>
      <c r="AG399" s="607"/>
      <c r="AH399" s="607"/>
    </row>
    <row r="400" spans="1:38" ht="65.25" customHeight="1">
      <c r="A400" s="599"/>
      <c r="B400" s="446" t="s">
        <v>2584</v>
      </c>
      <c r="C400" s="602" t="s">
        <v>2585</v>
      </c>
      <c r="D400" s="446" t="s">
        <v>4019</v>
      </c>
      <c r="E400" s="599"/>
      <c r="F400" s="601">
        <v>116000</v>
      </c>
      <c r="G400" s="599"/>
      <c r="H400" s="599"/>
      <c r="I400" s="1094"/>
      <c r="J400" s="601">
        <v>116000</v>
      </c>
      <c r="K400" s="1094">
        <v>43497</v>
      </c>
      <c r="L400" s="446" t="s">
        <v>401</v>
      </c>
      <c r="M400" s="624"/>
      <c r="N400" s="599"/>
      <c r="O400" s="599"/>
      <c r="P400" s="599"/>
      <c r="Q400" s="1590"/>
      <c r="R400" s="599"/>
      <c r="S400" s="1648"/>
      <c r="T400" s="1655"/>
      <c r="U400" s="1655"/>
      <c r="V400" s="1590"/>
      <c r="W400" s="1088"/>
      <c r="X400" s="1088"/>
      <c r="Y400" s="1088"/>
      <c r="Z400" s="1702"/>
      <c r="AA400" s="1188"/>
      <c r="AB400" s="607"/>
      <c r="AC400" s="607"/>
      <c r="AD400" s="1088"/>
      <c r="AE400" s="607"/>
      <c r="AF400" s="1088"/>
      <c r="AG400" s="607"/>
      <c r="AH400" s="607"/>
    </row>
    <row r="401" spans="1:256" ht="60" customHeight="1">
      <c r="A401" s="311"/>
      <c r="B401" s="446" t="s">
        <v>2586</v>
      </c>
      <c r="C401" s="602" t="s">
        <v>2587</v>
      </c>
      <c r="D401" s="446" t="s">
        <v>4020</v>
      </c>
      <c r="E401" s="599"/>
      <c r="F401" s="601">
        <v>240000</v>
      </c>
      <c r="G401" s="601"/>
      <c r="H401" s="601"/>
      <c r="I401" s="602"/>
      <c r="J401" s="601">
        <v>240000</v>
      </c>
      <c r="K401" s="1669">
        <v>43497</v>
      </c>
      <c r="L401" s="594" t="s">
        <v>2588</v>
      </c>
      <c r="M401" s="599" t="s">
        <v>4021</v>
      </c>
      <c r="N401" s="599" t="s">
        <v>2589</v>
      </c>
      <c r="O401" s="1141">
        <v>200500</v>
      </c>
      <c r="P401" s="1141"/>
      <c r="Q401" s="1711"/>
      <c r="R401" s="1141">
        <v>200500</v>
      </c>
      <c r="S401" s="1071" t="s">
        <v>2590</v>
      </c>
      <c r="T401" s="607"/>
      <c r="U401" s="607"/>
      <c r="V401" s="1590"/>
      <c r="W401" s="1088"/>
      <c r="X401" s="1088"/>
      <c r="Y401" s="1088"/>
      <c r="Z401" s="1702" t="s">
        <v>2538</v>
      </c>
      <c r="AA401" s="1188"/>
      <c r="AB401" s="1344"/>
      <c r="AC401" s="1592"/>
      <c r="AD401" s="1088"/>
      <c r="AE401" s="607"/>
      <c r="AF401" s="1088"/>
      <c r="AG401" s="607"/>
      <c r="AH401" s="607"/>
    </row>
    <row r="402" spans="1:256" ht="54.75" customHeight="1">
      <c r="A402" s="311"/>
      <c r="B402" s="2351" t="s">
        <v>2591</v>
      </c>
      <c r="C402" s="2542" t="s">
        <v>2592</v>
      </c>
      <c r="D402" s="2351" t="s">
        <v>4022</v>
      </c>
      <c r="E402" s="2569" t="s">
        <v>2593</v>
      </c>
      <c r="F402" s="2544" t="s">
        <v>2594</v>
      </c>
      <c r="G402" s="2544">
        <v>900000</v>
      </c>
      <c r="H402" s="601"/>
      <c r="I402" s="602"/>
      <c r="J402" s="2544">
        <v>2030111</v>
      </c>
      <c r="K402" s="442"/>
      <c r="L402" s="594"/>
      <c r="M402" s="1712" t="s">
        <v>2595</v>
      </c>
      <c r="N402" s="1076" t="s">
        <v>2596</v>
      </c>
      <c r="O402" s="1469">
        <v>425000</v>
      </c>
      <c r="P402" s="1469"/>
      <c r="Q402" s="1713" t="s">
        <v>2597</v>
      </c>
      <c r="R402" s="1592">
        <v>425000</v>
      </c>
      <c r="S402" s="1678" t="s">
        <v>2598</v>
      </c>
      <c r="T402" s="607"/>
      <c r="U402" s="607"/>
      <c r="V402" s="1590"/>
      <c r="W402" s="1088"/>
      <c r="X402" s="1088"/>
      <c r="Y402" s="1088"/>
      <c r="Z402" s="1702">
        <v>3540.63</v>
      </c>
      <c r="AA402" s="1188"/>
      <c r="AB402" s="1344"/>
      <c r="AC402" s="1592"/>
      <c r="AD402" s="1088"/>
      <c r="AE402" s="607"/>
      <c r="AF402" s="1088"/>
      <c r="AG402" s="607"/>
      <c r="AH402" s="607"/>
    </row>
    <row r="403" spans="1:256" ht="94.5" customHeight="1">
      <c r="A403" s="311"/>
      <c r="B403" s="2351"/>
      <c r="C403" s="2542"/>
      <c r="D403" s="2351"/>
      <c r="E403" s="2569"/>
      <c r="F403" s="2544"/>
      <c r="G403" s="2544"/>
      <c r="H403" s="601"/>
      <c r="I403" s="602"/>
      <c r="J403" s="2544"/>
      <c r="K403" s="442"/>
      <c r="L403" s="594"/>
      <c r="M403" s="1596" t="s">
        <v>4023</v>
      </c>
      <c r="N403" s="1597" t="s">
        <v>2181</v>
      </c>
      <c r="O403" s="1598">
        <v>330000</v>
      </c>
      <c r="P403" s="1581"/>
      <c r="Q403" s="924"/>
      <c r="R403" s="1599" t="s">
        <v>2182</v>
      </c>
      <c r="S403" s="1600" t="s">
        <v>2599</v>
      </c>
      <c r="T403" s="607"/>
      <c r="U403" s="607"/>
      <c r="V403" s="1590"/>
      <c r="W403" s="1088"/>
      <c r="X403" s="1088"/>
      <c r="Y403" s="1088"/>
      <c r="Z403" s="1591"/>
      <c r="AA403" s="607"/>
      <c r="AB403" s="1344"/>
      <c r="AC403" s="1592"/>
      <c r="AD403" s="1088"/>
      <c r="AE403" s="607"/>
      <c r="AF403" s="1088"/>
      <c r="AG403" s="607"/>
      <c r="AH403" s="607"/>
    </row>
    <row r="404" spans="1:256" ht="81.75" customHeight="1">
      <c r="A404" s="311"/>
      <c r="B404" s="2351"/>
      <c r="C404" s="2542"/>
      <c r="D404" s="2351"/>
      <c r="E404" s="2569"/>
      <c r="F404" s="2544"/>
      <c r="G404" s="2544"/>
      <c r="H404" s="601"/>
      <c r="I404" s="602"/>
      <c r="J404" s="2544"/>
      <c r="K404" s="442"/>
      <c r="L404" s="594"/>
      <c r="M404" s="986" t="s">
        <v>2600</v>
      </c>
      <c r="N404" s="1714" t="s">
        <v>4024</v>
      </c>
      <c r="O404" s="1599" t="s">
        <v>2601</v>
      </c>
      <c r="P404" s="1581"/>
      <c r="Q404" s="924"/>
      <c r="R404" s="1599"/>
      <c r="S404" s="1600"/>
      <c r="T404" s="607"/>
      <c r="U404" s="607"/>
      <c r="V404" s="1590"/>
      <c r="W404" s="1088"/>
      <c r="X404" s="1088"/>
      <c r="Y404" s="1088"/>
      <c r="Z404" s="1591"/>
      <c r="AA404" s="607"/>
      <c r="AB404" s="1344"/>
      <c r="AC404" s="1592"/>
      <c r="AD404" s="1088"/>
      <c r="AE404" s="607"/>
      <c r="AF404" s="1088"/>
      <c r="AG404" s="607"/>
      <c r="AH404" s="607"/>
    </row>
    <row r="405" spans="1:256" ht="163.5" customHeight="1">
      <c r="A405" s="311"/>
      <c r="B405" s="2351"/>
      <c r="C405" s="2542"/>
      <c r="D405" s="2351"/>
      <c r="E405" s="2569"/>
      <c r="F405" s="2544"/>
      <c r="G405" s="2544"/>
      <c r="H405" s="601"/>
      <c r="I405" s="602"/>
      <c r="J405" s="2544"/>
      <c r="K405" s="1669" t="s">
        <v>2602</v>
      </c>
      <c r="L405" s="594" t="s">
        <v>2588</v>
      </c>
      <c r="M405" s="607" t="s">
        <v>4025</v>
      </c>
      <c r="N405" s="823" t="s">
        <v>2603</v>
      </c>
      <c r="O405" s="1592" t="s">
        <v>2604</v>
      </c>
      <c r="P405" s="1581"/>
      <c r="Q405" s="1592"/>
      <c r="R405" s="1592" t="s">
        <v>2605</v>
      </c>
      <c r="S405" s="1678" t="s">
        <v>2606</v>
      </c>
      <c r="T405" s="607"/>
      <c r="U405" s="607"/>
      <c r="V405" s="1590"/>
      <c r="W405" s="1088"/>
      <c r="X405" s="1088"/>
      <c r="Y405" s="1088"/>
      <c r="Z405" s="607" t="e">
        <f>Z402+Z401+Z398+Z396+Z395+Z394+Z393+Z392+Z391+Z390+Z389+Z388</f>
        <v>#VALUE!</v>
      </c>
      <c r="AA405" s="607"/>
      <c r="AB405" s="1344"/>
      <c r="AC405" s="1592"/>
      <c r="AD405" s="1088"/>
      <c r="AE405" s="607"/>
      <c r="AF405" s="1088"/>
      <c r="AG405" s="607"/>
      <c r="AH405" s="607"/>
    </row>
    <row r="406" spans="1:256" ht="42.75" customHeight="1">
      <c r="A406" s="599"/>
      <c r="B406" s="446" t="s">
        <v>2607</v>
      </c>
      <c r="C406" s="599" t="s">
        <v>2608</v>
      </c>
      <c r="D406" s="446" t="s">
        <v>2609</v>
      </c>
      <c r="E406" s="599"/>
      <c r="F406" s="625">
        <v>64557.22</v>
      </c>
      <c r="G406" s="891"/>
      <c r="H406" s="599"/>
      <c r="I406" s="625">
        <v>64557.22</v>
      </c>
      <c r="J406" s="625">
        <v>64557.22</v>
      </c>
      <c r="K406" s="1094"/>
      <c r="L406" s="594" t="s">
        <v>401</v>
      </c>
      <c r="M406" s="624"/>
      <c r="N406" s="1008"/>
      <c r="O406" s="1464"/>
      <c r="P406" s="741"/>
      <c r="Q406" s="1644"/>
      <c r="R406" s="599"/>
      <c r="S406" s="624"/>
      <c r="T406" s="1140"/>
      <c r="U406" s="1140"/>
      <c r="V406" s="1526"/>
      <c r="W406" s="1052"/>
      <c r="X406" s="1355"/>
      <c r="Y406" s="1353"/>
      <c r="Z406" s="599"/>
      <c r="AA406" s="599"/>
      <c r="AB406" s="580">
        <v>9020000</v>
      </c>
      <c r="AC406" s="580">
        <v>13474000</v>
      </c>
      <c r="AD406" s="1465">
        <v>4520000</v>
      </c>
      <c r="AE406" s="599"/>
      <c r="AF406" s="984">
        <v>1300000</v>
      </c>
      <c r="AG406" s="599"/>
      <c r="AH406" s="599"/>
    </row>
    <row r="407" spans="1:256" ht="44.25" customHeight="1">
      <c r="B407" s="2542" t="s">
        <v>2610</v>
      </c>
      <c r="C407" s="2542" t="s">
        <v>2611</v>
      </c>
      <c r="D407" s="2542" t="s">
        <v>2612</v>
      </c>
      <c r="E407" s="2542"/>
      <c r="F407" s="2542" t="s">
        <v>2613</v>
      </c>
      <c r="G407" s="2542"/>
      <c r="H407" s="2542">
        <v>170653.77</v>
      </c>
      <c r="I407" s="2544" t="s">
        <v>2614</v>
      </c>
      <c r="J407" s="2544" t="s">
        <v>4026</v>
      </c>
      <c r="K407" s="2567" t="s">
        <v>4027</v>
      </c>
      <c r="L407" s="594"/>
      <c r="M407" s="594" t="s">
        <v>2615</v>
      </c>
      <c r="N407" s="1115" t="s">
        <v>2616</v>
      </c>
      <c r="O407" s="1455" t="s">
        <v>2617</v>
      </c>
      <c r="P407" s="599" t="s">
        <v>2618</v>
      </c>
      <c r="Q407" s="599"/>
      <c r="R407" s="599" t="s">
        <v>2619</v>
      </c>
      <c r="S407" s="624"/>
      <c r="T407" s="1140"/>
      <c r="U407" s="1140"/>
      <c r="V407" s="1526"/>
      <c r="W407" s="1052"/>
      <c r="X407" s="1355"/>
      <c r="Y407" s="1353"/>
      <c r="Z407" s="599"/>
      <c r="AA407" s="599"/>
      <c r="AB407" s="580"/>
      <c r="AC407" s="580"/>
      <c r="AD407" s="1465"/>
      <c r="AE407" s="599"/>
      <c r="AF407" s="984"/>
      <c r="AG407" s="599"/>
      <c r="AH407" s="599"/>
    </row>
    <row r="408" spans="1:256" ht="34.5" customHeight="1">
      <c r="B408" s="2542"/>
      <c r="C408" s="2542"/>
      <c r="D408" s="2542"/>
      <c r="E408" s="2542"/>
      <c r="F408" s="2542"/>
      <c r="G408" s="2542"/>
      <c r="H408" s="2542"/>
      <c r="I408" s="2544"/>
      <c r="J408" s="2544"/>
      <c r="K408" s="2567"/>
      <c r="L408" s="594"/>
      <c r="M408" s="1070" t="s">
        <v>2620</v>
      </c>
      <c r="N408" s="1715" t="s">
        <v>2621</v>
      </c>
      <c r="O408" s="1455">
        <v>400146</v>
      </c>
      <c r="P408" s="599"/>
      <c r="Q408" s="599"/>
      <c r="R408" s="599">
        <v>400146</v>
      </c>
      <c r="S408" s="1295">
        <v>43511</v>
      </c>
      <c r="T408" s="1140"/>
      <c r="U408" s="1140"/>
      <c r="V408" s="1526"/>
      <c r="W408" s="1052"/>
      <c r="X408" s="1355"/>
      <c r="Y408" s="1353"/>
      <c r="Z408" s="599"/>
      <c r="AA408" s="599"/>
      <c r="AB408" s="580"/>
      <c r="AC408" s="580"/>
      <c r="AD408" s="1465"/>
      <c r="AE408" s="599"/>
      <c r="AF408" s="984"/>
      <c r="AG408" s="599"/>
      <c r="AH408" s="599"/>
    </row>
    <row r="409" spans="1:256" ht="226.5" customHeight="1">
      <c r="B409" s="2542"/>
      <c r="C409" s="2542"/>
      <c r="D409" s="2542"/>
      <c r="E409" s="2542"/>
      <c r="F409" s="2542"/>
      <c r="G409" s="2542"/>
      <c r="H409" s="2542"/>
      <c r="I409" s="2544"/>
      <c r="J409" s="2544"/>
      <c r="K409" s="2567"/>
      <c r="L409" s="599" t="s">
        <v>2622</v>
      </c>
      <c r="M409" s="607" t="s">
        <v>4028</v>
      </c>
      <c r="N409" s="823" t="s">
        <v>2623</v>
      </c>
      <c r="O409" s="1455">
        <v>3041880</v>
      </c>
      <c r="P409" s="599"/>
      <c r="Q409" s="599"/>
      <c r="R409" s="1583" t="s">
        <v>2624</v>
      </c>
      <c r="S409" s="594" t="s">
        <v>2625</v>
      </c>
      <c r="T409" s="1140"/>
      <c r="U409" s="1464"/>
      <c r="V409" s="1526"/>
      <c r="W409" s="1052"/>
      <c r="X409" s="1355"/>
      <c r="Y409" s="1353"/>
      <c r="Z409" s="599"/>
      <c r="AA409" s="599"/>
      <c r="AB409" s="580"/>
      <c r="AC409" s="580"/>
      <c r="AD409" s="1465"/>
      <c r="AE409" s="599"/>
      <c r="AF409" s="984"/>
      <c r="AG409" s="599"/>
      <c r="AH409" s="599"/>
    </row>
    <row r="410" spans="1:256" ht="173.25" customHeight="1">
      <c r="A410" s="1408"/>
      <c r="B410" s="2542"/>
      <c r="C410" s="2542"/>
      <c r="D410" s="2542"/>
      <c r="E410" s="2542"/>
      <c r="F410" s="2542"/>
      <c r="G410" s="2542"/>
      <c r="H410" s="2542"/>
      <c r="I410" s="2544"/>
      <c r="J410" s="2544"/>
      <c r="K410" s="2567"/>
      <c r="L410" s="973" t="s">
        <v>2626</v>
      </c>
      <c r="M410" s="446" t="s">
        <v>4029</v>
      </c>
      <c r="N410" s="1418" t="s">
        <v>4030</v>
      </c>
      <c r="O410" s="1583">
        <v>2721500</v>
      </c>
      <c r="P410" s="607"/>
      <c r="Q410" s="1716"/>
      <c r="R410" s="1583" t="s">
        <v>2627</v>
      </c>
      <c r="S410" s="594" t="s">
        <v>2628</v>
      </c>
      <c r="T410" s="1140"/>
      <c r="U410" s="1140"/>
      <c r="V410" s="983"/>
      <c r="W410" s="599"/>
      <c r="X410" s="599"/>
      <c r="Y410" s="599"/>
      <c r="Z410" s="599"/>
      <c r="AA410" s="599"/>
      <c r="AB410" s="599"/>
      <c r="AC410" s="599"/>
      <c r="AD410" s="984"/>
      <c r="AE410" s="599"/>
      <c r="AF410" s="984"/>
      <c r="AG410" s="599"/>
      <c r="AH410" s="599"/>
    </row>
    <row r="411" spans="1:256" ht="100.5" customHeight="1">
      <c r="A411" s="975"/>
      <c r="B411" s="1717" t="s">
        <v>810</v>
      </c>
      <c r="C411" s="602" t="s">
        <v>2629</v>
      </c>
      <c r="D411" s="1718" t="s">
        <v>2630</v>
      </c>
      <c r="E411" s="465"/>
      <c r="F411" s="1719">
        <v>2881406.78</v>
      </c>
      <c r="G411" s="1719"/>
      <c r="H411" s="1720"/>
      <c r="I411" s="1719">
        <v>2881406.78</v>
      </c>
      <c r="J411" s="1721">
        <v>2881406.78</v>
      </c>
      <c r="K411" s="870">
        <v>43459</v>
      </c>
      <c r="L411" s="869" t="s">
        <v>2631</v>
      </c>
      <c r="M411" s="580" t="s">
        <v>4031</v>
      </c>
      <c r="N411" s="446" t="s">
        <v>2632</v>
      </c>
      <c r="O411" s="1455">
        <v>223500</v>
      </c>
      <c r="P411" s="1455"/>
      <c r="Q411" s="924"/>
      <c r="R411" s="1455" t="s">
        <v>2633</v>
      </c>
      <c r="S411" s="1104" t="s">
        <v>2634</v>
      </c>
      <c r="T411" s="975"/>
      <c r="U411" s="975"/>
      <c r="V411" s="975"/>
      <c r="W411" s="975"/>
      <c r="X411" s="975"/>
      <c r="Y411" s="975"/>
      <c r="Z411" s="975"/>
      <c r="AA411" s="975"/>
      <c r="AB411" s="975"/>
      <c r="AC411" s="975"/>
      <c r="AD411" s="975"/>
      <c r="AE411" s="975"/>
      <c r="AF411" s="975"/>
      <c r="AG411" s="975"/>
      <c r="AH411" s="975"/>
      <c r="AI411" s="975"/>
      <c r="AJ411" s="975"/>
      <c r="AK411" s="975"/>
      <c r="AL411" s="975"/>
      <c r="AM411" s="975"/>
      <c r="AN411" s="975"/>
      <c r="AO411" s="975"/>
      <c r="AP411" s="975"/>
      <c r="AQ411" s="975"/>
      <c r="AR411" s="975"/>
      <c r="AS411" s="975"/>
      <c r="AT411" s="975"/>
      <c r="AU411" s="975"/>
      <c r="AV411" s="975"/>
      <c r="AW411" s="975"/>
      <c r="AX411" s="975"/>
      <c r="AY411" s="975"/>
      <c r="AZ411" s="975"/>
      <c r="BA411" s="975"/>
      <c r="BB411" s="975"/>
      <c r="BC411" s="975"/>
      <c r="BD411" s="975"/>
      <c r="BE411" s="975"/>
      <c r="BF411" s="975"/>
      <c r="BG411" s="975"/>
      <c r="BH411" s="975"/>
      <c r="BI411" s="975"/>
      <c r="BJ411" s="975"/>
      <c r="BK411" s="975"/>
      <c r="BL411" s="975"/>
      <c r="BM411" s="975"/>
      <c r="BN411" s="975"/>
      <c r="BO411" s="975"/>
      <c r="BP411" s="975"/>
      <c r="BQ411" s="975"/>
      <c r="BR411" s="975"/>
      <c r="BS411" s="975"/>
      <c r="BT411" s="975"/>
      <c r="BU411" s="975"/>
      <c r="BV411" s="975"/>
      <c r="BW411" s="975"/>
      <c r="BX411" s="975"/>
      <c r="BY411" s="975"/>
      <c r="BZ411" s="975"/>
      <c r="CA411" s="975"/>
      <c r="CB411" s="975"/>
      <c r="CC411" s="975"/>
      <c r="CD411" s="975"/>
      <c r="CE411" s="975"/>
      <c r="CF411" s="975"/>
      <c r="CG411" s="975"/>
      <c r="CH411" s="975"/>
      <c r="CI411" s="975"/>
      <c r="CJ411" s="975"/>
      <c r="CK411" s="975"/>
      <c r="CL411" s="975"/>
      <c r="CM411" s="975"/>
      <c r="CN411" s="975"/>
      <c r="CO411" s="975"/>
      <c r="CP411" s="975"/>
      <c r="CQ411" s="975"/>
      <c r="CR411" s="975"/>
      <c r="CS411" s="975"/>
      <c r="CT411" s="975"/>
      <c r="CU411" s="975"/>
      <c r="CV411" s="975"/>
      <c r="CW411" s="975"/>
      <c r="CX411" s="975"/>
      <c r="CY411" s="975"/>
      <c r="CZ411" s="975"/>
      <c r="DA411" s="975"/>
      <c r="DB411" s="975"/>
      <c r="DC411" s="975"/>
      <c r="DD411" s="975"/>
      <c r="DE411" s="975"/>
      <c r="DF411" s="975"/>
      <c r="DG411" s="975"/>
      <c r="DH411" s="975"/>
      <c r="DI411" s="975"/>
      <c r="DJ411" s="975"/>
      <c r="DK411" s="975"/>
      <c r="DL411" s="975"/>
      <c r="DM411" s="975"/>
      <c r="DN411" s="975"/>
      <c r="DO411" s="975"/>
      <c r="DP411" s="975"/>
      <c r="DQ411" s="975"/>
      <c r="DR411" s="975"/>
      <c r="DS411" s="975"/>
      <c r="DT411" s="975"/>
      <c r="DU411" s="975"/>
      <c r="DV411" s="975"/>
      <c r="DW411" s="975"/>
      <c r="DX411" s="975"/>
      <c r="DY411" s="975"/>
      <c r="DZ411" s="975"/>
      <c r="EA411" s="975"/>
      <c r="EB411" s="975"/>
      <c r="EC411" s="975"/>
      <c r="ED411" s="975"/>
      <c r="EE411" s="975"/>
      <c r="EF411" s="975"/>
      <c r="EG411" s="975"/>
      <c r="EH411" s="975"/>
      <c r="EI411" s="975"/>
      <c r="EJ411" s="975"/>
      <c r="EK411" s="975"/>
      <c r="EL411" s="975"/>
      <c r="EM411" s="975"/>
      <c r="EN411" s="975"/>
      <c r="EO411" s="975"/>
      <c r="EP411" s="975"/>
      <c r="EQ411" s="975"/>
      <c r="ER411" s="975"/>
      <c r="ES411" s="975"/>
      <c r="ET411" s="975"/>
      <c r="EU411" s="975"/>
      <c r="EV411" s="975"/>
      <c r="EW411" s="975"/>
      <c r="EX411" s="975"/>
      <c r="EY411" s="975"/>
      <c r="EZ411" s="975"/>
      <c r="FA411" s="975"/>
      <c r="FB411" s="975"/>
      <c r="FC411" s="975"/>
      <c r="FD411" s="975"/>
      <c r="FE411" s="975"/>
      <c r="FF411" s="975"/>
      <c r="FG411" s="975"/>
      <c r="FH411" s="975"/>
      <c r="FI411" s="975"/>
      <c r="FJ411" s="975"/>
      <c r="FK411" s="975"/>
      <c r="FL411" s="975"/>
      <c r="FM411" s="975"/>
      <c r="FN411" s="975"/>
      <c r="FO411" s="975"/>
      <c r="FP411" s="975"/>
      <c r="FQ411" s="975"/>
      <c r="FR411" s="975"/>
      <c r="FS411" s="975"/>
      <c r="FT411" s="975"/>
      <c r="FU411" s="975"/>
      <c r="FV411" s="975"/>
      <c r="FW411" s="975"/>
      <c r="FX411" s="975"/>
      <c r="FY411" s="975"/>
      <c r="FZ411" s="975"/>
      <c r="GA411" s="975"/>
      <c r="GB411" s="975"/>
      <c r="GC411" s="975"/>
      <c r="GD411" s="975"/>
      <c r="GE411" s="975"/>
      <c r="GF411" s="975"/>
      <c r="GG411" s="975"/>
      <c r="GH411" s="975"/>
      <c r="GI411" s="975"/>
      <c r="GJ411" s="975"/>
      <c r="GK411" s="975"/>
      <c r="GL411" s="975"/>
      <c r="GM411" s="975"/>
      <c r="GN411" s="975"/>
      <c r="GO411" s="975"/>
      <c r="GP411" s="975"/>
      <c r="GQ411" s="975"/>
      <c r="GR411" s="975"/>
      <c r="GS411" s="975"/>
      <c r="GT411" s="975"/>
      <c r="GU411" s="975"/>
      <c r="GV411" s="975"/>
      <c r="GW411" s="975"/>
      <c r="GX411" s="975"/>
      <c r="GY411" s="975"/>
      <c r="GZ411" s="975"/>
      <c r="HA411" s="975"/>
      <c r="HB411" s="975"/>
      <c r="HC411" s="975"/>
      <c r="HD411" s="975"/>
      <c r="HE411" s="975"/>
      <c r="HF411" s="975"/>
      <c r="HG411" s="975"/>
      <c r="HH411" s="975"/>
      <c r="HI411" s="975"/>
      <c r="HJ411" s="975"/>
      <c r="HK411" s="975"/>
      <c r="HL411" s="975"/>
      <c r="HM411" s="975"/>
      <c r="HN411" s="975"/>
      <c r="HO411" s="975"/>
      <c r="HP411" s="975"/>
      <c r="HQ411" s="975"/>
      <c r="HR411" s="975"/>
      <c r="HS411" s="975"/>
      <c r="HT411" s="975"/>
      <c r="HU411" s="975"/>
      <c r="HV411" s="975"/>
      <c r="HW411" s="975"/>
      <c r="HX411" s="975"/>
      <c r="HY411" s="975"/>
      <c r="HZ411" s="975"/>
      <c r="IA411" s="975"/>
      <c r="IB411" s="975"/>
      <c r="IC411" s="975"/>
      <c r="ID411" s="975"/>
      <c r="IE411" s="975"/>
      <c r="IF411" s="975"/>
      <c r="IG411" s="975"/>
      <c r="IH411" s="975"/>
      <c r="II411" s="975"/>
      <c r="IJ411" s="975"/>
      <c r="IK411" s="975"/>
      <c r="IL411" s="975"/>
      <c r="IM411" s="975"/>
      <c r="IN411" s="975"/>
      <c r="IO411" s="975"/>
      <c r="IP411" s="975"/>
      <c r="IQ411" s="975"/>
      <c r="IR411" s="975"/>
      <c r="IS411" s="975"/>
      <c r="IT411" s="975"/>
      <c r="IU411" s="975"/>
      <c r="IV411" s="975"/>
    </row>
    <row r="412" spans="1:256" s="1180" customFormat="1" ht="30.75" customHeight="1">
      <c r="A412" s="1170"/>
      <c r="B412" s="1172"/>
      <c r="C412" s="1172" t="s">
        <v>811</v>
      </c>
      <c r="D412" s="1172"/>
      <c r="E412" s="1173"/>
      <c r="F412" s="1174"/>
      <c r="G412" s="1175"/>
      <c r="H412" s="1174"/>
      <c r="I412" s="1174"/>
      <c r="J412" s="1175"/>
      <c r="K412" s="1176"/>
      <c r="L412" s="1461"/>
      <c r="M412" s="1178"/>
      <c r="N412" s="1173"/>
      <c r="O412" s="1173"/>
      <c r="P412" s="1173"/>
      <c r="Q412" s="1176"/>
      <c r="R412" s="1176" t="s">
        <v>65</v>
      </c>
      <c r="S412" s="1176"/>
      <c r="T412" s="1176"/>
      <c r="U412" s="1176"/>
      <c r="V412" s="1128"/>
      <c r="W412" s="1128"/>
      <c r="X412" s="1128"/>
      <c r="Y412" s="1128"/>
      <c r="Z412" s="1128"/>
      <c r="AA412" s="1128"/>
      <c r="AB412" s="1128"/>
      <c r="AC412" s="1128"/>
      <c r="AD412" s="1144"/>
      <c r="AE412" s="1128"/>
      <c r="AF412" s="1144"/>
      <c r="AG412" s="1128"/>
      <c r="AH412" s="1128"/>
    </row>
    <row r="413" spans="1:256" ht="56.25" customHeight="1">
      <c r="A413" s="2542"/>
      <c r="B413" s="2351" t="s">
        <v>4032</v>
      </c>
      <c r="C413" s="2542" t="s">
        <v>2635</v>
      </c>
      <c r="D413" s="2351" t="s">
        <v>4033</v>
      </c>
      <c r="E413" s="2542" t="s">
        <v>2636</v>
      </c>
      <c r="F413" s="2544" t="s">
        <v>4034</v>
      </c>
      <c r="G413" s="2542" t="s">
        <v>2637</v>
      </c>
      <c r="H413" s="2542"/>
      <c r="I413" s="2544" t="s">
        <v>65</v>
      </c>
      <c r="J413" s="2568">
        <f>350000+1400000+8289932.67+1591300</f>
        <v>11631232.67</v>
      </c>
      <c r="K413" s="983"/>
      <c r="L413" s="594"/>
      <c r="M413" s="594" t="s">
        <v>2638</v>
      </c>
      <c r="N413" s="1115" t="s">
        <v>2639</v>
      </c>
      <c r="O413" s="1455" t="s">
        <v>2640</v>
      </c>
      <c r="P413" s="599"/>
      <c r="Q413" s="1042"/>
      <c r="R413" s="599"/>
      <c r="S413" s="624"/>
      <c r="T413" s="1140"/>
      <c r="U413" s="1140"/>
      <c r="V413" s="1526"/>
      <c r="W413" s="1052"/>
      <c r="X413" s="1355"/>
      <c r="Y413" s="1353"/>
      <c r="Z413" s="599"/>
      <c r="AA413" s="599"/>
      <c r="AB413" s="580">
        <v>9020000</v>
      </c>
      <c r="AC413" s="580">
        <v>13474000</v>
      </c>
      <c r="AD413" s="1465">
        <v>4520000</v>
      </c>
      <c r="AE413" s="599"/>
      <c r="AF413" s="984">
        <v>1300000</v>
      </c>
      <c r="AG413" s="599"/>
      <c r="AH413" s="599"/>
    </row>
    <row r="414" spans="1:256" ht="84" customHeight="1">
      <c r="A414" s="2542"/>
      <c r="B414" s="2351"/>
      <c r="C414" s="2542"/>
      <c r="D414" s="2351"/>
      <c r="E414" s="2542"/>
      <c r="F414" s="2544"/>
      <c r="G414" s="2542"/>
      <c r="H414" s="2542"/>
      <c r="I414" s="2544"/>
      <c r="J414" s="2568"/>
      <c r="K414" s="983"/>
      <c r="L414" s="599"/>
      <c r="M414" s="446" t="s">
        <v>4035</v>
      </c>
      <c r="N414" s="1115" t="s">
        <v>2641</v>
      </c>
      <c r="O414" s="1583">
        <f>1088000-180000</f>
        <v>908000</v>
      </c>
      <c r="P414" s="607"/>
      <c r="Q414" s="984"/>
      <c r="R414" s="1583" t="s">
        <v>2642</v>
      </c>
      <c r="S414" s="1515" t="s">
        <v>4036</v>
      </c>
      <c r="T414" s="1140"/>
      <c r="U414" s="1723" t="s">
        <v>2643</v>
      </c>
      <c r="V414" s="983"/>
      <c r="W414" s="599"/>
      <c r="X414" s="599"/>
      <c r="Y414" s="599"/>
      <c r="Z414" s="599"/>
      <c r="AA414" s="599"/>
      <c r="AB414" s="599"/>
      <c r="AC414" s="599"/>
      <c r="AD414" s="984"/>
      <c r="AE414" s="599"/>
      <c r="AF414" s="984"/>
      <c r="AG414" s="599"/>
      <c r="AH414" s="599"/>
    </row>
    <row r="415" spans="1:256" ht="166.5" customHeight="1">
      <c r="A415" s="2542"/>
      <c r="B415" s="2351"/>
      <c r="C415" s="2542"/>
      <c r="D415" s="2351"/>
      <c r="E415" s="2542"/>
      <c r="F415" s="2544"/>
      <c r="G415" s="2542"/>
      <c r="H415" s="2542"/>
      <c r="I415" s="2544"/>
      <c r="J415" s="2568"/>
      <c r="K415" s="599" t="s">
        <v>4037</v>
      </c>
      <c r="L415" s="446" t="s">
        <v>401</v>
      </c>
      <c r="M415" s="607" t="s">
        <v>4038</v>
      </c>
      <c r="N415" s="823" t="s">
        <v>2644</v>
      </c>
      <c r="O415" s="899">
        <v>2236750</v>
      </c>
      <c r="P415" s="899"/>
      <c r="Q415" s="997"/>
      <c r="R415" s="1724" t="s">
        <v>2645</v>
      </c>
      <c r="S415" s="1338" t="s">
        <v>2646</v>
      </c>
      <c r="T415" s="1140"/>
      <c r="U415" s="1140"/>
      <c r="V415" s="983"/>
      <c r="W415" s="599"/>
      <c r="X415" s="599"/>
      <c r="Y415" s="599"/>
      <c r="Z415" s="599"/>
      <c r="AA415" s="599"/>
      <c r="AB415" s="599"/>
      <c r="AC415" s="599"/>
      <c r="AD415" s="984"/>
      <c r="AE415" s="599"/>
      <c r="AF415" s="984"/>
      <c r="AG415" s="599"/>
      <c r="AH415" s="599"/>
    </row>
    <row r="416" spans="1:256" ht="114.75" customHeight="1">
      <c r="A416" s="602"/>
      <c r="B416" s="2351" t="s">
        <v>4039</v>
      </c>
      <c r="C416" s="2542" t="s">
        <v>4040</v>
      </c>
      <c r="D416" s="2351" t="s">
        <v>2647</v>
      </c>
      <c r="E416" s="964"/>
      <c r="F416" s="1142"/>
      <c r="G416" s="602"/>
      <c r="H416" s="602"/>
      <c r="I416" s="1119"/>
      <c r="J416" s="311"/>
      <c r="L416" s="599"/>
      <c r="M416" s="1725" t="s">
        <v>4041</v>
      </c>
      <c r="N416" s="1649" t="s">
        <v>2648</v>
      </c>
      <c r="O416" s="890">
        <v>100000</v>
      </c>
      <c r="P416" s="599"/>
      <c r="Q416" s="599"/>
      <c r="R416" s="1726" t="s">
        <v>2649</v>
      </c>
      <c r="S416" s="1727"/>
      <c r="T416" s="1655"/>
      <c r="U416" s="1655"/>
      <c r="V416" s="1590"/>
      <c r="W416" s="1088"/>
      <c r="X416" s="1088"/>
      <c r="Y416" s="1088"/>
      <c r="Z416" s="607"/>
      <c r="AA416" s="607"/>
      <c r="AB416" s="607"/>
      <c r="AC416" s="607"/>
      <c r="AD416" s="1088"/>
      <c r="AE416" s="607"/>
      <c r="AF416" s="1088"/>
      <c r="AG416" s="607"/>
      <c r="AH416" s="607"/>
    </row>
    <row r="417" spans="1:34" ht="75" customHeight="1">
      <c r="A417" s="311"/>
      <c r="B417" s="2351"/>
      <c r="C417" s="2542"/>
      <c r="D417" s="2351"/>
      <c r="E417" s="965"/>
      <c r="F417" s="600">
        <v>1700000</v>
      </c>
      <c r="G417" s="601"/>
      <c r="H417" s="601"/>
      <c r="I417" s="602"/>
      <c r="J417" s="601" t="s">
        <v>4042</v>
      </c>
      <c r="K417" s="1728" t="s">
        <v>4043</v>
      </c>
      <c r="L417" s="594" t="s">
        <v>2650</v>
      </c>
      <c r="M417" s="599" t="s">
        <v>2651</v>
      </c>
      <c r="N417" s="594" t="s">
        <v>2652</v>
      </c>
      <c r="O417" s="1581">
        <v>400000</v>
      </c>
      <c r="P417" s="1581"/>
      <c r="Q417" s="1729" t="s">
        <v>2653</v>
      </c>
      <c r="R417" s="1581">
        <v>400000</v>
      </c>
      <c r="S417" s="1657">
        <v>43830</v>
      </c>
      <c r="T417" s="607"/>
      <c r="U417" s="607"/>
      <c r="V417" s="1590"/>
      <c r="W417" s="1088"/>
      <c r="X417" s="1088"/>
      <c r="Y417" s="1088"/>
      <c r="Z417" s="607"/>
      <c r="AA417" s="607"/>
      <c r="AB417" s="1344"/>
      <c r="AC417" s="1592"/>
      <c r="AD417" s="1088"/>
      <c r="AE417" s="607"/>
      <c r="AF417" s="1088"/>
      <c r="AG417" s="607"/>
      <c r="AH417" s="607"/>
    </row>
    <row r="418" spans="1:34" ht="62.25" customHeight="1">
      <c r="A418" s="311"/>
      <c r="B418" s="2351"/>
      <c r="C418" s="2351" t="s">
        <v>4044</v>
      </c>
      <c r="D418" s="2351" t="s">
        <v>4045</v>
      </c>
      <c r="E418" s="602"/>
      <c r="F418" s="2544">
        <v>1090000</v>
      </c>
      <c r="G418" s="2544">
        <v>476000</v>
      </c>
      <c r="H418" s="601"/>
      <c r="I418" s="602"/>
      <c r="J418" s="1185"/>
      <c r="K418" s="1595" t="s">
        <v>2654</v>
      </c>
      <c r="L418" s="594"/>
      <c r="M418" s="599" t="s">
        <v>4046</v>
      </c>
      <c r="N418" s="594" t="s">
        <v>4047</v>
      </c>
      <c r="O418" s="1455">
        <v>690190</v>
      </c>
      <c r="P418" s="1455"/>
      <c r="Q418" s="924"/>
      <c r="R418" s="1581" t="s">
        <v>2655</v>
      </c>
      <c r="S418" s="1070" t="s">
        <v>2656</v>
      </c>
      <c r="T418" s="607"/>
      <c r="U418" s="607"/>
      <c r="V418" s="1590"/>
      <c r="W418" s="1088"/>
      <c r="X418" s="1088"/>
      <c r="Y418" s="1088"/>
      <c r="Z418" s="607"/>
      <c r="AA418" s="607"/>
      <c r="AB418" s="1344"/>
      <c r="AC418" s="1592"/>
      <c r="AD418" s="1088"/>
      <c r="AE418" s="607"/>
      <c r="AF418" s="1088"/>
      <c r="AG418" s="607"/>
      <c r="AH418" s="607"/>
    </row>
    <row r="419" spans="1:34" ht="140.25" customHeight="1">
      <c r="A419" s="311"/>
      <c r="B419" s="2351"/>
      <c r="C419" s="2351"/>
      <c r="D419" s="2351"/>
      <c r="E419" s="602"/>
      <c r="F419" s="2544"/>
      <c r="G419" s="2544"/>
      <c r="H419" s="601"/>
      <c r="I419" s="602"/>
      <c r="J419" s="1185"/>
      <c r="K419" s="1595"/>
      <c r="L419" s="594"/>
      <c r="M419" s="599" t="s">
        <v>4048</v>
      </c>
      <c r="N419" s="594" t="s">
        <v>4049</v>
      </c>
      <c r="O419" s="1455">
        <v>200000</v>
      </c>
      <c r="P419" s="1455"/>
      <c r="Q419" s="924"/>
      <c r="R419" s="1141">
        <v>200000</v>
      </c>
      <c r="S419" s="588" t="s">
        <v>2657</v>
      </c>
      <c r="T419" s="607"/>
      <c r="U419" s="607"/>
      <c r="V419" s="1590"/>
      <c r="W419" s="1088"/>
      <c r="X419" s="1088"/>
      <c r="Y419" s="1088"/>
      <c r="Z419" s="607"/>
      <c r="AA419" s="607"/>
      <c r="AB419" s="1344"/>
      <c r="AC419" s="1592"/>
      <c r="AD419" s="1088"/>
      <c r="AE419" s="607"/>
      <c r="AF419" s="1088"/>
      <c r="AG419" s="607"/>
      <c r="AH419" s="607"/>
    </row>
    <row r="420" spans="1:34" ht="41.25" customHeight="1">
      <c r="A420" s="311"/>
      <c r="B420" s="2351"/>
      <c r="C420" s="2351"/>
      <c r="D420" s="2351"/>
      <c r="E420" s="602"/>
      <c r="F420" s="2544"/>
      <c r="G420" s="2544"/>
      <c r="H420" s="601"/>
      <c r="I420" s="602"/>
      <c r="J420" s="1185"/>
      <c r="K420" s="1595"/>
      <c r="L420" s="594"/>
      <c r="M420" s="599" t="s">
        <v>2660</v>
      </c>
      <c r="N420" s="446" t="s">
        <v>2661</v>
      </c>
      <c r="O420" s="1455">
        <v>32000</v>
      </c>
      <c r="P420" s="1455"/>
      <c r="Q420" s="924"/>
      <c r="R420" s="1455">
        <v>32000</v>
      </c>
      <c r="S420" s="588"/>
      <c r="T420" s="607"/>
      <c r="U420" s="607"/>
      <c r="V420" s="1590"/>
      <c r="W420" s="1088"/>
      <c r="X420" s="1088"/>
      <c r="Y420" s="1088"/>
      <c r="Z420" s="607"/>
      <c r="AA420" s="607"/>
      <c r="AB420" s="1344"/>
      <c r="AC420" s="1592"/>
      <c r="AD420" s="1088"/>
      <c r="AE420" s="607"/>
      <c r="AF420" s="1088"/>
      <c r="AG420" s="607"/>
      <c r="AH420" s="607"/>
    </row>
    <row r="421" spans="1:34" ht="64.5" customHeight="1">
      <c r="A421" s="311"/>
      <c r="B421" s="2351"/>
      <c r="C421" s="2351"/>
      <c r="D421" s="2351"/>
      <c r="E421" s="599"/>
      <c r="F421" s="2544"/>
      <c r="G421" s="2544"/>
      <c r="H421" s="601" t="s">
        <v>2662</v>
      </c>
      <c r="I421" s="602"/>
      <c r="J421" s="601">
        <v>1090000</v>
      </c>
      <c r="K421" s="442" t="s">
        <v>2663</v>
      </c>
      <c r="L421" s="594" t="s">
        <v>401</v>
      </c>
      <c r="M421" s="599" t="s">
        <v>4050</v>
      </c>
      <c r="N421" s="594" t="s">
        <v>2664</v>
      </c>
      <c r="O421" s="1455">
        <v>200000</v>
      </c>
      <c r="P421" s="1455"/>
      <c r="Q421" s="924">
        <f>O418+O419+O421</f>
        <v>1090190</v>
      </c>
      <c r="R421" s="1581">
        <v>200000</v>
      </c>
      <c r="S421" s="1070" t="s">
        <v>2665</v>
      </c>
      <c r="T421" s="607"/>
      <c r="U421" s="607" t="s">
        <v>2666</v>
      </c>
      <c r="V421" s="1590"/>
      <c r="W421" s="1088"/>
      <c r="X421" s="1088"/>
      <c r="Y421" s="1088"/>
      <c r="Z421" s="607"/>
      <c r="AA421" s="607"/>
      <c r="AB421" s="1344"/>
      <c r="AC421" s="1592"/>
      <c r="AD421" s="1088"/>
      <c r="AE421" s="607"/>
      <c r="AF421" s="1088"/>
      <c r="AG421" s="607"/>
      <c r="AH421" s="607"/>
    </row>
    <row r="422" spans="1:34" ht="51" customHeight="1">
      <c r="A422" s="1081"/>
      <c r="B422" s="822" t="s">
        <v>2667</v>
      </c>
      <c r="C422" s="964" t="s">
        <v>2668</v>
      </c>
      <c r="D422" s="822" t="s">
        <v>2669</v>
      </c>
      <c r="E422" s="599"/>
      <c r="F422" s="601">
        <v>116236.47</v>
      </c>
      <c r="G422" s="601"/>
      <c r="H422" s="601"/>
      <c r="I422" s="602"/>
      <c r="J422" s="601" t="s">
        <v>2670</v>
      </c>
      <c r="K422" s="442"/>
      <c r="L422" s="594" t="s">
        <v>401</v>
      </c>
      <c r="M422" s="599"/>
      <c r="N422" s="594"/>
      <c r="O422" s="1455"/>
      <c r="P422" s="1455"/>
      <c r="Q422" s="924"/>
      <c r="R422" s="1592"/>
      <c r="S422" s="1648"/>
      <c r="T422" s="607"/>
      <c r="U422" s="607"/>
      <c r="V422" s="1590"/>
      <c r="W422" s="1088"/>
      <c r="X422" s="1088"/>
      <c r="Y422" s="1088"/>
      <c r="Z422" s="607"/>
      <c r="AA422" s="607"/>
      <c r="AB422" s="1344"/>
      <c r="AC422" s="1592"/>
      <c r="AD422" s="1088"/>
      <c r="AE422" s="607"/>
      <c r="AF422" s="1088"/>
      <c r="AG422" s="607"/>
      <c r="AH422" s="607"/>
    </row>
    <row r="423" spans="1:34" ht="51.75" customHeight="1">
      <c r="A423" s="1730"/>
      <c r="B423" s="2351" t="s">
        <v>4051</v>
      </c>
      <c r="C423" s="2542" t="s">
        <v>2671</v>
      </c>
      <c r="D423" s="2351" t="s">
        <v>2672</v>
      </c>
      <c r="E423" s="983"/>
      <c r="F423" s="601"/>
      <c r="G423" s="601"/>
      <c r="H423" s="601"/>
      <c r="I423" s="602"/>
      <c r="J423" s="2542" t="s">
        <v>2673</v>
      </c>
      <c r="K423" s="1595"/>
      <c r="L423" s="594"/>
      <c r="M423" s="594" t="s">
        <v>4052</v>
      </c>
      <c r="N423" s="446" t="s">
        <v>2674</v>
      </c>
      <c r="O423" s="1455">
        <f>240000+235560</f>
        <v>475560</v>
      </c>
      <c r="P423" s="1455" t="s">
        <v>2675</v>
      </c>
      <c r="Q423" s="924"/>
      <c r="R423" s="1455" t="s">
        <v>2676</v>
      </c>
      <c r="S423" s="1104" t="s">
        <v>2677</v>
      </c>
      <c r="T423" s="607"/>
      <c r="U423" s="607"/>
      <c r="V423" s="1590"/>
      <c r="W423" s="1088"/>
      <c r="X423" s="1088"/>
      <c r="Y423" s="1088"/>
      <c r="Z423" s="607"/>
      <c r="AA423" s="607"/>
      <c r="AB423" s="1344"/>
      <c r="AC423" s="1592"/>
      <c r="AD423" s="1088"/>
      <c r="AE423" s="607"/>
      <c r="AF423" s="1088"/>
      <c r="AG423" s="607"/>
      <c r="AH423" s="607"/>
    </row>
    <row r="424" spans="1:34" ht="72.75" customHeight="1">
      <c r="A424" s="1197"/>
      <c r="B424" s="2351"/>
      <c r="C424" s="2542"/>
      <c r="D424" s="2351"/>
      <c r="E424" s="983"/>
      <c r="F424" s="625" t="s">
        <v>2678</v>
      </c>
      <c r="G424" s="891"/>
      <c r="H424" s="446"/>
      <c r="I424" s="1185"/>
      <c r="J424" s="2542"/>
      <c r="K424" s="599" t="s">
        <v>2679</v>
      </c>
      <c r="L424" s="594"/>
      <c r="M424" s="594" t="s">
        <v>2680</v>
      </c>
      <c r="N424" s="1115" t="s">
        <v>2681</v>
      </c>
      <c r="O424" s="1455" t="s">
        <v>2682</v>
      </c>
      <c r="P424" s="599"/>
      <c r="Q424" s="1042"/>
      <c r="R424" s="599"/>
      <c r="S424" s="624"/>
      <c r="T424" s="1140"/>
      <c r="U424" s="1140"/>
      <c r="V424" s="1526"/>
      <c r="W424" s="1052"/>
      <c r="X424" s="1355"/>
      <c r="Y424" s="1353"/>
      <c r="Z424" s="599"/>
      <c r="AA424" s="599"/>
      <c r="AB424" s="580">
        <v>9020000</v>
      </c>
      <c r="AC424" s="580">
        <v>13474000</v>
      </c>
      <c r="AD424" s="1465">
        <v>4520000</v>
      </c>
      <c r="AE424" s="599"/>
      <c r="AF424" s="984">
        <v>1300000</v>
      </c>
      <c r="AG424" s="599"/>
      <c r="AH424" s="599"/>
    </row>
    <row r="425" spans="1:34" ht="118.5" customHeight="1">
      <c r="B425" s="822" t="s">
        <v>2683</v>
      </c>
      <c r="C425" s="741" t="s">
        <v>2684</v>
      </c>
      <c r="D425" s="822" t="s">
        <v>4053</v>
      </c>
      <c r="E425" s="2563"/>
      <c r="F425" s="1124" t="s">
        <v>2685</v>
      </c>
      <c r="G425" s="2542">
        <v>26150119.010000002</v>
      </c>
      <c r="H425" s="2542" t="s">
        <v>2686</v>
      </c>
      <c r="I425" s="2559"/>
      <c r="J425" s="1287">
        <f>440000                          +9120000                                      +15966119.01                                         +184000</f>
        <v>25710119.009999998</v>
      </c>
      <c r="K425" s="741" t="s">
        <v>3070</v>
      </c>
      <c r="L425" s="594" t="s">
        <v>401</v>
      </c>
      <c r="M425" s="594" t="s">
        <v>2687</v>
      </c>
      <c r="N425" s="1115" t="s">
        <v>2688</v>
      </c>
      <c r="O425" s="1455" t="s">
        <v>2689</v>
      </c>
      <c r="P425" s="580">
        <f>6729149.9+7388994.39</f>
        <v>14118144.289999999</v>
      </c>
      <c r="Q425" s="1042"/>
      <c r="R425" s="599"/>
      <c r="S425" s="624"/>
      <c r="T425" s="1140"/>
      <c r="U425" s="1140"/>
      <c r="V425" s="1526"/>
      <c r="W425" s="1052"/>
      <c r="X425" s="1355"/>
      <c r="Y425" s="1353"/>
      <c r="Z425" s="599"/>
      <c r="AA425" s="599"/>
      <c r="AB425" s="580"/>
      <c r="AC425" s="580"/>
      <c r="AD425" s="1465"/>
      <c r="AE425" s="599"/>
      <c r="AF425" s="984"/>
      <c r="AG425" s="599"/>
      <c r="AH425" s="599"/>
    </row>
    <row r="426" spans="1:34" ht="30" customHeight="1">
      <c r="A426" s="1197"/>
      <c r="B426" s="606"/>
      <c r="C426" s="899"/>
      <c r="D426" s="606"/>
      <c r="E426" s="2563"/>
      <c r="F426" s="1200"/>
      <c r="G426" s="2542"/>
      <c r="H426" s="2542"/>
      <c r="I426" s="2559"/>
      <c r="J426" s="1731"/>
      <c r="K426" s="1403"/>
      <c r="L426" s="594"/>
      <c r="M426" s="1685" t="s">
        <v>2690</v>
      </c>
      <c r="N426" s="1732" t="s">
        <v>2691</v>
      </c>
      <c r="O426" s="1733">
        <v>235500</v>
      </c>
      <c r="P426" s="890"/>
      <c r="Q426" s="1734">
        <v>235500</v>
      </c>
      <c r="R426" s="1380" t="s">
        <v>2692</v>
      </c>
      <c r="S426" s="624"/>
      <c r="T426" s="1140"/>
      <c r="U426" s="1140"/>
      <c r="V426" s="1526"/>
      <c r="W426" s="1052"/>
      <c r="X426" s="1355"/>
      <c r="Y426" s="1353"/>
      <c r="Z426" s="599"/>
      <c r="AA426" s="599"/>
      <c r="AB426" s="580"/>
      <c r="AC426" s="580"/>
      <c r="AD426" s="1465"/>
      <c r="AE426" s="599"/>
      <c r="AF426" s="984"/>
      <c r="AG426" s="599"/>
      <c r="AH426" s="599"/>
    </row>
    <row r="427" spans="1:34" ht="45" customHeight="1">
      <c r="A427" s="1197"/>
      <c r="B427" s="606"/>
      <c r="C427" s="899"/>
      <c r="D427" s="606"/>
      <c r="E427" s="2563"/>
      <c r="F427" s="1200"/>
      <c r="G427" s="2542"/>
      <c r="H427" s="2542"/>
      <c r="I427" s="2559"/>
      <c r="J427" s="1731"/>
      <c r="K427" s="1403"/>
      <c r="L427" s="594"/>
      <c r="M427" s="1120" t="s">
        <v>2693</v>
      </c>
      <c r="N427" s="1735" t="s">
        <v>2694</v>
      </c>
      <c r="O427" s="1736">
        <f>1399730</f>
        <v>1399730</v>
      </c>
      <c r="P427" s="1737"/>
      <c r="Q427" s="1738">
        <v>1342383</v>
      </c>
      <c r="R427" s="1737"/>
      <c r="S427" s="624"/>
      <c r="T427" s="1140"/>
      <c r="U427" s="1140"/>
      <c r="V427" s="1526"/>
      <c r="W427" s="1052"/>
      <c r="X427" s="1355"/>
      <c r="Y427" s="1353"/>
      <c r="Z427" s="599"/>
      <c r="AA427" s="599"/>
      <c r="AB427" s="580"/>
      <c r="AC427" s="580"/>
      <c r="AD427" s="1465"/>
      <c r="AE427" s="599"/>
      <c r="AF427" s="984"/>
      <c r="AG427" s="599"/>
      <c r="AH427" s="599"/>
    </row>
    <row r="428" spans="1:34" ht="96.75" customHeight="1">
      <c r="A428" s="1197"/>
      <c r="B428" s="606"/>
      <c r="C428" s="899"/>
      <c r="D428" s="606"/>
      <c r="E428" s="2563"/>
      <c r="F428" s="1200">
        <f>P425+O427+O428+O429+O430+O426</f>
        <v>25989139.289999999</v>
      </c>
      <c r="G428" s="2542"/>
      <c r="H428" s="2542"/>
      <c r="I428" s="2559"/>
      <c r="J428" s="1731"/>
      <c r="K428" s="1403"/>
      <c r="L428" s="594"/>
      <c r="M428" s="594" t="s">
        <v>4054</v>
      </c>
      <c r="N428" s="1115" t="s">
        <v>2695</v>
      </c>
      <c r="O428" s="1455">
        <f>386000+450000+224000+281000+67400</f>
        <v>1408400</v>
      </c>
      <c r="P428" s="599"/>
      <c r="Q428" s="1042"/>
      <c r="R428" s="599" t="s">
        <v>2696</v>
      </c>
      <c r="S428" s="1299" t="s">
        <v>2697</v>
      </c>
      <c r="T428" s="1140"/>
      <c r="U428" s="1140"/>
      <c r="V428" s="1526"/>
      <c r="W428" s="1052"/>
      <c r="X428" s="1355"/>
      <c r="Y428" s="1353"/>
      <c r="Z428" s="599"/>
      <c r="AA428" s="599"/>
      <c r="AB428" s="580"/>
      <c r="AC428" s="580"/>
      <c r="AD428" s="1465"/>
      <c r="AE428" s="599"/>
      <c r="AF428" s="984"/>
      <c r="AG428" s="599"/>
      <c r="AH428" s="599"/>
    </row>
    <row r="429" spans="1:34" ht="354" customHeight="1">
      <c r="A429" s="1197"/>
      <c r="B429" s="606"/>
      <c r="C429" s="899"/>
      <c r="D429" s="606"/>
      <c r="E429" s="2563"/>
      <c r="F429" s="1105"/>
      <c r="G429" s="2542"/>
      <c r="H429" s="2542"/>
      <c r="I429" s="2559"/>
      <c r="J429" s="1731"/>
      <c r="K429" s="1403"/>
      <c r="L429" s="594" t="s">
        <v>2698</v>
      </c>
      <c r="M429" s="599" t="s">
        <v>4055</v>
      </c>
      <c r="N429" s="599" t="s">
        <v>2699</v>
      </c>
      <c r="O429" s="1455">
        <f>239800+100000+219780+140000+64500+268000+180000+250560+260500+385000+160000+222000+372000+150000+167000+510000+310000+220000+556000+444445+182530</f>
        <v>5402115</v>
      </c>
      <c r="P429" s="599">
        <f>444445+182530</f>
        <v>626975</v>
      </c>
      <c r="Q429" s="1042">
        <f>239800+100000+219780+140000+64500+268000+180000+250560+260500+385000+160000+222000+372000+150000+167000+510000+310000+220000+556000</f>
        <v>4775140</v>
      </c>
      <c r="R429" s="892" t="s">
        <v>4056</v>
      </c>
      <c r="S429" s="1299" t="s">
        <v>4057</v>
      </c>
      <c r="T429" s="1140"/>
      <c r="U429" s="1723" t="s">
        <v>2700</v>
      </c>
      <c r="V429" s="1526"/>
      <c r="W429" s="1052"/>
      <c r="X429" s="1355"/>
      <c r="Y429" s="1353"/>
      <c r="Z429" s="599"/>
      <c r="AA429" s="599"/>
      <c r="AB429" s="580"/>
      <c r="AC429" s="580"/>
      <c r="AD429" s="1465"/>
      <c r="AE429" s="599"/>
      <c r="AF429" s="984"/>
      <c r="AG429" s="599"/>
      <c r="AH429" s="599"/>
    </row>
    <row r="430" spans="1:34" ht="189" customHeight="1">
      <c r="A430" s="607"/>
      <c r="B430" s="478"/>
      <c r="C430" s="965"/>
      <c r="D430" s="823"/>
      <c r="E430" s="2563"/>
      <c r="F430" s="625"/>
      <c r="G430" s="2542"/>
      <c r="H430" s="2542"/>
      <c r="I430" s="2559"/>
      <c r="J430" s="1739"/>
      <c r="K430" s="607"/>
      <c r="L430" s="594"/>
      <c r="M430" s="599" t="s">
        <v>4058</v>
      </c>
      <c r="N430" s="599" t="s">
        <v>2701</v>
      </c>
      <c r="O430" s="1455">
        <v>3425250</v>
      </c>
      <c r="P430" s="599"/>
      <c r="Q430" s="1042"/>
      <c r="R430" s="892" t="s">
        <v>2702</v>
      </c>
      <c r="S430" s="1740" t="s">
        <v>4059</v>
      </c>
      <c r="T430" s="1140"/>
      <c r="U430" s="1140"/>
      <c r="V430" s="1526"/>
      <c r="W430" s="1052"/>
      <c r="X430" s="1355"/>
      <c r="Y430" s="1353"/>
      <c r="Z430" s="599"/>
      <c r="AA430" s="599"/>
      <c r="AB430" s="580"/>
      <c r="AC430" s="580"/>
      <c r="AD430" s="1465"/>
      <c r="AE430" s="599"/>
      <c r="AF430" s="984"/>
      <c r="AG430" s="599"/>
      <c r="AH430" s="599"/>
    </row>
    <row r="431" spans="1:34" ht="74.25" customHeight="1">
      <c r="A431" s="311"/>
      <c r="B431" s="446" t="s">
        <v>4060</v>
      </c>
      <c r="C431" s="599" t="s">
        <v>2703</v>
      </c>
      <c r="D431" s="442" t="s">
        <v>2704</v>
      </c>
      <c r="E431" s="599" t="s">
        <v>2705</v>
      </c>
      <c r="F431" s="601">
        <v>400000</v>
      </c>
      <c r="G431" s="601">
        <v>125000</v>
      </c>
      <c r="H431" s="1185"/>
      <c r="I431" s="602"/>
      <c r="J431" s="625" t="s">
        <v>3519</v>
      </c>
      <c r="K431" s="1741" t="s">
        <v>4061</v>
      </c>
      <c r="L431" s="599" t="s">
        <v>401</v>
      </c>
      <c r="M431" s="599"/>
      <c r="N431" s="594"/>
      <c r="O431" s="1455"/>
      <c r="P431" s="1455"/>
      <c r="Q431" s="924"/>
      <c r="R431" s="1742"/>
      <c r="S431" s="1743"/>
      <c r="T431" s="607"/>
      <c r="U431" s="607"/>
      <c r="V431" s="1590"/>
      <c r="W431" s="1088"/>
      <c r="X431" s="1088"/>
      <c r="Y431" s="1088"/>
      <c r="Z431" s="607"/>
      <c r="AA431" s="607"/>
      <c r="AB431" s="1344"/>
      <c r="AC431" s="1592"/>
      <c r="AD431" s="1088"/>
      <c r="AE431" s="607"/>
      <c r="AF431" s="1088"/>
      <c r="AG431" s="607"/>
      <c r="AH431" s="607"/>
    </row>
    <row r="432" spans="1:34" ht="155.25" customHeight="1">
      <c r="A432" s="311"/>
      <c r="B432" s="2351" t="s">
        <v>4062</v>
      </c>
      <c r="C432" s="2542" t="s">
        <v>2706</v>
      </c>
      <c r="D432" s="2351" t="s">
        <v>4759</v>
      </c>
      <c r="E432" s="2483"/>
      <c r="F432" s="2544">
        <v>5217200</v>
      </c>
      <c r="G432" s="2508" t="s">
        <v>3238</v>
      </c>
      <c r="H432" s="2552">
        <v>4822380</v>
      </c>
      <c r="I432" s="2518" t="s">
        <v>3125</v>
      </c>
      <c r="J432" s="2564" t="s">
        <v>4431</v>
      </c>
      <c r="K432" s="2555" t="s">
        <v>4432</v>
      </c>
      <c r="L432" s="2549" t="s">
        <v>4747</v>
      </c>
      <c r="M432" s="599" t="s">
        <v>3544</v>
      </c>
      <c r="N432" s="599" t="s">
        <v>4063</v>
      </c>
      <c r="O432" s="1455">
        <f>112000+73000+100000+77000+77500+211000+277800+222200+123900+139700</f>
        <v>1414100</v>
      </c>
      <c r="P432" s="1455"/>
      <c r="Q432" s="924" t="s">
        <v>3400</v>
      </c>
      <c r="R432" s="1581" t="s">
        <v>4250</v>
      </c>
      <c r="S432" s="1070" t="s">
        <v>4248</v>
      </c>
      <c r="T432" s="1745" t="s">
        <v>4249</v>
      </c>
      <c r="U432" s="607"/>
      <c r="V432" s="1590"/>
      <c r="W432" s="1088"/>
      <c r="X432" s="1088"/>
      <c r="Y432" s="1088"/>
      <c r="Z432" s="607"/>
      <c r="AA432" s="607"/>
      <c r="AB432" s="1344"/>
      <c r="AC432" s="1592"/>
      <c r="AD432" s="1088"/>
      <c r="AE432" s="607"/>
      <c r="AF432" s="1088"/>
      <c r="AG432" s="607"/>
      <c r="AH432" s="607"/>
    </row>
    <row r="433" spans="1:34" ht="114.75" customHeight="1">
      <c r="A433" s="311"/>
      <c r="B433" s="2351"/>
      <c r="C433" s="2542"/>
      <c r="D433" s="2351"/>
      <c r="E433" s="2484"/>
      <c r="F433" s="2544"/>
      <c r="G433" s="2513"/>
      <c r="H433" s="2553"/>
      <c r="I433" s="2519"/>
      <c r="J433" s="2565"/>
      <c r="K433" s="2556"/>
      <c r="L433" s="2550"/>
      <c r="M433" s="599" t="s">
        <v>3545</v>
      </c>
      <c r="N433" s="599" t="s">
        <v>3316</v>
      </c>
      <c r="O433" s="1746">
        <v>2697087.07</v>
      </c>
      <c r="P433" s="1455"/>
      <c r="Q433" s="924"/>
      <c r="R433" s="1581"/>
      <c r="S433" s="1070"/>
      <c r="T433" s="607"/>
      <c r="U433" s="607"/>
      <c r="V433" s="1590"/>
      <c r="W433" s="1088"/>
      <c r="X433" s="1088"/>
      <c r="Y433" s="1088"/>
      <c r="Z433" s="607"/>
      <c r="AA433" s="607"/>
      <c r="AB433" s="1344"/>
      <c r="AC433" s="1592"/>
      <c r="AD433" s="1088"/>
      <c r="AE433" s="607"/>
      <c r="AF433" s="1088"/>
      <c r="AG433" s="607"/>
      <c r="AH433" s="607"/>
    </row>
    <row r="434" spans="1:34" ht="59.25" customHeight="1">
      <c r="A434" s="599"/>
      <c r="B434" s="2351"/>
      <c r="C434" s="2542"/>
      <c r="D434" s="2351"/>
      <c r="E434" s="2476"/>
      <c r="F434" s="2544"/>
      <c r="G434" s="2509"/>
      <c r="H434" s="2554"/>
      <c r="I434" s="2520"/>
      <c r="J434" s="2566"/>
      <c r="K434" s="2557"/>
      <c r="L434" s="2551"/>
      <c r="M434" s="446" t="s">
        <v>3546</v>
      </c>
      <c r="N434" s="599" t="s">
        <v>2707</v>
      </c>
      <c r="O434" s="446">
        <v>697200</v>
      </c>
      <c r="P434" s="599"/>
      <c r="Q434" s="1042"/>
      <c r="R434" s="599" t="s">
        <v>2708</v>
      </c>
      <c r="S434" s="1747" t="s">
        <v>2709</v>
      </c>
      <c r="T434" s="1140"/>
      <c r="U434" s="1140"/>
      <c r="V434" s="1526"/>
      <c r="W434" s="1052"/>
      <c r="X434" s="1355"/>
      <c r="Y434" s="1353"/>
      <c r="Z434" s="599"/>
      <c r="AA434" s="599"/>
      <c r="AB434" s="580"/>
      <c r="AC434" s="580"/>
      <c r="AD434" s="1465"/>
      <c r="AE434" s="599"/>
      <c r="AF434" s="984"/>
      <c r="AG434" s="599"/>
      <c r="AH434" s="599"/>
    </row>
    <row r="435" spans="1:34" ht="65.25" customHeight="1">
      <c r="A435" s="311"/>
      <c r="B435" s="1748" t="s">
        <v>4064</v>
      </c>
      <c r="C435" s="965" t="s">
        <v>2710</v>
      </c>
      <c r="D435" s="1688" t="s">
        <v>3313</v>
      </c>
      <c r="E435" s="965"/>
      <c r="F435" s="600">
        <v>600000</v>
      </c>
      <c r="G435" s="600"/>
      <c r="H435" s="601"/>
      <c r="I435" s="602"/>
      <c r="J435" s="1581" t="s">
        <v>2711</v>
      </c>
      <c r="K435" s="1104" t="s">
        <v>2712</v>
      </c>
      <c r="L435" s="594" t="s">
        <v>401</v>
      </c>
      <c r="M435" s="446" t="s">
        <v>3547</v>
      </c>
      <c r="N435" s="446" t="s">
        <v>2713</v>
      </c>
      <c r="O435" s="1455">
        <v>204450</v>
      </c>
      <c r="P435" s="1455"/>
      <c r="Q435" s="924"/>
      <c r="R435" s="1749">
        <v>204450</v>
      </c>
      <c r="S435" s="1750" t="s">
        <v>2714</v>
      </c>
      <c r="T435" s="607"/>
      <c r="U435" s="607"/>
      <c r="V435" s="1590"/>
      <c r="W435" s="1088"/>
      <c r="X435" s="1088"/>
      <c r="Y435" s="1088"/>
      <c r="Z435" s="607"/>
      <c r="AA435" s="607"/>
      <c r="AB435" s="1344"/>
      <c r="AC435" s="1592"/>
      <c r="AD435" s="1088"/>
      <c r="AE435" s="607"/>
      <c r="AF435" s="1088"/>
      <c r="AG435" s="607"/>
      <c r="AH435" s="607"/>
    </row>
    <row r="436" spans="1:34" ht="61.5" customHeight="1">
      <c r="A436" s="599"/>
      <c r="B436" s="446" t="s">
        <v>2715</v>
      </c>
      <c r="C436" s="599" t="s">
        <v>2716</v>
      </c>
      <c r="D436" s="442" t="s">
        <v>2717</v>
      </c>
      <c r="E436" s="599"/>
      <c r="F436" s="601">
        <v>80000</v>
      </c>
      <c r="G436" s="601"/>
      <c r="H436" s="599"/>
      <c r="I436" s="1185"/>
      <c r="J436" s="601">
        <v>80000</v>
      </c>
      <c r="K436" s="599" t="s">
        <v>2718</v>
      </c>
      <c r="L436" s="594" t="s">
        <v>401</v>
      </c>
      <c r="M436" s="599"/>
      <c r="N436" s="599"/>
      <c r="O436" s="599"/>
      <c r="P436" s="599"/>
      <c r="Q436" s="1042"/>
      <c r="R436" s="599"/>
      <c r="S436" s="624"/>
      <c r="T436" s="1140"/>
      <c r="U436" s="1140"/>
      <c r="V436" s="1526"/>
      <c r="W436" s="1052"/>
      <c r="X436" s="1355"/>
      <c r="Y436" s="1353"/>
      <c r="Z436" s="599"/>
      <c r="AA436" s="599"/>
      <c r="AB436" s="580"/>
      <c r="AC436" s="580"/>
      <c r="AD436" s="1465"/>
      <c r="AE436" s="599"/>
      <c r="AF436" s="984"/>
      <c r="AG436" s="599"/>
      <c r="AH436" s="599"/>
    </row>
    <row r="437" spans="1:34" ht="1.5" customHeight="1">
      <c r="A437" s="599"/>
      <c r="B437" s="2351" t="s">
        <v>4065</v>
      </c>
      <c r="C437" s="2542" t="s">
        <v>2719</v>
      </c>
      <c r="D437" s="2351" t="s">
        <v>4066</v>
      </c>
      <c r="E437" s="2542" t="s">
        <v>1657</v>
      </c>
      <c r="F437" s="2544" t="s">
        <v>2720</v>
      </c>
      <c r="G437" s="2542" t="s">
        <v>2721</v>
      </c>
      <c r="H437" s="2542">
        <v>2704800</v>
      </c>
      <c r="I437" s="1185"/>
      <c r="J437" s="2560">
        <v>3381000</v>
      </c>
      <c r="K437" s="2542" t="s">
        <v>2722</v>
      </c>
      <c r="L437" s="2558" t="s">
        <v>401</v>
      </c>
      <c r="M437" s="599"/>
      <c r="N437" s="890"/>
      <c r="O437" s="599"/>
      <c r="P437" s="599"/>
      <c r="Q437" s="1042"/>
      <c r="R437" s="599"/>
      <c r="S437" s="624"/>
      <c r="T437" s="1140"/>
      <c r="U437" s="1140"/>
      <c r="V437" s="1526"/>
      <c r="W437" s="1052"/>
      <c r="X437" s="1355"/>
      <c r="Y437" s="1353"/>
      <c r="Z437" s="599"/>
      <c r="AA437" s="599"/>
      <c r="AB437" s="580"/>
      <c r="AC437" s="580"/>
      <c r="AD437" s="1465"/>
      <c r="AE437" s="599"/>
      <c r="AF437" s="984"/>
      <c r="AG437" s="599"/>
      <c r="AH437" s="599"/>
    </row>
    <row r="438" spans="1:34" ht="135" customHeight="1">
      <c r="A438" s="599"/>
      <c r="B438" s="2351"/>
      <c r="C438" s="2542"/>
      <c r="D438" s="2351"/>
      <c r="E438" s="2542"/>
      <c r="F438" s="2544"/>
      <c r="G438" s="2542"/>
      <c r="H438" s="2542"/>
      <c r="I438" s="1185"/>
      <c r="J438" s="2560"/>
      <c r="K438" s="2542"/>
      <c r="L438" s="2558"/>
      <c r="M438" s="972" t="s">
        <v>3548</v>
      </c>
      <c r="N438" s="599" t="s">
        <v>2723</v>
      </c>
      <c r="O438" s="599">
        <v>1389820</v>
      </c>
      <c r="P438" s="890"/>
      <c r="Q438" s="1042"/>
      <c r="R438" s="599" t="s">
        <v>2724</v>
      </c>
      <c r="S438" s="1111" t="s">
        <v>4067</v>
      </c>
      <c r="T438" s="1140"/>
      <c r="U438" s="1140"/>
      <c r="V438" s="1526"/>
      <c r="W438" s="1052"/>
      <c r="X438" s="1355"/>
      <c r="Y438" s="1353"/>
      <c r="Z438" s="599"/>
      <c r="AA438" s="599"/>
      <c r="AB438" s="580"/>
      <c r="AC438" s="580"/>
      <c r="AD438" s="1465"/>
      <c r="AE438" s="599"/>
      <c r="AF438" s="984"/>
      <c r="AG438" s="599"/>
      <c r="AH438" s="599"/>
    </row>
    <row r="439" spans="1:34" ht="69.75" customHeight="1">
      <c r="A439" s="599"/>
      <c r="B439" s="2351"/>
      <c r="C439" s="2542"/>
      <c r="D439" s="2351"/>
      <c r="E439" s="2542"/>
      <c r="F439" s="2544"/>
      <c r="G439" s="2542"/>
      <c r="H439" s="2542"/>
      <c r="I439" s="1185"/>
      <c r="J439" s="2560"/>
      <c r="K439" s="2542"/>
      <c r="L439" s="2558"/>
      <c r="M439" s="972" t="s">
        <v>3549</v>
      </c>
      <c r="N439" s="599" t="s">
        <v>4068</v>
      </c>
      <c r="O439" s="599">
        <f>363250+520800</f>
        <v>884050</v>
      </c>
      <c r="P439" s="599"/>
      <c r="Q439" s="1042"/>
      <c r="R439" s="599" t="s">
        <v>2725</v>
      </c>
      <c r="S439" s="1111" t="s">
        <v>2726</v>
      </c>
      <c r="T439" s="1140"/>
      <c r="U439" s="1140"/>
      <c r="V439" s="1526"/>
      <c r="W439" s="1052"/>
      <c r="X439" s="1355"/>
      <c r="Y439" s="1353"/>
      <c r="Z439" s="599"/>
      <c r="AA439" s="599"/>
      <c r="AB439" s="580"/>
      <c r="AC439" s="580"/>
      <c r="AD439" s="1465"/>
      <c r="AE439" s="599"/>
      <c r="AF439" s="984"/>
      <c r="AG439" s="599"/>
      <c r="AH439" s="599"/>
    </row>
    <row r="440" spans="1:34" ht="69.75" customHeight="1">
      <c r="A440" s="599"/>
      <c r="B440" s="2351" t="s">
        <v>4069</v>
      </c>
      <c r="C440" s="1030"/>
      <c r="D440" s="474"/>
      <c r="E440" s="1030"/>
      <c r="F440" s="1143"/>
      <c r="G440" s="1030"/>
      <c r="H440" s="965"/>
      <c r="I440" s="1185"/>
      <c r="J440" s="1265"/>
      <c r="K440" s="965"/>
      <c r="L440" s="968"/>
      <c r="M440" s="1751" t="s">
        <v>4070</v>
      </c>
      <c r="N440" s="599" t="s">
        <v>4071</v>
      </c>
      <c r="O440" s="599">
        <v>50000</v>
      </c>
      <c r="P440" s="599"/>
      <c r="Q440" s="1042" t="s">
        <v>2727</v>
      </c>
      <c r="R440" s="599">
        <v>50000</v>
      </c>
      <c r="S440" s="1111" t="s">
        <v>2728</v>
      </c>
      <c r="T440" s="1140"/>
      <c r="U440" s="1140"/>
      <c r="V440" s="1526"/>
      <c r="W440" s="1052"/>
      <c r="X440" s="1355"/>
      <c r="Y440" s="1353"/>
      <c r="Z440" s="599"/>
      <c r="AA440" s="599"/>
      <c r="AB440" s="580"/>
      <c r="AC440" s="580"/>
      <c r="AD440" s="1465"/>
      <c r="AE440" s="599"/>
      <c r="AF440" s="984"/>
      <c r="AG440" s="599"/>
      <c r="AH440" s="599"/>
    </row>
    <row r="441" spans="1:34" ht="98.25" customHeight="1">
      <c r="A441" s="599"/>
      <c r="B441" s="2351"/>
      <c r="C441" s="2542" t="s">
        <v>2729</v>
      </c>
      <c r="D441" s="2351" t="s">
        <v>4072</v>
      </c>
      <c r="E441" s="2542" t="s">
        <v>1657</v>
      </c>
      <c r="F441" s="2544" t="s">
        <v>2730</v>
      </c>
      <c r="G441" s="2542" t="s">
        <v>4073</v>
      </c>
      <c r="H441" s="891" t="s">
        <v>2731</v>
      </c>
      <c r="I441" s="1185"/>
      <c r="J441" s="582" t="s">
        <v>3277</v>
      </c>
      <c r="K441" s="1094" t="s">
        <v>3278</v>
      </c>
      <c r="L441" s="594" t="s">
        <v>2732</v>
      </c>
      <c r="M441" s="972" t="s">
        <v>4074</v>
      </c>
      <c r="N441" s="599" t="s">
        <v>2733</v>
      </c>
      <c r="O441" s="599">
        <v>1462000</v>
      </c>
      <c r="P441" s="599"/>
      <c r="Q441" s="1042"/>
      <c r="R441" s="891" t="s">
        <v>2734</v>
      </c>
      <c r="S441" s="1295" t="s">
        <v>4075</v>
      </c>
      <c r="T441" s="1140"/>
      <c r="U441" s="1140"/>
      <c r="V441" s="1526"/>
      <c r="W441" s="1052"/>
      <c r="X441" s="1355"/>
      <c r="Y441" s="1353"/>
      <c r="Z441" s="599"/>
      <c r="AA441" s="599"/>
      <c r="AB441" s="580"/>
      <c r="AC441" s="580"/>
      <c r="AD441" s="1465"/>
      <c r="AE441" s="599"/>
      <c r="AF441" s="984"/>
      <c r="AG441" s="599"/>
      <c r="AH441" s="599"/>
    </row>
    <row r="442" spans="1:34" ht="58.5" customHeight="1">
      <c r="A442" s="599"/>
      <c r="B442" s="2351"/>
      <c r="C442" s="2542"/>
      <c r="D442" s="2351"/>
      <c r="E442" s="2542"/>
      <c r="F442" s="2544"/>
      <c r="G442" s="2542"/>
      <c r="H442" s="891"/>
      <c r="I442" s="1185"/>
      <c r="J442" s="582"/>
      <c r="K442" s="2561" t="s">
        <v>2929</v>
      </c>
      <c r="L442" s="2562"/>
      <c r="M442" s="1737" t="s">
        <v>4076</v>
      </c>
      <c r="N442" s="1737" t="s">
        <v>2735</v>
      </c>
      <c r="O442" s="1737">
        <v>716320</v>
      </c>
      <c r="P442" s="1737" t="s">
        <v>2658</v>
      </c>
      <c r="Q442" s="1737" t="s">
        <v>2659</v>
      </c>
      <c r="R442" s="1737">
        <v>716320</v>
      </c>
      <c r="S442" s="581" t="s">
        <v>2736</v>
      </c>
      <c r="T442" s="1140"/>
      <c r="U442" s="1140"/>
      <c r="V442" s="1526"/>
      <c r="W442" s="1052"/>
      <c r="X442" s="1355"/>
      <c r="Y442" s="1353"/>
      <c r="Z442" s="599"/>
      <c r="AA442" s="599"/>
      <c r="AB442" s="580"/>
      <c r="AC442" s="580"/>
      <c r="AD442" s="1465"/>
      <c r="AE442" s="599"/>
      <c r="AF442" s="984"/>
      <c r="AG442" s="599"/>
      <c r="AH442" s="599"/>
    </row>
    <row r="443" spans="1:34" s="1085" customFormat="1" ht="169.5" customHeight="1">
      <c r="A443" s="890"/>
      <c r="B443" s="2351"/>
      <c r="C443" s="2542"/>
      <c r="D443" s="2351"/>
      <c r="E443" s="2542"/>
      <c r="F443" s="2544"/>
      <c r="G443" s="2542"/>
      <c r="H443" s="892" t="s">
        <v>2737</v>
      </c>
      <c r="I443" s="1185"/>
      <c r="J443" s="1054"/>
      <c r="K443" s="890"/>
      <c r="L443" s="594"/>
      <c r="M443" s="972" t="s">
        <v>4077</v>
      </c>
      <c r="N443" s="599" t="s">
        <v>2699</v>
      </c>
      <c r="O443" s="580">
        <f>398840+67000+396000+100000+133000+90000+336000+98000+65000+167000+107500+192700</f>
        <v>2151040</v>
      </c>
      <c r="P443" s="599"/>
      <c r="Q443" s="1042"/>
      <c r="R443" s="599" t="s">
        <v>2738</v>
      </c>
      <c r="S443" s="594" t="s">
        <v>2739</v>
      </c>
      <c r="T443" s="1352"/>
      <c r="U443" s="1352"/>
      <c r="V443" s="1752"/>
      <c r="W443" s="1053"/>
      <c r="X443" s="1355"/>
      <c r="Y443" s="1054"/>
      <c r="Z443" s="890"/>
      <c r="AA443" s="890"/>
      <c r="AB443" s="580"/>
      <c r="AC443" s="1076"/>
      <c r="AD443" s="1076"/>
      <c r="AE443" s="972"/>
      <c r="AF443" s="1006"/>
      <c r="AG443" s="1753"/>
      <c r="AH443" s="972"/>
    </row>
    <row r="444" spans="1:34" s="1085" customFormat="1" ht="71.25" customHeight="1">
      <c r="A444" s="893"/>
      <c r="B444" s="2351" t="s">
        <v>2667</v>
      </c>
      <c r="C444" s="2542" t="s">
        <v>2740</v>
      </c>
      <c r="D444" s="478"/>
      <c r="E444" s="965"/>
      <c r="F444" s="600"/>
      <c r="G444" s="1030"/>
      <c r="H444" s="1754"/>
      <c r="I444" s="1162"/>
      <c r="J444" s="1169"/>
      <c r="K444" s="893"/>
      <c r="L444" s="1049"/>
      <c r="M444" s="599" t="s">
        <v>4078</v>
      </c>
      <c r="N444" s="1316" t="s">
        <v>4079</v>
      </c>
      <c r="O444" s="741">
        <v>831000</v>
      </c>
      <c r="P444" s="741"/>
      <c r="Q444" s="1644"/>
      <c r="R444" s="741" t="s">
        <v>2741</v>
      </c>
      <c r="S444" s="1050" t="s">
        <v>2742</v>
      </c>
      <c r="T444" s="1306"/>
      <c r="U444" s="1306"/>
      <c r="V444" s="1524"/>
      <c r="W444" s="1362"/>
      <c r="X444" s="1225"/>
      <c r="Y444" s="1169"/>
      <c r="Z444" s="893"/>
      <c r="AA444" s="893"/>
      <c r="AB444" s="1183"/>
      <c r="AC444" s="580"/>
      <c r="AD444" s="1465"/>
      <c r="AE444" s="890"/>
      <c r="AF444" s="1080"/>
      <c r="AG444" s="890"/>
      <c r="AH444" s="890"/>
    </row>
    <row r="445" spans="1:34" ht="92.25" customHeight="1">
      <c r="A445" s="741"/>
      <c r="B445" s="2351"/>
      <c r="C445" s="2542"/>
      <c r="D445" s="446" t="s">
        <v>2743</v>
      </c>
      <c r="E445" s="599" t="s">
        <v>2744</v>
      </c>
      <c r="F445" s="601">
        <v>8711932.1099999994</v>
      </c>
      <c r="G445" s="1369"/>
      <c r="H445" s="741"/>
      <c r="I445" s="1162"/>
      <c r="J445" s="1287" t="s">
        <v>4080</v>
      </c>
      <c r="K445" s="741" t="s">
        <v>2745</v>
      </c>
      <c r="L445" s="1050" t="s">
        <v>401</v>
      </c>
      <c r="M445" s="972" t="s">
        <v>4081</v>
      </c>
      <c r="N445" s="1316" t="s">
        <v>4082</v>
      </c>
      <c r="O445" s="1755">
        <f>411000+65000+368000</f>
        <v>844000</v>
      </c>
      <c r="P445" s="741">
        <f>411000+65000+36800</f>
        <v>512800</v>
      </c>
      <c r="Q445" s="1644">
        <v>984000</v>
      </c>
      <c r="R445" s="741" t="s">
        <v>2746</v>
      </c>
      <c r="S445" s="1050" t="s">
        <v>4083</v>
      </c>
      <c r="T445" s="1379"/>
      <c r="U445" s="1379"/>
      <c r="V445" s="1629"/>
      <c r="W445" s="1317"/>
      <c r="X445" s="1225"/>
      <c r="Y445" s="1756"/>
      <c r="Z445" s="741"/>
      <c r="AA445" s="741"/>
      <c r="AB445" s="1183"/>
      <c r="AC445" s="1183"/>
      <c r="AD445" s="1757"/>
      <c r="AE445" s="893"/>
      <c r="AF445" s="1163"/>
      <c r="AG445" s="893"/>
      <c r="AH445" s="893"/>
    </row>
    <row r="446" spans="1:34" s="599" customFormat="1" ht="83.25" customHeight="1">
      <c r="A446" s="984"/>
      <c r="B446" s="2543" t="s">
        <v>2747</v>
      </c>
      <c r="C446" s="2542" t="s">
        <v>2748</v>
      </c>
      <c r="D446" s="1304"/>
      <c r="E446" s="741"/>
      <c r="F446" s="1487"/>
      <c r="G446" s="1369"/>
      <c r="H446" s="741"/>
      <c r="I446" s="1162"/>
      <c r="J446" s="1758"/>
      <c r="K446" s="1759"/>
      <c r="L446" s="822"/>
      <c r="M446" s="599" t="s">
        <v>4084</v>
      </c>
      <c r="N446" s="1316" t="s">
        <v>4085</v>
      </c>
      <c r="O446" s="599">
        <f>50000+55000+30000</f>
        <v>135000</v>
      </c>
      <c r="P446" s="599" t="s">
        <v>2749</v>
      </c>
      <c r="R446" s="1760" t="s">
        <v>4086</v>
      </c>
      <c r="S446" s="1761" t="s">
        <v>4087</v>
      </c>
      <c r="T446" s="1141"/>
      <c r="U446" s="1141"/>
      <c r="V446" s="1372"/>
      <c r="W446" s="446"/>
      <c r="X446" s="1762"/>
      <c r="Y446" s="1763"/>
      <c r="AB446" s="580"/>
      <c r="AC446" s="1183"/>
      <c r="AD446" s="1757"/>
      <c r="AE446" s="741"/>
      <c r="AF446" s="997"/>
      <c r="AG446" s="741"/>
      <c r="AH446" s="741"/>
    </row>
    <row r="447" spans="1:34" s="599" customFormat="1" ht="75" customHeight="1">
      <c r="B447" s="2543"/>
      <c r="C447" s="2542"/>
      <c r="D447" s="446" t="s">
        <v>4088</v>
      </c>
      <c r="E447" s="599" t="s">
        <v>2750</v>
      </c>
      <c r="F447" s="625">
        <v>349924.82</v>
      </c>
      <c r="G447" s="891"/>
      <c r="I447" s="1185"/>
      <c r="J447" s="1764">
        <v>349924.82</v>
      </c>
      <c r="K447" s="1765">
        <v>43748</v>
      </c>
      <c r="L447" s="594" t="s">
        <v>401</v>
      </c>
      <c r="M447" s="1076" t="s">
        <v>4089</v>
      </c>
      <c r="N447" s="1268" t="s">
        <v>4090</v>
      </c>
      <c r="O447" s="972">
        <v>120000</v>
      </c>
      <c r="P447" s="1006" t="s">
        <v>2751</v>
      </c>
      <c r="Q447" s="1753"/>
      <c r="R447" s="972">
        <v>120000</v>
      </c>
      <c r="S447" s="1747">
        <v>43792</v>
      </c>
      <c r="T447" s="1140"/>
      <c r="U447" s="1140"/>
      <c r="V447" s="1372"/>
      <c r="W447" s="594"/>
      <c r="X447" s="1352"/>
      <c r="Y447" s="1353"/>
      <c r="AB447" s="580"/>
      <c r="AC447" s="580"/>
      <c r="AD447" s="1464"/>
    </row>
    <row r="448" spans="1:34" s="599" customFormat="1" ht="76.5" customHeight="1">
      <c r="B448" s="822" t="s">
        <v>2747</v>
      </c>
      <c r="C448" s="741" t="s">
        <v>2752</v>
      </c>
      <c r="D448" s="446" t="s">
        <v>4091</v>
      </c>
      <c r="E448" s="599" t="s">
        <v>2750</v>
      </c>
      <c r="F448" s="625">
        <v>98453.64</v>
      </c>
      <c r="G448" s="891"/>
      <c r="I448" s="1185"/>
      <c r="J448" s="1764">
        <v>98453.64</v>
      </c>
      <c r="K448" s="1765">
        <v>43803</v>
      </c>
      <c r="L448" s="594" t="s">
        <v>401</v>
      </c>
      <c r="M448" s="599" t="s">
        <v>2753</v>
      </c>
      <c r="N448" s="599" t="s">
        <v>2752</v>
      </c>
      <c r="O448" s="599">
        <v>100000</v>
      </c>
      <c r="P448" s="599" t="s">
        <v>3130</v>
      </c>
      <c r="R448" s="599">
        <v>100000</v>
      </c>
      <c r="S448" s="624" t="s">
        <v>2754</v>
      </c>
      <c r="T448" s="1140"/>
      <c r="U448" s="1140"/>
      <c r="V448" s="1372"/>
      <c r="W448" s="594"/>
      <c r="X448" s="1352"/>
      <c r="Y448" s="1353"/>
      <c r="AB448" s="580"/>
      <c r="AC448" s="580"/>
      <c r="AD448" s="1464"/>
    </row>
    <row r="449" spans="1:34" s="599" customFormat="1" ht="74.25" customHeight="1">
      <c r="A449" s="984"/>
      <c r="B449" s="822" t="s">
        <v>2755</v>
      </c>
      <c r="C449" s="741" t="s">
        <v>2752</v>
      </c>
      <c r="D449" s="446" t="s">
        <v>2756</v>
      </c>
      <c r="E449" s="599" t="s">
        <v>2757</v>
      </c>
      <c r="F449" s="625">
        <v>63917.1</v>
      </c>
      <c r="G449" s="891"/>
      <c r="I449" s="1185"/>
      <c r="J449" s="1055">
        <v>63917.1</v>
      </c>
      <c r="K449" s="1094" t="s">
        <v>2758</v>
      </c>
      <c r="L449" s="594" t="s">
        <v>401</v>
      </c>
      <c r="R449" s="890"/>
      <c r="S449" s="1299"/>
      <c r="T449" s="1140"/>
      <c r="U449" s="1140"/>
      <c r="V449" s="1372"/>
      <c r="W449" s="594"/>
      <c r="X449" s="1352"/>
      <c r="Y449" s="1353"/>
      <c r="AB449" s="580"/>
      <c r="AC449" s="580"/>
      <c r="AD449" s="1464"/>
    </row>
    <row r="450" spans="1:34" s="599" customFormat="1" ht="60" customHeight="1">
      <c r="B450" s="986"/>
      <c r="C450" s="607"/>
      <c r="D450" s="1766"/>
      <c r="E450" s="607"/>
      <c r="F450" s="1767"/>
      <c r="G450" s="1768"/>
      <c r="H450" s="973"/>
      <c r="I450" s="1201"/>
      <c r="J450" s="1769"/>
      <c r="K450" s="1770"/>
      <c r="L450" s="1663"/>
      <c r="M450" s="594" t="s">
        <v>2759</v>
      </c>
      <c r="N450" s="1115" t="s">
        <v>2760</v>
      </c>
      <c r="O450" s="1455">
        <v>9849600</v>
      </c>
      <c r="P450" s="599" t="s">
        <v>2761</v>
      </c>
      <c r="Q450" s="599" t="s">
        <v>65</v>
      </c>
      <c r="S450" s="624"/>
      <c r="T450" s="1140"/>
      <c r="U450" s="1140"/>
      <c r="V450" s="1372"/>
      <c r="W450" s="594"/>
      <c r="X450" s="1352"/>
      <c r="Y450" s="1353"/>
      <c r="AB450" s="580"/>
      <c r="AC450" s="580"/>
      <c r="AD450" s="1464"/>
    </row>
    <row r="451" spans="1:34" ht="75.75" customHeight="1">
      <c r="A451" s="599"/>
      <c r="B451" s="1099"/>
      <c r="C451" s="899"/>
      <c r="D451" s="977"/>
      <c r="E451" s="899"/>
      <c r="F451" s="1636"/>
      <c r="G451" s="1771"/>
      <c r="H451" s="891"/>
      <c r="I451" s="1185"/>
      <c r="J451" s="582"/>
      <c r="K451" s="1094"/>
      <c r="L451" s="1772" t="s">
        <v>2928</v>
      </c>
      <c r="M451" s="1737" t="s">
        <v>4076</v>
      </c>
      <c r="N451" s="1737" t="s">
        <v>2735</v>
      </c>
      <c r="O451" s="1737">
        <v>716320</v>
      </c>
      <c r="P451" s="1737" t="s">
        <v>2658</v>
      </c>
      <c r="Q451" s="1737" t="s">
        <v>2659</v>
      </c>
      <c r="R451" s="1737">
        <v>716320</v>
      </c>
      <c r="S451" s="581" t="s">
        <v>2736</v>
      </c>
      <c r="T451" s="1140"/>
      <c r="U451" s="1140"/>
      <c r="V451" s="1526"/>
      <c r="W451" s="1052"/>
      <c r="X451" s="1355"/>
      <c r="Y451" s="1353"/>
      <c r="Z451" s="599"/>
      <c r="AA451" s="599"/>
      <c r="AB451" s="580"/>
      <c r="AC451" s="580"/>
      <c r="AD451" s="1465"/>
      <c r="AE451" s="599"/>
      <c r="AF451" s="984"/>
      <c r="AG451" s="599"/>
      <c r="AH451" s="599"/>
    </row>
    <row r="452" spans="1:34" s="599" customFormat="1" ht="408.75" customHeight="1">
      <c r="B452" s="606" t="s">
        <v>1095</v>
      </c>
      <c r="C452" s="899" t="s">
        <v>2762</v>
      </c>
      <c r="D452" s="606" t="s">
        <v>4092</v>
      </c>
      <c r="E452" s="1773">
        <v>44104</v>
      </c>
      <c r="F452" s="1200" t="s">
        <v>2763</v>
      </c>
      <c r="G452" s="1768"/>
      <c r="H452" s="607"/>
      <c r="I452" s="1105" t="s">
        <v>2764</v>
      </c>
      <c r="J452" s="1774" t="s">
        <v>4093</v>
      </c>
      <c r="K452" s="1775" t="s">
        <v>401</v>
      </c>
      <c r="L452" s="1648"/>
      <c r="M452" s="599" t="s">
        <v>4094</v>
      </c>
      <c r="N452" s="599" t="s">
        <v>2674</v>
      </c>
      <c r="O452" s="446">
        <f>444500+176000+277800+167000+146000+576000+333500+233000+174500+77000+111100+170000+118000+155000+333300+33400+1197000+333400+777700+329170+422200+388900+66700+404400+150800+100000+100000+120000+200000</f>
        <v>8116370</v>
      </c>
      <c r="P452" s="580">
        <f>155000+333300+33400+1197000+333400+777700+329170+422200+388900+66700+404400</f>
        <v>4441170</v>
      </c>
      <c r="Q452" s="580">
        <f>444500+176000+277800+167000+146000+576000+333500+233000+174500+77000+111100+170000+118000</f>
        <v>3004400</v>
      </c>
      <c r="R452" s="599" t="s">
        <v>4095</v>
      </c>
      <c r="S452" s="1299" t="s">
        <v>4096</v>
      </c>
      <c r="T452" s="1140"/>
      <c r="U452" s="1140"/>
      <c r="V452" s="1372"/>
      <c r="W452" s="594"/>
      <c r="X452" s="1352"/>
      <c r="Y452" s="1353"/>
      <c r="AB452" s="580"/>
      <c r="AC452" s="580"/>
      <c r="AD452" s="1464"/>
    </row>
    <row r="453" spans="1:34" s="599" customFormat="1" ht="215.25" customHeight="1">
      <c r="B453" s="606"/>
      <c r="C453" s="899">
        <f>2382000-1838000</f>
        <v>544000</v>
      </c>
      <c r="D453" s="606"/>
      <c r="E453" s="1773"/>
      <c r="F453" s="1200" t="s">
        <v>2765</v>
      </c>
      <c r="G453" s="891"/>
      <c r="I453" s="1185"/>
      <c r="J453" s="1764"/>
      <c r="K453" s="1654"/>
      <c r="L453" s="594"/>
      <c r="M453" s="972" t="s">
        <v>4097</v>
      </c>
      <c r="N453" s="599" t="s">
        <v>4098</v>
      </c>
      <c r="O453" s="1016">
        <v>10242000</v>
      </c>
      <c r="P453" s="599">
        <f>100000+1000000+985450+1174550+100000+200000</f>
        <v>3560000</v>
      </c>
      <c r="Q453" s="1752">
        <f>1033000+967000+174000+108000</f>
        <v>2282000</v>
      </c>
      <c r="R453" s="890">
        <f>1033000+967000+174000+108000+100000+1000000+985450+1174550+100000+200000+200000+200000+1264000+850000+538000+1348000</f>
        <v>10242000</v>
      </c>
      <c r="S453" s="1776" t="s">
        <v>4099</v>
      </c>
      <c r="T453" s="1140"/>
      <c r="U453" s="1140"/>
      <c r="V453" s="1372"/>
      <c r="W453" s="594"/>
      <c r="X453" s="1352"/>
      <c r="Y453" s="1353"/>
      <c r="Z453" s="599">
        <f>P453-Q453</f>
        <v>1278000</v>
      </c>
      <c r="AB453" s="580"/>
      <c r="AC453" s="580"/>
      <c r="AD453" s="1464"/>
    </row>
    <row r="454" spans="1:34" s="599" customFormat="1" ht="75.75" customHeight="1">
      <c r="B454" s="606"/>
      <c r="C454" s="899"/>
      <c r="D454" s="606"/>
      <c r="E454" s="1773"/>
      <c r="F454" s="1200" t="s">
        <v>2766</v>
      </c>
      <c r="G454" s="891"/>
      <c r="I454" s="1185"/>
      <c r="J454" s="1764"/>
      <c r="K454" s="1765"/>
      <c r="L454" s="594"/>
      <c r="M454" s="609" t="s">
        <v>2767</v>
      </c>
      <c r="N454" s="1033" t="s">
        <v>4100</v>
      </c>
      <c r="O454" s="1012">
        <v>582615</v>
      </c>
      <c r="P454" s="1012" t="s">
        <v>2768</v>
      </c>
      <c r="Q454" s="599" t="s">
        <v>2769</v>
      </c>
      <c r="R454" s="599" t="s">
        <v>2770</v>
      </c>
      <c r="S454" s="1299"/>
      <c r="T454" s="1140"/>
      <c r="U454" s="1140"/>
      <c r="V454" s="1372"/>
      <c r="W454" s="594"/>
      <c r="X454" s="1352"/>
      <c r="Y454" s="1353"/>
      <c r="AB454" s="580"/>
      <c r="AC454" s="580"/>
      <c r="AD454" s="1464"/>
    </row>
    <row r="455" spans="1:34" s="599" customFormat="1" ht="349.5" customHeight="1">
      <c r="B455" s="823"/>
      <c r="C455" s="607"/>
      <c r="D455" s="823"/>
      <c r="E455" s="1192"/>
      <c r="F455" s="1105"/>
      <c r="G455" s="891"/>
      <c r="I455" s="1185">
        <f>224750+382000+225000+225000</f>
        <v>1056750</v>
      </c>
      <c r="J455" s="1764"/>
      <c r="K455" s="1777"/>
      <c r="L455" s="1650"/>
      <c r="M455" s="599" t="s">
        <v>4101</v>
      </c>
      <c r="N455" s="599" t="s">
        <v>2771</v>
      </c>
      <c r="O455" s="599">
        <f>224750+382000+225000+225000+561800+498100+157300+325800+56180+224700+72500+385600+400900+250300+252800+45000+200600+305000+44945+333870+565000+235000+663800+786000</f>
        <v>7421945</v>
      </c>
      <c r="P455" s="601"/>
      <c r="Q455" s="1654">
        <f>224750+382000+225000+225000</f>
        <v>1056750</v>
      </c>
      <c r="R455" s="599" t="s">
        <v>4102</v>
      </c>
      <c r="S455" s="1295" t="s">
        <v>4103</v>
      </c>
      <c r="T455" s="1140"/>
      <c r="U455" s="1140"/>
      <c r="V455" s="1372"/>
      <c r="W455" s="594"/>
      <c r="X455" s="1352"/>
      <c r="Y455" s="1353"/>
      <c r="AB455" s="580"/>
      <c r="AC455" s="580"/>
      <c r="AD455" s="1464"/>
    </row>
    <row r="456" spans="1:34" s="599" customFormat="1" ht="101.25" customHeight="1">
      <c r="B456" s="446" t="s">
        <v>4104</v>
      </c>
      <c r="C456" s="607" t="s">
        <v>2772</v>
      </c>
      <c r="D456" s="446" t="s">
        <v>2773</v>
      </c>
      <c r="E456" s="599" t="s">
        <v>2774</v>
      </c>
      <c r="F456" s="625">
        <v>145000</v>
      </c>
      <c r="G456" s="891"/>
      <c r="I456" s="1185"/>
      <c r="J456" s="1055">
        <v>145000</v>
      </c>
      <c r="K456" s="1094">
        <v>43712</v>
      </c>
      <c r="L456" s="594" t="s">
        <v>401</v>
      </c>
      <c r="S456" s="624"/>
      <c r="T456" s="1140"/>
      <c r="U456" s="1140"/>
      <c r="V456" s="1372"/>
      <c r="W456" s="594"/>
      <c r="X456" s="1352"/>
      <c r="Y456" s="1353"/>
      <c r="AB456" s="580"/>
      <c r="AC456" s="580"/>
      <c r="AD456" s="1464"/>
    </row>
    <row r="457" spans="1:34" s="973" customFormat="1" ht="96.75" customHeight="1">
      <c r="A457" s="599"/>
      <c r="B457" s="2417" t="s">
        <v>2775</v>
      </c>
      <c r="C457" s="741" t="s">
        <v>2776</v>
      </c>
      <c r="D457" s="2351" t="s">
        <v>2777</v>
      </c>
      <c r="E457" s="2542" t="s">
        <v>2705</v>
      </c>
      <c r="F457" s="2544">
        <v>1979000</v>
      </c>
      <c r="G457" s="891"/>
      <c r="H457" s="599"/>
      <c r="I457" s="1185"/>
      <c r="J457" s="1055"/>
      <c r="K457" s="1094"/>
      <c r="L457" s="594"/>
      <c r="M457" s="599" t="s">
        <v>4105</v>
      </c>
      <c r="N457" s="599" t="s">
        <v>2778</v>
      </c>
      <c r="O457" s="607">
        <v>333350</v>
      </c>
      <c r="P457" s="890" t="s">
        <v>2779</v>
      </c>
      <c r="Q457" s="599"/>
      <c r="R457" s="607">
        <v>333350</v>
      </c>
      <c r="S457" s="1070" t="s">
        <v>2780</v>
      </c>
      <c r="T457" s="1655"/>
      <c r="U457" s="1655"/>
      <c r="V457" s="1638"/>
      <c r="W457" s="1663"/>
      <c r="X457" s="1640"/>
      <c r="Y457" s="1778"/>
      <c r="AB457" s="592"/>
      <c r="AC457" s="580"/>
      <c r="AD457" s="1464"/>
      <c r="AE457" s="599"/>
      <c r="AF457" s="599"/>
      <c r="AG457" s="599"/>
      <c r="AH457" s="599"/>
    </row>
    <row r="458" spans="1:34" ht="71.25" customHeight="1">
      <c r="A458" s="311"/>
      <c r="B458" s="2417"/>
      <c r="C458" s="599" t="s">
        <v>2781</v>
      </c>
      <c r="D458" s="2351"/>
      <c r="E458" s="2542"/>
      <c r="F458" s="2544"/>
      <c r="G458" s="601"/>
      <c r="H458" s="1185"/>
      <c r="I458" s="602" t="s">
        <v>2782</v>
      </c>
      <c r="J458" s="625">
        <v>1731000</v>
      </c>
      <c r="K458" s="1779" t="s">
        <v>2783</v>
      </c>
      <c r="L458" s="446" t="s">
        <v>401</v>
      </c>
      <c r="M458" s="599" t="s">
        <v>2784</v>
      </c>
      <c r="N458" s="594" t="s">
        <v>2785</v>
      </c>
      <c r="O458" s="1455">
        <v>142384</v>
      </c>
      <c r="P458" s="1455">
        <v>0.5</v>
      </c>
      <c r="Q458" s="1455">
        <v>71192</v>
      </c>
      <c r="R458" s="1581">
        <v>142384</v>
      </c>
      <c r="S458" s="1070" t="s">
        <v>2786</v>
      </c>
      <c r="T458" s="607"/>
      <c r="U458" s="607"/>
      <c r="V458" s="1590"/>
      <c r="W458" s="1088"/>
      <c r="X458" s="1088"/>
      <c r="Y458" s="1088"/>
      <c r="Z458" s="607"/>
      <c r="AA458" s="607"/>
      <c r="AB458" s="1344"/>
      <c r="AC458" s="592"/>
      <c r="AD458" s="1780"/>
    </row>
    <row r="459" spans="1:34" ht="68.25" customHeight="1" thickBot="1">
      <c r="A459" s="311"/>
      <c r="B459" s="446" t="s">
        <v>4106</v>
      </c>
      <c r="C459" s="599" t="s">
        <v>2703</v>
      </c>
      <c r="D459" s="442" t="s">
        <v>2787</v>
      </c>
      <c r="E459" s="599" t="s">
        <v>2705</v>
      </c>
      <c r="F459" s="601">
        <v>290000</v>
      </c>
      <c r="G459" s="601">
        <v>90000</v>
      </c>
      <c r="H459" s="1185"/>
      <c r="I459" s="602"/>
      <c r="J459" s="625" t="s">
        <v>2788</v>
      </c>
      <c r="K459" s="1669" t="s">
        <v>2789</v>
      </c>
      <c r="L459" s="446" t="s">
        <v>401</v>
      </c>
      <c r="M459" s="599" t="s">
        <v>4107</v>
      </c>
      <c r="N459" s="594" t="s">
        <v>2580</v>
      </c>
      <c r="O459" s="1464">
        <f>140000+77700</f>
        <v>217700</v>
      </c>
      <c r="P459" s="1455"/>
      <c r="Q459" s="924"/>
      <c r="R459" s="1781" t="s">
        <v>4108</v>
      </c>
      <c r="S459" s="1782" t="s">
        <v>4109</v>
      </c>
      <c r="T459" s="607"/>
      <c r="U459" s="607"/>
      <c r="V459" s="1590"/>
      <c r="W459" s="1088"/>
      <c r="X459" s="1088"/>
      <c r="Y459" s="1088"/>
      <c r="Z459" s="607"/>
      <c r="AA459" s="607"/>
      <c r="AB459" s="1344"/>
      <c r="AC459" s="1592" t="e">
        <f>AC460+AC461+AC462+#REF!+AC463+AC464+AC465</f>
        <v>#REF!</v>
      </c>
      <c r="AD459" s="1088">
        <v>2382000</v>
      </c>
      <c r="AE459" s="607"/>
      <c r="AF459" s="1088"/>
      <c r="AG459" s="607"/>
      <c r="AH459" s="607"/>
    </row>
    <row r="460" spans="1:34" ht="113.25" customHeight="1" thickBot="1">
      <c r="A460" s="741"/>
      <c r="B460" s="442" t="s">
        <v>2790</v>
      </c>
      <c r="C460" s="602" t="s">
        <v>2791</v>
      </c>
      <c r="D460" s="446" t="s">
        <v>2792</v>
      </c>
      <c r="E460" s="599"/>
      <c r="F460" s="601">
        <v>66565.86</v>
      </c>
      <c r="G460" s="1369"/>
      <c r="H460" s="741"/>
      <c r="I460" s="1162"/>
      <c r="J460" s="1109">
        <v>66565.86</v>
      </c>
      <c r="K460" s="741" t="s">
        <v>2793</v>
      </c>
      <c r="L460" s="446" t="s">
        <v>401</v>
      </c>
      <c r="M460" s="446" t="s">
        <v>4110</v>
      </c>
      <c r="N460" s="446" t="s">
        <v>2794</v>
      </c>
      <c r="O460" s="599">
        <v>30000</v>
      </c>
      <c r="P460" s="599"/>
      <c r="Q460" s="1042"/>
      <c r="R460" s="599">
        <v>30000</v>
      </c>
      <c r="S460" s="1295">
        <v>43754</v>
      </c>
      <c r="T460" s="1379"/>
      <c r="U460" s="1379"/>
      <c r="V460" s="1629"/>
      <c r="W460" s="1317"/>
      <c r="X460" s="1225"/>
      <c r="Y460" s="1756"/>
      <c r="Z460" s="741"/>
      <c r="AA460" s="741"/>
      <c r="AB460" s="1183"/>
      <c r="AC460" s="611"/>
      <c r="AD460" s="1088" t="e">
        <f>AC459*2</f>
        <v>#REF!</v>
      </c>
      <c r="AE460" s="607"/>
      <c r="AF460" s="1088"/>
      <c r="AG460" s="607"/>
      <c r="AH460" s="607"/>
    </row>
    <row r="461" spans="1:34" ht="46.5" customHeight="1" thickBot="1">
      <c r="A461" s="741"/>
      <c r="B461" s="2351" t="s">
        <v>2790</v>
      </c>
      <c r="C461" s="2542" t="s">
        <v>2795</v>
      </c>
      <c r="D461" s="2351" t="s">
        <v>2796</v>
      </c>
      <c r="E461" s="599" t="s">
        <v>4111</v>
      </c>
      <c r="F461" s="601" t="s">
        <v>2797</v>
      </c>
      <c r="G461" s="1369">
        <v>586169.73</v>
      </c>
      <c r="H461" s="741"/>
      <c r="I461" s="1162"/>
      <c r="J461" s="1287">
        <v>1932816.58</v>
      </c>
      <c r="K461" s="741" t="s">
        <v>2896</v>
      </c>
      <c r="L461" s="446" t="s">
        <v>401</v>
      </c>
      <c r="M461" s="599" t="s">
        <v>4112</v>
      </c>
      <c r="N461" s="599" t="s">
        <v>2798</v>
      </c>
      <c r="O461" s="599">
        <v>98000</v>
      </c>
      <c r="P461" s="599"/>
      <c r="Q461" s="599"/>
      <c r="R461" s="599">
        <v>98000</v>
      </c>
      <c r="S461" s="1070" t="s">
        <v>2799</v>
      </c>
      <c r="T461" s="1379"/>
      <c r="U461" s="1379"/>
      <c r="V461" s="1629"/>
      <c r="W461" s="1317"/>
      <c r="X461" s="1225"/>
      <c r="Y461" s="1756"/>
      <c r="Z461" s="741"/>
      <c r="AA461" s="741"/>
      <c r="AB461" s="1183"/>
      <c r="AC461" s="612"/>
      <c r="AD461" s="1757" t="e">
        <f>AD459-AD460</f>
        <v>#REF!</v>
      </c>
      <c r="AE461" s="741"/>
      <c r="AF461" s="997"/>
      <c r="AG461" s="741"/>
      <c r="AH461" s="741"/>
    </row>
    <row r="462" spans="1:34" ht="33.75" customHeight="1" thickBot="1">
      <c r="A462" s="741"/>
      <c r="B462" s="2351"/>
      <c r="C462" s="2542"/>
      <c r="D462" s="2351"/>
      <c r="E462" s="599"/>
      <c r="F462" s="601"/>
      <c r="G462" s="1369"/>
      <c r="H462" s="741"/>
      <c r="I462" s="1162"/>
      <c r="J462" s="1287"/>
      <c r="K462" s="893"/>
      <c r="L462" s="1050"/>
      <c r="M462" s="599" t="s">
        <v>2800</v>
      </c>
      <c r="N462" s="2542" t="s">
        <v>2801</v>
      </c>
      <c r="O462" s="899">
        <v>1018800</v>
      </c>
      <c r="P462" s="899"/>
      <c r="R462" s="899" t="s">
        <v>2802</v>
      </c>
      <c r="S462" s="1205" t="s">
        <v>2803</v>
      </c>
      <c r="T462" s="1379"/>
      <c r="U462" s="1379"/>
      <c r="V462" s="1629"/>
      <c r="W462" s="1317"/>
      <c r="X462" s="1225"/>
      <c r="Y462" s="1756"/>
      <c r="Z462" s="741"/>
      <c r="AA462" s="741"/>
      <c r="AB462" s="1183"/>
      <c r="AC462" s="612"/>
      <c r="AD462" s="1757"/>
      <c r="AE462" s="741"/>
      <c r="AF462" s="997"/>
      <c r="AG462" s="741"/>
      <c r="AH462" s="741"/>
    </row>
    <row r="463" spans="1:34" ht="65.25" customHeight="1" thickBot="1">
      <c r="A463" s="741"/>
      <c r="B463" s="2351"/>
      <c r="C463" s="2542"/>
      <c r="D463" s="2351"/>
      <c r="E463" s="599"/>
      <c r="F463" s="601"/>
      <c r="G463" s="1369"/>
      <c r="H463" s="741"/>
      <c r="I463" s="1162"/>
      <c r="J463" s="1287"/>
      <c r="K463" s="893"/>
      <c r="L463" s="1050"/>
      <c r="M463" s="599" t="s">
        <v>2804</v>
      </c>
      <c r="N463" s="2542"/>
      <c r="O463" s="599">
        <v>230000</v>
      </c>
      <c r="P463" s="599">
        <v>115000</v>
      </c>
      <c r="Q463" s="599"/>
      <c r="R463" s="599" t="s">
        <v>2805</v>
      </c>
      <c r="S463" s="594"/>
      <c r="T463" s="1379"/>
      <c r="U463" s="1379"/>
      <c r="V463" s="1629"/>
      <c r="W463" s="1317"/>
      <c r="X463" s="1225"/>
      <c r="Y463" s="1756"/>
      <c r="Z463" s="741"/>
      <c r="AA463" s="741"/>
      <c r="AB463" s="1183"/>
      <c r="AC463" s="613"/>
      <c r="AD463" s="1757"/>
      <c r="AE463" s="741"/>
      <c r="AF463" s="997"/>
      <c r="AG463" s="741"/>
      <c r="AH463" s="741"/>
    </row>
    <row r="464" spans="1:34" ht="63.75" customHeight="1" thickBot="1">
      <c r="A464" s="741"/>
      <c r="B464" s="442" t="s">
        <v>2806</v>
      </c>
      <c r="C464" s="599" t="s">
        <v>2807</v>
      </c>
      <c r="D464" s="446" t="s">
        <v>4113</v>
      </c>
      <c r="E464" s="599" t="s">
        <v>4114</v>
      </c>
      <c r="F464" s="601">
        <v>3838107.7</v>
      </c>
      <c r="G464" s="1369" t="s">
        <v>65</v>
      </c>
      <c r="H464" s="741"/>
      <c r="I464" s="1162"/>
      <c r="J464" s="1287" t="s">
        <v>4115</v>
      </c>
      <c r="K464" s="741" t="s">
        <v>4116</v>
      </c>
      <c r="L464" s="446" t="s">
        <v>401</v>
      </c>
      <c r="M464" s="741" t="s">
        <v>4117</v>
      </c>
      <c r="N464" s="741" t="s">
        <v>4118</v>
      </c>
      <c r="O464" s="1203">
        <f>320000+355000+98000</f>
        <v>773000</v>
      </c>
      <c r="P464" s="899"/>
      <c r="R464" s="899" t="s">
        <v>2808</v>
      </c>
      <c r="S464" s="1050" t="s">
        <v>2809</v>
      </c>
      <c r="T464" s="1379"/>
      <c r="U464" s="1379"/>
      <c r="V464" s="1629"/>
      <c r="W464" s="1317"/>
      <c r="X464" s="1225"/>
      <c r="Y464" s="1756"/>
      <c r="Z464" s="741"/>
      <c r="AA464" s="741"/>
      <c r="AB464" s="1183"/>
      <c r="AC464" s="613"/>
      <c r="AD464" s="1757"/>
      <c r="AE464" s="741"/>
      <c r="AF464" s="997"/>
      <c r="AG464" s="741"/>
      <c r="AH464" s="741"/>
    </row>
    <row r="465" spans="1:34" s="973" customFormat="1" ht="48.75" customHeight="1" thickBot="1">
      <c r="A465" s="599"/>
      <c r="B465" s="822"/>
      <c r="C465" s="899"/>
      <c r="D465" s="2351" t="s">
        <v>2810</v>
      </c>
      <c r="E465" s="741"/>
      <c r="F465" s="1142" t="s">
        <v>2811</v>
      </c>
      <c r="G465" s="891"/>
      <c r="H465" s="599"/>
      <c r="I465" s="1185"/>
      <c r="J465" s="1055"/>
      <c r="K465" s="1094"/>
      <c r="L465" s="594"/>
      <c r="M465" s="446" t="s">
        <v>4119</v>
      </c>
      <c r="N465" s="580" t="s">
        <v>2812</v>
      </c>
      <c r="O465" s="599">
        <f>30000+50000+30000</f>
        <v>110000</v>
      </c>
      <c r="P465" s="599"/>
      <c r="Q465" s="599"/>
      <c r="R465" s="599" t="s">
        <v>4120</v>
      </c>
      <c r="S465" s="624" t="s">
        <v>4121</v>
      </c>
      <c r="T465" s="1140"/>
      <c r="U465" s="1140"/>
      <c r="V465" s="1372"/>
      <c r="W465" s="594"/>
      <c r="X465" s="1352"/>
      <c r="Y465" s="1707"/>
      <c r="Z465" s="599"/>
      <c r="AA465" s="599"/>
      <c r="AB465" s="580"/>
      <c r="AC465" s="612"/>
      <c r="AD465" s="1757"/>
      <c r="AE465" s="741"/>
      <c r="AF465" s="997"/>
      <c r="AG465" s="741"/>
      <c r="AH465" s="741"/>
    </row>
    <row r="466" spans="1:34" s="599" customFormat="1" ht="111" customHeight="1">
      <c r="B466" s="606" t="s">
        <v>2813</v>
      </c>
      <c r="C466" s="899" t="s">
        <v>2814</v>
      </c>
      <c r="D466" s="2351"/>
      <c r="E466" s="602"/>
      <c r="J466" s="1002"/>
      <c r="L466" s="446" t="s">
        <v>401</v>
      </c>
      <c r="M466" s="599" t="s">
        <v>4122</v>
      </c>
      <c r="N466" s="446" t="s">
        <v>4123</v>
      </c>
      <c r="O466" s="599">
        <f>248000+224800+232200+202200+93300+311500+67400</f>
        <v>1379400</v>
      </c>
      <c r="P466" s="890"/>
      <c r="Q466" s="890"/>
      <c r="R466" s="890" t="s">
        <v>2815</v>
      </c>
      <c r="S466" s="1783" t="s">
        <v>2816</v>
      </c>
      <c r="AC466" s="580"/>
      <c r="AD466" s="1464"/>
      <c r="AG466" s="973"/>
      <c r="AH466" s="973"/>
    </row>
    <row r="467" spans="1:34" s="599" customFormat="1" ht="70.5" customHeight="1">
      <c r="B467" s="823"/>
      <c r="C467" s="607"/>
      <c r="D467" s="2351"/>
      <c r="F467" s="625" t="s">
        <v>2817</v>
      </c>
      <c r="G467" s="891"/>
      <c r="H467" s="1016" t="s">
        <v>3165</v>
      </c>
      <c r="I467" s="1185">
        <f>132000                    +170000                                 +890000</f>
        <v>1192000</v>
      </c>
      <c r="J467" s="1054" t="s">
        <v>4124</v>
      </c>
      <c r="K467" s="890" t="s">
        <v>4125</v>
      </c>
      <c r="L467" s="594" t="s">
        <v>2818</v>
      </c>
      <c r="M467" s="594" t="s">
        <v>2819</v>
      </c>
      <c r="N467" s="1115" t="s">
        <v>2820</v>
      </c>
      <c r="O467" s="1455" t="s">
        <v>2821</v>
      </c>
      <c r="S467" s="624"/>
      <c r="T467" s="1140"/>
      <c r="U467" s="1140"/>
      <c r="V467" s="1372"/>
      <c r="W467" s="594"/>
      <c r="X467" s="1352"/>
      <c r="Y467" s="1353"/>
      <c r="AB467" s="580"/>
    </row>
    <row r="468" spans="1:34" s="1014" customFormat="1" ht="89.25" customHeight="1">
      <c r="A468" s="1004" t="s">
        <v>1162</v>
      </c>
      <c r="B468" s="614" t="s">
        <v>4126</v>
      </c>
      <c r="C468" s="1784" t="s">
        <v>2822</v>
      </c>
      <c r="D468" s="1784" t="s">
        <v>2823</v>
      </c>
      <c r="E468" s="1012" t="s">
        <v>1777</v>
      </c>
      <c r="F468" s="1785" t="s">
        <v>4127</v>
      </c>
      <c r="G468" s="1012"/>
      <c r="H468" s="1012"/>
      <c r="I468" s="1012"/>
      <c r="J468" s="1002">
        <v>632866.59</v>
      </c>
      <c r="K468" s="1013" t="s">
        <v>2921</v>
      </c>
      <c r="L468" s="594" t="s">
        <v>401</v>
      </c>
      <c r="M468" s="1786" t="s">
        <v>2824</v>
      </c>
      <c r="N468" s="1033" t="s">
        <v>4128</v>
      </c>
      <c r="O468" s="1033">
        <v>574000</v>
      </c>
      <c r="P468" s="1012"/>
      <c r="Q468" s="1013"/>
      <c r="R468" s="1787">
        <v>574000</v>
      </c>
      <c r="S468" s="1788">
        <v>44111</v>
      </c>
      <c r="T468" s="1013"/>
      <c r="U468" s="1013"/>
      <c r="V468" s="1012"/>
      <c r="W468" s="1012"/>
      <c r="X468" s="1012"/>
      <c r="Y468" s="1012"/>
      <c r="Z468" s="1012"/>
      <c r="AA468" s="1012"/>
      <c r="AB468" s="1012"/>
      <c r="AC468" s="580"/>
      <c r="AD468" s="1464"/>
      <c r="AE468" s="599"/>
      <c r="AF468" s="599"/>
      <c r="AG468" s="599"/>
      <c r="AH468" s="599"/>
    </row>
    <row r="469" spans="1:34" s="599" customFormat="1" ht="58.5" customHeight="1">
      <c r="B469" s="446" t="s">
        <v>4129</v>
      </c>
      <c r="C469" s="599" t="s">
        <v>2825</v>
      </c>
      <c r="D469" s="446" t="s">
        <v>2826</v>
      </c>
      <c r="F469" s="625">
        <v>25000</v>
      </c>
      <c r="G469" s="891"/>
      <c r="I469" s="1185"/>
      <c r="J469" s="1006">
        <v>25000</v>
      </c>
      <c r="K469" s="599" t="s">
        <v>2827</v>
      </c>
      <c r="L469" s="594" t="s">
        <v>401</v>
      </c>
      <c r="S469" s="624"/>
      <c r="T469" s="1140"/>
      <c r="U469" s="1140"/>
      <c r="V469" s="1372"/>
      <c r="W469" s="594"/>
      <c r="X469" s="1352"/>
      <c r="Y469" s="1353"/>
      <c r="AB469" s="580"/>
      <c r="AC469" s="1013"/>
      <c r="AD469" s="1012"/>
      <c r="AE469" s="1012"/>
      <c r="AF469" s="1012"/>
      <c r="AG469" s="1014"/>
      <c r="AH469" s="1014"/>
    </row>
    <row r="470" spans="1:34" s="599" customFormat="1" ht="49.5" customHeight="1">
      <c r="B470" s="2416" t="s">
        <v>4130</v>
      </c>
      <c r="C470" s="2483" t="s">
        <v>2828</v>
      </c>
      <c r="D470" s="2416" t="s">
        <v>4131</v>
      </c>
      <c r="E470" s="2542" t="s">
        <v>1435</v>
      </c>
      <c r="F470" s="2544" t="s">
        <v>2829</v>
      </c>
      <c r="G470" s="2542">
        <v>803000</v>
      </c>
      <c r="H470" s="2542">
        <v>803000</v>
      </c>
      <c r="I470" s="2559"/>
      <c r="J470" s="2542">
        <v>4708277.95</v>
      </c>
      <c r="K470" s="2548" t="s">
        <v>3413</v>
      </c>
      <c r="L470" s="2351" t="s">
        <v>4132</v>
      </c>
      <c r="M470" s="446" t="s">
        <v>2830</v>
      </c>
      <c r="N470" s="1975" t="s">
        <v>2831</v>
      </c>
      <c r="O470" s="1455" t="s">
        <v>2832</v>
      </c>
      <c r="S470" s="580"/>
      <c r="T470" s="1141"/>
      <c r="U470" s="1141"/>
      <c r="V470" s="1372"/>
      <c r="W470" s="446"/>
      <c r="X470" s="1762"/>
      <c r="Y470" s="1763"/>
      <c r="AB470" s="580"/>
      <c r="AC470" s="580"/>
      <c r="AD470" s="1464"/>
    </row>
    <row r="471" spans="1:34" s="599" customFormat="1" ht="45.75" customHeight="1">
      <c r="B471" s="2416"/>
      <c r="C471" s="2483"/>
      <c r="D471" s="2416"/>
      <c r="E471" s="2542"/>
      <c r="F471" s="2544"/>
      <c r="G471" s="2542"/>
      <c r="H471" s="2542"/>
      <c r="I471" s="2559"/>
      <c r="J471" s="2542"/>
      <c r="K471" s="2548"/>
      <c r="L471" s="2351"/>
      <c r="M471" s="446" t="s">
        <v>4133</v>
      </c>
      <c r="N471" s="991" t="s">
        <v>4134</v>
      </c>
      <c r="O471" s="1455">
        <v>116200</v>
      </c>
      <c r="Q471" s="599" t="s">
        <v>2833</v>
      </c>
      <c r="R471" s="599" t="s">
        <v>2834</v>
      </c>
      <c r="S471" s="581" t="s">
        <v>2835</v>
      </c>
      <c r="T471" s="1141"/>
      <c r="U471" s="1141"/>
      <c r="V471" s="1372"/>
      <c r="W471" s="446"/>
      <c r="X471" s="1762"/>
      <c r="Y471" s="1763"/>
      <c r="AB471" s="580"/>
      <c r="AC471" s="580"/>
      <c r="AD471" s="1464"/>
    </row>
    <row r="472" spans="1:34" s="599" customFormat="1" ht="35.25" customHeight="1">
      <c r="B472" s="2416"/>
      <c r="C472" s="2483"/>
      <c r="D472" s="2416"/>
      <c r="E472" s="2542"/>
      <c r="F472" s="2544"/>
      <c r="G472" s="2542"/>
      <c r="H472" s="2542"/>
      <c r="I472" s="2559"/>
      <c r="J472" s="2542"/>
      <c r="K472" s="2548"/>
      <c r="L472" s="2351"/>
      <c r="M472" s="446" t="s">
        <v>4135</v>
      </c>
      <c r="N472" s="991" t="s">
        <v>4136</v>
      </c>
      <c r="O472" s="1455">
        <v>120000</v>
      </c>
      <c r="Q472" s="1455" t="s">
        <v>3401</v>
      </c>
      <c r="R472" s="890"/>
      <c r="S472" s="581"/>
      <c r="T472" s="1141"/>
      <c r="U472" s="1141"/>
      <c r="V472" s="1372"/>
      <c r="W472" s="446"/>
      <c r="X472" s="1762"/>
      <c r="Y472" s="1763"/>
      <c r="AB472" s="580"/>
      <c r="AC472" s="580"/>
      <c r="AD472" s="1464"/>
    </row>
    <row r="473" spans="1:34" s="599" customFormat="1" ht="57.75" customHeight="1">
      <c r="B473" s="2416"/>
      <c r="C473" s="2483"/>
      <c r="D473" s="2416"/>
      <c r="E473" s="2542"/>
      <c r="F473" s="2544"/>
      <c r="G473" s="2542"/>
      <c r="H473" s="2542"/>
      <c r="I473" s="2559"/>
      <c r="J473" s="2542"/>
      <c r="K473" s="2548"/>
      <c r="L473" s="2351"/>
      <c r="M473" s="446" t="s">
        <v>4137</v>
      </c>
      <c r="N473" s="1418" t="s">
        <v>4138</v>
      </c>
      <c r="O473" s="1455">
        <v>100000</v>
      </c>
      <c r="Q473" s="599">
        <v>100000</v>
      </c>
      <c r="R473" s="599" t="s">
        <v>2836</v>
      </c>
      <c r="S473" s="581"/>
      <c r="T473" s="1141"/>
      <c r="U473" s="1141"/>
      <c r="V473" s="1372"/>
      <c r="W473" s="446"/>
      <c r="X473" s="1762"/>
      <c r="Y473" s="1763"/>
      <c r="AB473" s="580"/>
      <c r="AC473" s="580"/>
      <c r="AD473" s="1464"/>
    </row>
    <row r="474" spans="1:34" s="599" customFormat="1" ht="50.25" customHeight="1">
      <c r="B474" s="2351" t="s">
        <v>4139</v>
      </c>
      <c r="C474" s="2542" t="s">
        <v>2837</v>
      </c>
      <c r="D474" s="2351" t="s">
        <v>4140</v>
      </c>
      <c r="E474" s="965"/>
      <c r="F474" s="2509" t="s">
        <v>2878</v>
      </c>
      <c r="G474" s="965"/>
      <c r="H474" s="965"/>
      <c r="I474" s="1658"/>
      <c r="J474" s="478">
        <v>10024664.41</v>
      </c>
      <c r="K474" s="478" t="s">
        <v>2838</v>
      </c>
      <c r="L474" s="478" t="s">
        <v>401</v>
      </c>
      <c r="M474" s="446" t="s">
        <v>4141</v>
      </c>
      <c r="N474" s="446" t="s">
        <v>4142</v>
      </c>
      <c r="O474" s="580">
        <f>222200+111100</f>
        <v>333300</v>
      </c>
      <c r="Q474" s="599" t="s">
        <v>2839</v>
      </c>
      <c r="R474" s="1094" t="s">
        <v>2840</v>
      </c>
      <c r="S474" s="624"/>
      <c r="T474" s="1140"/>
      <c r="U474" s="1140"/>
      <c r="V474" s="1372"/>
      <c r="W474" s="594"/>
      <c r="X474" s="1352"/>
      <c r="Y474" s="1353"/>
      <c r="AB474" s="580"/>
      <c r="AC474" s="580"/>
      <c r="AD474" s="1464"/>
    </row>
    <row r="475" spans="1:34" s="599" customFormat="1" ht="56.25" customHeight="1">
      <c r="B475" s="2351"/>
      <c r="C475" s="2542"/>
      <c r="D475" s="2351"/>
      <c r="E475" s="965"/>
      <c r="F475" s="2509"/>
      <c r="G475" s="965"/>
      <c r="H475" s="965"/>
      <c r="I475" s="1658"/>
      <c r="J475" s="971"/>
      <c r="K475" s="971"/>
      <c r="L475" s="478"/>
      <c r="M475" s="1120" t="s">
        <v>2841</v>
      </c>
      <c r="N475" s="580" t="s">
        <v>1781</v>
      </c>
      <c r="O475" s="580" t="s">
        <v>2842</v>
      </c>
      <c r="P475" s="1120"/>
      <c r="Q475" s="1735" t="s">
        <v>2694</v>
      </c>
      <c r="R475" s="1736">
        <f>T475</f>
        <v>1342383</v>
      </c>
      <c r="S475" s="1737"/>
      <c r="T475" s="1738">
        <v>1342383</v>
      </c>
      <c r="U475" s="1140"/>
      <c r="V475" s="1372"/>
      <c r="W475" s="594"/>
      <c r="X475" s="1352"/>
      <c r="Y475" s="1353"/>
      <c r="AB475" s="580"/>
      <c r="AC475" s="580"/>
      <c r="AD475" s="1464"/>
    </row>
    <row r="476" spans="1:34" s="599" customFormat="1" ht="62.25" customHeight="1">
      <c r="B476" s="2351"/>
      <c r="C476" s="2542"/>
      <c r="D476" s="2351"/>
      <c r="E476" s="599" t="s">
        <v>2843</v>
      </c>
      <c r="F476" s="2509"/>
      <c r="G476" s="891" t="s">
        <v>2844</v>
      </c>
      <c r="I476" s="1185"/>
      <c r="J476" s="1006"/>
      <c r="L476" s="594"/>
      <c r="M476" s="1023" t="s">
        <v>4143</v>
      </c>
      <c r="N476" s="599" t="s">
        <v>4144</v>
      </c>
      <c r="O476" s="890">
        <v>786500</v>
      </c>
      <c r="P476" s="890" t="s">
        <v>2845</v>
      </c>
      <c r="Q476" s="599">
        <v>786500</v>
      </c>
      <c r="R476" s="599" t="s">
        <v>2846</v>
      </c>
      <c r="S476" s="624"/>
      <c r="T476" s="1140"/>
      <c r="U476" s="1140"/>
      <c r="V476" s="1372"/>
      <c r="W476" s="594"/>
      <c r="X476" s="1352"/>
      <c r="Y476" s="1353"/>
      <c r="AB476" s="580"/>
      <c r="AC476" s="580"/>
      <c r="AD476" s="1464"/>
    </row>
    <row r="477" spans="1:34" s="599" customFormat="1" ht="66.75" customHeight="1">
      <c r="B477" s="2416" t="s">
        <v>4145</v>
      </c>
      <c r="C477" s="2483" t="s">
        <v>2847</v>
      </c>
      <c r="D477" s="2416" t="s">
        <v>4146</v>
      </c>
      <c r="E477" s="2483" t="s">
        <v>1395</v>
      </c>
      <c r="F477" s="2545" t="s">
        <v>4147</v>
      </c>
      <c r="G477" s="891"/>
      <c r="I477" s="1185"/>
      <c r="J477" s="2416" t="s">
        <v>4896</v>
      </c>
      <c r="K477" s="2514" t="s">
        <v>4909</v>
      </c>
      <c r="L477" s="594"/>
      <c r="M477" s="1023" t="s">
        <v>4148</v>
      </c>
      <c r="N477" s="599" t="s">
        <v>2848</v>
      </c>
      <c r="O477" s="599">
        <f>30000+60000+30000</f>
        <v>120000</v>
      </c>
      <c r="P477" s="972" t="s">
        <v>2849</v>
      </c>
      <c r="Q477" s="599" t="s">
        <v>2850</v>
      </c>
      <c r="R477" s="599" t="s">
        <v>2851</v>
      </c>
      <c r="S477" s="624"/>
      <c r="T477" s="1140"/>
      <c r="U477" s="1140"/>
      <c r="V477" s="1372"/>
      <c r="W477" s="594"/>
      <c r="X477" s="1352"/>
      <c r="Y477" s="1353"/>
      <c r="AB477" s="580"/>
      <c r="AC477" s="580"/>
      <c r="AD477" s="1464"/>
    </row>
    <row r="478" spans="1:34" s="599" customFormat="1" ht="58.5" customHeight="1">
      <c r="B478" s="2503"/>
      <c r="C478" s="2484"/>
      <c r="D478" s="2503"/>
      <c r="E478" s="2484"/>
      <c r="F478" s="2546"/>
      <c r="G478" s="891"/>
      <c r="I478" s="1185"/>
      <c r="J478" s="2503"/>
      <c r="K478" s="2722"/>
      <c r="L478" s="594"/>
      <c r="M478" s="446" t="s">
        <v>2852</v>
      </c>
      <c r="N478" s="991" t="s">
        <v>2831</v>
      </c>
      <c r="O478" s="1455" t="s">
        <v>2853</v>
      </c>
      <c r="S478" s="624"/>
      <c r="T478" s="1140"/>
      <c r="U478" s="1140"/>
      <c r="V478" s="1372"/>
      <c r="W478" s="594"/>
      <c r="X478" s="1352"/>
      <c r="Y478" s="1353"/>
      <c r="AB478" s="580"/>
      <c r="AC478" s="580"/>
      <c r="AD478" s="1464"/>
    </row>
    <row r="479" spans="1:34" s="599" customFormat="1" ht="65.25" customHeight="1">
      <c r="B479" s="2503"/>
      <c r="C479" s="2484"/>
      <c r="D479" s="2503"/>
      <c r="E479" s="2484"/>
      <c r="F479" s="2546"/>
      <c r="G479" s="891"/>
      <c r="I479" s="1185"/>
      <c r="J479" s="2503"/>
      <c r="K479" s="2722"/>
      <c r="L479" s="594"/>
      <c r="M479" s="446" t="s">
        <v>4149</v>
      </c>
      <c r="N479" s="1020" t="s">
        <v>2854</v>
      </c>
      <c r="O479" s="1455"/>
      <c r="Q479" s="599">
        <v>236000</v>
      </c>
      <c r="R479" s="1789">
        <v>44162</v>
      </c>
      <c r="S479" s="624"/>
      <c r="T479" s="1140"/>
      <c r="U479" s="1140"/>
      <c r="V479" s="1372"/>
      <c r="W479" s="594"/>
      <c r="X479" s="1352"/>
      <c r="Y479" s="1353"/>
      <c r="AB479" s="580"/>
      <c r="AC479" s="580"/>
      <c r="AD479" s="1464"/>
    </row>
    <row r="480" spans="1:34" s="599" customFormat="1" ht="243" customHeight="1">
      <c r="B480" s="2417"/>
      <c r="C480" s="2476"/>
      <c r="D480" s="2417"/>
      <c r="E480" s="2476"/>
      <c r="F480" s="2547"/>
      <c r="G480" s="891"/>
      <c r="H480" s="599" t="s">
        <v>1551</v>
      </c>
      <c r="I480" s="1185">
        <f>25000                   +175000                      +5691462.94                      +2005000</f>
        <v>7896462.9400000004</v>
      </c>
      <c r="J480" s="2417"/>
      <c r="K480" s="2515"/>
      <c r="L480" s="594"/>
      <c r="M480" s="446" t="s">
        <v>4280</v>
      </c>
      <c r="N480" s="890" t="s">
        <v>2854</v>
      </c>
      <c r="O480" s="972">
        <f>111000+55500+33300+9000+150000+20800+165000+333300+148700+111100+244500+32200+37630+133300+222200</f>
        <v>1807530</v>
      </c>
      <c r="P480" s="892" t="s">
        <v>2855</v>
      </c>
      <c r="Q480" s="891" t="s">
        <v>2856</v>
      </c>
      <c r="R480" s="599" t="s">
        <v>2857</v>
      </c>
      <c r="S480" s="624"/>
      <c r="T480" s="1140"/>
      <c r="U480" s="1140"/>
      <c r="V480" s="1372"/>
      <c r="W480" s="594"/>
      <c r="X480" s="1352"/>
      <c r="Y480" s="1353"/>
      <c r="AB480" s="580"/>
      <c r="AC480" s="580"/>
      <c r="AD480" s="1464"/>
    </row>
    <row r="481" spans="1:40" s="1180" customFormat="1" ht="30.75" customHeight="1">
      <c r="A481" s="1170"/>
      <c r="B481" s="1172"/>
      <c r="C481" s="1172" t="s">
        <v>1102</v>
      </c>
      <c r="D481" s="1172"/>
      <c r="E481" s="1173"/>
      <c r="F481" s="1174"/>
      <c r="G481" s="1175"/>
      <c r="H481" s="1174"/>
      <c r="I481" s="1174"/>
      <c r="J481" s="1175"/>
      <c r="K481" s="1176"/>
      <c r="L481" s="1461"/>
      <c r="M481" s="1178"/>
      <c r="N481" s="1173"/>
      <c r="O481" s="1173"/>
      <c r="P481" s="1173"/>
      <c r="Q481" s="1176"/>
      <c r="R481" s="1176" t="s">
        <v>65</v>
      </c>
      <c r="S481" s="1176"/>
      <c r="T481" s="1176"/>
      <c r="U481" s="1176"/>
      <c r="V481" s="1128"/>
      <c r="W481" s="1128"/>
      <c r="X481" s="1128"/>
      <c r="Y481" s="1128"/>
      <c r="Z481" s="1128"/>
      <c r="AA481" s="1173"/>
      <c r="AB481" s="1173"/>
      <c r="AC481" s="1183"/>
      <c r="AD481" s="1498"/>
      <c r="AE481" s="741"/>
      <c r="AF481" s="741"/>
      <c r="AG481" s="741"/>
      <c r="AH481" s="741"/>
    </row>
    <row r="482" spans="1:40" s="973" customFormat="1" ht="101.25" customHeight="1">
      <c r="A482" s="599"/>
      <c r="B482" s="474" t="s">
        <v>2858</v>
      </c>
      <c r="C482" s="1030" t="s">
        <v>3052</v>
      </c>
      <c r="D482" s="474" t="s">
        <v>2859</v>
      </c>
      <c r="E482" s="965"/>
      <c r="F482" s="891">
        <v>100000</v>
      </c>
      <c r="G482" s="891"/>
      <c r="H482" s="891" t="s">
        <v>2860</v>
      </c>
      <c r="I482" s="1185"/>
      <c r="J482" s="1006">
        <v>100000</v>
      </c>
      <c r="K482" s="1094">
        <v>44298</v>
      </c>
      <c r="L482" s="594" t="s">
        <v>2895</v>
      </c>
      <c r="M482" s="599"/>
      <c r="N482" s="599"/>
      <c r="O482" s="599"/>
      <c r="P482" s="892"/>
      <c r="Q482" s="1790"/>
      <c r="R482" s="607"/>
      <c r="S482" s="1648"/>
      <c r="T482" s="1655"/>
      <c r="U482" s="1655"/>
      <c r="V482" s="1372"/>
      <c r="W482" s="594"/>
      <c r="X482" s="1352"/>
      <c r="Y482" s="1353"/>
      <c r="Z482" s="599"/>
      <c r="AA482" s="599"/>
      <c r="AB482" s="580"/>
      <c r="AC482" s="1128"/>
      <c r="AD482" s="1128"/>
      <c r="AE482" s="1128"/>
      <c r="AF482" s="1128"/>
      <c r="AG482" s="1128"/>
      <c r="AH482" s="1128"/>
      <c r="AI482" s="599"/>
      <c r="AJ482" s="599"/>
      <c r="AK482" s="599"/>
      <c r="AL482" s="599"/>
      <c r="AM482" s="599"/>
      <c r="AN482" s="599"/>
    </row>
    <row r="483" spans="1:40" s="973" customFormat="1" ht="36.75" customHeight="1">
      <c r="A483" s="599"/>
      <c r="B483" s="2416" t="s">
        <v>2861</v>
      </c>
      <c r="C483" s="2483" t="s">
        <v>2870</v>
      </c>
      <c r="D483" s="2416" t="s">
        <v>2862</v>
      </c>
      <c r="E483" s="2483"/>
      <c r="F483" s="2508" t="s">
        <v>4257</v>
      </c>
      <c r="G483" s="2483"/>
      <c r="H483" s="891"/>
      <c r="I483" s="1185"/>
      <c r="J483" s="1006"/>
      <c r="K483" s="1094"/>
      <c r="L483" s="594"/>
      <c r="M483" s="1882" t="s">
        <v>4258</v>
      </c>
      <c r="N483" s="599" t="s">
        <v>4256</v>
      </c>
      <c r="O483" s="599">
        <v>4780824.1399999997</v>
      </c>
      <c r="P483" s="892"/>
      <c r="Q483" s="892"/>
      <c r="R483" s="607"/>
      <c r="S483" s="1648"/>
      <c r="T483" s="1655"/>
      <c r="U483" s="1655"/>
      <c r="V483" s="1372"/>
      <c r="W483" s="594"/>
      <c r="X483" s="1352"/>
      <c r="Y483" s="1353"/>
      <c r="Z483" s="599"/>
      <c r="AA483" s="599"/>
      <c r="AB483" s="580"/>
      <c r="AC483" s="1128"/>
      <c r="AD483" s="1128"/>
      <c r="AE483" s="1128"/>
      <c r="AF483" s="1128"/>
      <c r="AG483" s="1128"/>
      <c r="AH483" s="1128"/>
      <c r="AI483" s="599"/>
      <c r="AJ483" s="599"/>
      <c r="AK483" s="599"/>
      <c r="AL483" s="599"/>
      <c r="AM483" s="599"/>
      <c r="AN483" s="599"/>
    </row>
    <row r="484" spans="1:40" ht="87.75" customHeight="1">
      <c r="A484" s="599"/>
      <c r="B484" s="2417"/>
      <c r="C484" s="2476"/>
      <c r="D484" s="2417"/>
      <c r="E484" s="2476"/>
      <c r="F484" s="2509"/>
      <c r="G484" s="2476"/>
      <c r="H484" s="1881">
        <v>7048174.0300000003</v>
      </c>
      <c r="I484" s="1185"/>
      <c r="J484" s="599"/>
      <c r="K484" s="599"/>
      <c r="L484" s="624" t="s">
        <v>2340</v>
      </c>
      <c r="M484" s="446" t="s">
        <v>4150</v>
      </c>
      <c r="N484" s="599" t="s">
        <v>2863</v>
      </c>
      <c r="O484" s="599">
        <f>270000                                   +112500</f>
        <v>382500</v>
      </c>
      <c r="P484" s="1762">
        <v>270000</v>
      </c>
      <c r="Q484" s="1883" t="s">
        <v>3057</v>
      </c>
      <c r="R484" s="1835" t="s">
        <v>3053</v>
      </c>
      <c r="S484" s="1887" t="s">
        <v>4260</v>
      </c>
      <c r="T484" s="1379"/>
      <c r="U484" s="1379"/>
      <c r="V484" s="1629"/>
      <c r="W484" s="1317"/>
      <c r="X484" s="1225"/>
      <c r="Y484" s="1756"/>
      <c r="Z484" s="741"/>
      <c r="AA484" s="599"/>
      <c r="AB484" s="580"/>
      <c r="AC484" s="580"/>
      <c r="AD484" s="1464"/>
      <c r="AE484" s="599"/>
      <c r="AF484" s="599"/>
      <c r="AG484" s="599"/>
      <c r="AH484" s="599"/>
      <c r="AI484" s="599"/>
      <c r="AJ484" s="599"/>
      <c r="AK484" s="599"/>
      <c r="AL484" s="599"/>
      <c r="AM484" s="599"/>
      <c r="AN484" s="599"/>
    </row>
    <row r="485" spans="1:40" ht="126.75" customHeight="1">
      <c r="A485" s="599"/>
      <c r="B485" s="446" t="s">
        <v>4309</v>
      </c>
      <c r="C485" s="599" t="s">
        <v>4151</v>
      </c>
      <c r="D485" s="599" t="s">
        <v>4152</v>
      </c>
      <c r="E485" s="599" t="s">
        <v>1327</v>
      </c>
      <c r="F485" s="1016">
        <v>335000</v>
      </c>
      <c r="G485" s="599"/>
      <c r="H485" s="599"/>
      <c r="I485" s="599"/>
      <c r="J485" s="599">
        <v>335000</v>
      </c>
      <c r="K485" s="599" t="s">
        <v>2882</v>
      </c>
      <c r="L485" s="446" t="s">
        <v>2895</v>
      </c>
      <c r="M485" s="599" t="s">
        <v>4153</v>
      </c>
      <c r="N485" s="599" t="s">
        <v>2884</v>
      </c>
      <c r="O485" s="599">
        <v>40000</v>
      </c>
      <c r="P485" s="599"/>
      <c r="Q485" s="599">
        <v>40000</v>
      </c>
      <c r="R485" s="599" t="s">
        <v>2885</v>
      </c>
      <c r="S485" s="599"/>
      <c r="T485" s="599"/>
      <c r="U485" s="599"/>
      <c r="V485" s="599"/>
      <c r="W485" s="599"/>
      <c r="X485" s="599"/>
      <c r="Y485" s="599"/>
      <c r="Z485" s="599"/>
      <c r="AA485" s="599"/>
      <c r="AB485" s="599"/>
      <c r="AC485" s="580"/>
      <c r="AD485" s="1464"/>
      <c r="AE485" s="599"/>
      <c r="AF485" s="599"/>
      <c r="AG485" s="599"/>
      <c r="AH485" s="599"/>
      <c r="AI485" s="599"/>
      <c r="AJ485" s="599"/>
      <c r="AK485" s="599"/>
      <c r="AL485" s="599"/>
      <c r="AM485" s="599"/>
      <c r="AN485" s="599"/>
    </row>
    <row r="486" spans="1:40" ht="104.25" customHeight="1">
      <c r="A486" s="599"/>
      <c r="B486" s="446" t="s">
        <v>2865</v>
      </c>
      <c r="C486" s="599" t="s">
        <v>2866</v>
      </c>
      <c r="D486" s="446" t="s">
        <v>2915</v>
      </c>
      <c r="E486" s="599" t="s">
        <v>2867</v>
      </c>
      <c r="F486" s="625">
        <v>296000</v>
      </c>
      <c r="G486" s="891"/>
      <c r="H486" s="599"/>
      <c r="I486" s="1185"/>
      <c r="J486" s="1006">
        <v>296000</v>
      </c>
      <c r="K486" s="1094">
        <v>44281</v>
      </c>
      <c r="L486" s="446" t="s">
        <v>2895</v>
      </c>
      <c r="M486" s="890" t="s">
        <v>4154</v>
      </c>
      <c r="N486" s="599"/>
      <c r="O486" s="599">
        <v>200000</v>
      </c>
      <c r="P486" s="599"/>
      <c r="Q486" s="1884" t="s">
        <v>3200</v>
      </c>
      <c r="R486" s="1885" t="s">
        <v>3201</v>
      </c>
      <c r="S486" s="1648"/>
      <c r="T486" s="1655"/>
      <c r="U486" s="1655"/>
      <c r="V486" s="1578"/>
      <c r="W486" s="1694"/>
      <c r="X486" s="1580"/>
      <c r="Y486" s="1805"/>
      <c r="Z486" s="607"/>
      <c r="AA486" s="607"/>
      <c r="AB486" s="1344"/>
      <c r="AC486" s="1665" t="s">
        <v>2864</v>
      </c>
      <c r="AD486" s="1665" t="s">
        <v>2864</v>
      </c>
      <c r="AE486" s="1665" t="s">
        <v>2864</v>
      </c>
      <c r="AF486" s="1665" t="s">
        <v>2864</v>
      </c>
      <c r="AG486" s="1665" t="s">
        <v>2864</v>
      </c>
      <c r="AH486" s="1665" t="s">
        <v>2864</v>
      </c>
    </row>
    <row r="487" spans="1:40" ht="31.5" customHeight="1">
      <c r="A487" s="599"/>
      <c r="B487" s="822"/>
      <c r="C487" s="741"/>
      <c r="D487" s="822"/>
      <c r="E487" s="2483"/>
      <c r="F487" s="1124"/>
      <c r="G487" s="741"/>
      <c r="H487" s="2483"/>
      <c r="I487" s="1124"/>
      <c r="J487" s="1159"/>
      <c r="K487" s="1094"/>
      <c r="L487" s="446"/>
      <c r="M487" s="1880" t="s">
        <v>4264</v>
      </c>
      <c r="N487" s="599" t="s">
        <v>4265</v>
      </c>
      <c r="O487" s="599">
        <v>4622916</v>
      </c>
      <c r="P487" s="599" t="s">
        <v>4266</v>
      </c>
      <c r="Q487" s="1884"/>
      <c r="R487" s="1885"/>
      <c r="S487" s="1648"/>
      <c r="T487" s="1655"/>
      <c r="U487" s="1655"/>
      <c r="V487" s="1578"/>
      <c r="W487" s="1694"/>
      <c r="X487" s="1580"/>
      <c r="Y487" s="1805"/>
      <c r="Z487" s="607"/>
      <c r="AA487" s="607"/>
      <c r="AB487" s="1344"/>
      <c r="AC487" s="1665"/>
      <c r="AD487" s="1888"/>
      <c r="AE487" s="1665"/>
      <c r="AF487" s="1888"/>
      <c r="AG487" s="1665"/>
      <c r="AH487" s="1665"/>
    </row>
    <row r="488" spans="1:40" ht="202.5" customHeight="1">
      <c r="A488" s="599"/>
      <c r="B488" s="1099" t="s">
        <v>2874</v>
      </c>
      <c r="C488" s="899" t="s">
        <v>4155</v>
      </c>
      <c r="D488" s="606" t="s">
        <v>2873</v>
      </c>
      <c r="E488" s="2484"/>
      <c r="F488" s="1200" t="s">
        <v>3357</v>
      </c>
      <c r="G488" s="899" t="s">
        <v>3154</v>
      </c>
      <c r="H488" s="2484"/>
      <c r="I488" s="1200">
        <v>11578000</v>
      </c>
      <c r="J488" s="1199" t="s">
        <v>3530</v>
      </c>
      <c r="K488" s="1016"/>
      <c r="L488" s="1792">
        <f>O488+O487+O489+O490+O491+O492</f>
        <v>9368790.8599999994</v>
      </c>
      <c r="M488" s="890" t="s">
        <v>4156</v>
      </c>
      <c r="N488" s="599" t="s">
        <v>3028</v>
      </c>
      <c r="O488" s="1016">
        <f>347000                                    +150000+91400                         +150000                        +54000                          +388900                      +64500                                    +64500                                      +388900</f>
        <v>1699200</v>
      </c>
      <c r="P488" s="580">
        <v>347000</v>
      </c>
      <c r="Q488" s="1752" t="s">
        <v>3048</v>
      </c>
      <c r="R488" s="1889" t="s">
        <v>4305</v>
      </c>
      <c r="S488" s="1855" t="s">
        <v>4304</v>
      </c>
      <c r="T488" s="1140" t="s">
        <v>4157</v>
      </c>
      <c r="U488" s="1904" t="s">
        <v>4306</v>
      </c>
      <c r="V488" s="1526"/>
      <c r="W488" s="1052"/>
      <c r="X488" s="1355"/>
      <c r="Y488" s="1353"/>
      <c r="Z488" s="599"/>
      <c r="AA488" s="599"/>
      <c r="AB488" s="580"/>
      <c r="AC488" s="890"/>
      <c r="AD488" s="1080"/>
      <c r="AE488" s="890"/>
      <c r="AF488" s="1080"/>
      <c r="AG488" s="890"/>
      <c r="AH488" s="890"/>
    </row>
    <row r="489" spans="1:40" ht="62.25" customHeight="1">
      <c r="A489" s="599"/>
      <c r="B489" s="606"/>
      <c r="C489" s="899"/>
      <c r="D489" s="606"/>
      <c r="E489" s="2484"/>
      <c r="F489" s="1200"/>
      <c r="G489" s="899"/>
      <c r="H489" s="2484"/>
      <c r="I489" s="1200"/>
      <c r="J489" s="1199"/>
      <c r="K489" s="2057" t="s">
        <v>401</v>
      </c>
      <c r="L489" s="594" t="s">
        <v>3023</v>
      </c>
      <c r="M489" s="599" t="s">
        <v>4158</v>
      </c>
      <c r="N489" s="599" t="s">
        <v>3029</v>
      </c>
      <c r="O489" s="1016">
        <f>200000                                        +540000</f>
        <v>740000</v>
      </c>
      <c r="P489" s="890"/>
      <c r="Q489" s="1752" t="s">
        <v>3027</v>
      </c>
      <c r="R489" s="1794" t="s">
        <v>4159</v>
      </c>
      <c r="S489" s="1795"/>
      <c r="T489" s="1140"/>
      <c r="U489" s="1140"/>
      <c r="V489" s="1526"/>
      <c r="W489" s="1052"/>
      <c r="X489" s="1355"/>
      <c r="Y489" s="1353"/>
      <c r="Z489" s="599"/>
      <c r="AA489" s="599"/>
      <c r="AB489" s="580"/>
      <c r="AC489" s="890"/>
      <c r="AD489" s="1080"/>
      <c r="AE489" s="890"/>
      <c r="AF489" s="1080"/>
      <c r="AG489" s="890"/>
      <c r="AH489" s="890"/>
    </row>
    <row r="490" spans="1:40" ht="70.5" customHeight="1">
      <c r="A490" s="599"/>
      <c r="B490" s="606"/>
      <c r="C490" s="899"/>
      <c r="D490" s="606"/>
      <c r="E490" s="2484"/>
      <c r="F490" s="1200"/>
      <c r="G490" s="899"/>
      <c r="H490" s="2484"/>
      <c r="I490" s="1200"/>
      <c r="J490" s="1199"/>
      <c r="K490" s="1038"/>
      <c r="L490" s="1890" t="s">
        <v>3333</v>
      </c>
      <c r="M490" s="599" t="s">
        <v>4160</v>
      </c>
      <c r="N490" s="599" t="s">
        <v>3132</v>
      </c>
      <c r="O490" s="1016">
        <v>914454.86</v>
      </c>
      <c r="P490" s="599"/>
      <c r="Q490" s="599">
        <v>914454.86</v>
      </c>
      <c r="R490" s="1042" t="s">
        <v>3389</v>
      </c>
      <c r="S490" s="1795"/>
      <c r="T490" s="1140"/>
      <c r="U490" s="1140"/>
      <c r="V490" s="1526"/>
      <c r="W490" s="1052"/>
      <c r="X490" s="1355"/>
      <c r="Y490" s="1353"/>
      <c r="Z490" s="599"/>
      <c r="AA490" s="599"/>
      <c r="AB490" s="580"/>
      <c r="AC490" s="890"/>
      <c r="AD490" s="1080"/>
      <c r="AE490" s="890"/>
      <c r="AF490" s="1080"/>
      <c r="AG490" s="890"/>
      <c r="AH490" s="890"/>
    </row>
    <row r="491" spans="1:40" ht="69" customHeight="1">
      <c r="A491" s="599"/>
      <c r="B491" s="823"/>
      <c r="C491" s="607"/>
      <c r="D491" s="823"/>
      <c r="E491" s="2476"/>
      <c r="F491" s="1105"/>
      <c r="G491" s="607"/>
      <c r="H491" s="2476"/>
      <c r="I491" s="1105"/>
      <c r="J491" s="1186"/>
      <c r="K491" s="1016" t="s">
        <v>3131</v>
      </c>
      <c r="L491" s="1796">
        <f>O488+O489+O491+O490+O487</f>
        <v>9268790.8599999994</v>
      </c>
      <c r="M491" s="446" t="s">
        <v>4275</v>
      </c>
      <c r="N491" s="599" t="s">
        <v>3029</v>
      </c>
      <c r="O491" s="1016">
        <f>450000                             +393260                           +224800                  +224160</f>
        <v>1292220</v>
      </c>
      <c r="P491" s="890">
        <v>450000</v>
      </c>
      <c r="Q491" s="1042" t="s">
        <v>2981</v>
      </c>
      <c r="R491" s="1791" t="s">
        <v>4161</v>
      </c>
      <c r="S491" s="1797"/>
      <c r="T491" s="1140"/>
      <c r="U491" s="1140"/>
      <c r="V491" s="1526"/>
      <c r="W491" s="1052"/>
      <c r="X491" s="1355"/>
      <c r="Y491" s="1353"/>
      <c r="Z491" s="599"/>
      <c r="AA491" s="599"/>
      <c r="AB491" s="580"/>
      <c r="AC491" s="890"/>
      <c r="AD491" s="1080"/>
      <c r="AE491" s="890"/>
      <c r="AF491" s="1080"/>
      <c r="AG491" s="890"/>
      <c r="AH491" s="890"/>
    </row>
    <row r="492" spans="1:40" ht="72.75" customHeight="1">
      <c r="A492" s="599"/>
      <c r="B492" s="446" t="s">
        <v>2908</v>
      </c>
      <c r="C492" s="599" t="s">
        <v>2906</v>
      </c>
      <c r="D492" s="446" t="s">
        <v>2905</v>
      </c>
      <c r="E492" s="599"/>
      <c r="F492" s="625" t="s">
        <v>2907</v>
      </c>
      <c r="G492" s="891"/>
      <c r="H492" s="599"/>
      <c r="I492" s="1055">
        <v>597940.56999999995</v>
      </c>
      <c r="J492" s="1094">
        <v>44355</v>
      </c>
      <c r="K492" s="2057" t="s">
        <v>401</v>
      </c>
      <c r="L492" s="594" t="s">
        <v>401</v>
      </c>
      <c r="M492" s="599" t="s">
        <v>4162</v>
      </c>
      <c r="N492" s="599"/>
      <c r="O492" s="599">
        <f>50000+50000</f>
        <v>100000</v>
      </c>
      <c r="P492" s="599"/>
      <c r="Q492" s="1752" t="s">
        <v>4381</v>
      </c>
      <c r="R492" s="890" t="s">
        <v>4382</v>
      </c>
      <c r="S492" s="624"/>
      <c r="T492" s="1140"/>
      <c r="U492" s="1140"/>
      <c r="V492" s="1526"/>
      <c r="W492" s="1052"/>
      <c r="X492" s="1355"/>
      <c r="Y492" s="1353"/>
      <c r="Z492" s="599"/>
      <c r="AA492" s="599"/>
      <c r="AB492" s="580"/>
      <c r="AC492" s="580"/>
      <c r="AD492" s="1465"/>
      <c r="AE492" s="599"/>
      <c r="AF492" s="984"/>
      <c r="AG492" s="599"/>
      <c r="AH492" s="599"/>
    </row>
    <row r="493" spans="1:40" ht="52.5" customHeight="1">
      <c r="A493" s="599"/>
      <c r="B493" s="2416" t="s">
        <v>3531</v>
      </c>
      <c r="C493" s="2483" t="s">
        <v>3054</v>
      </c>
      <c r="D493" s="2416" t="s">
        <v>3055</v>
      </c>
      <c r="E493" s="2483">
        <v>7050789</v>
      </c>
      <c r="F493" s="2508" t="s">
        <v>4163</v>
      </c>
      <c r="G493" s="2483" t="s">
        <v>3056</v>
      </c>
      <c r="H493" s="2516" t="s">
        <v>4552</v>
      </c>
      <c r="I493" s="2483">
        <f>340000                      +144500                                     +70000                         +39230                                 +333600                                   +55600                               + 261680                                 +9720                         +170280                             +248800                                               +166700                                                   +55500                                                        +609700                                                      +75300                                    +636700                            +211100                  +166700</f>
        <v>3595110</v>
      </c>
      <c r="J493" s="2541" t="s">
        <v>4903</v>
      </c>
      <c r="K493" s="2537" t="s">
        <v>4902</v>
      </c>
      <c r="L493" s="594"/>
      <c r="M493" s="890" t="s">
        <v>3543</v>
      </c>
      <c r="N493" s="446"/>
      <c r="O493" s="599">
        <f>488400                   +499980                             +147720</f>
        <v>1136100</v>
      </c>
      <c r="P493" s="890"/>
      <c r="Q493" s="1042"/>
      <c r="R493" s="599">
        <f>488400                   +499980                             +147720</f>
        <v>1136100</v>
      </c>
      <c r="S493" s="581" t="s">
        <v>3181</v>
      </c>
      <c r="T493" s="1140"/>
      <c r="U493" s="1140"/>
      <c r="V493" s="1526"/>
      <c r="W493" s="1052"/>
      <c r="X493" s="1355"/>
      <c r="Y493" s="1353"/>
      <c r="Z493" s="599"/>
      <c r="AA493" s="599"/>
      <c r="AB493" s="580"/>
      <c r="AE493" s="599"/>
      <c r="AF493" s="984"/>
      <c r="AG493" s="599"/>
      <c r="AH493" s="599"/>
    </row>
    <row r="494" spans="1:40" ht="295.5" customHeight="1">
      <c r="A494" s="599"/>
      <c r="B494" s="2503"/>
      <c r="C494" s="2484"/>
      <c r="D494" s="2503"/>
      <c r="E494" s="2484"/>
      <c r="F494" s="2513"/>
      <c r="G494" s="2484"/>
      <c r="H494" s="2540"/>
      <c r="I494" s="2484"/>
      <c r="J494" s="2538"/>
      <c r="K494" s="2538"/>
      <c r="L494" s="1792"/>
      <c r="M494" s="599" t="s">
        <v>4459</v>
      </c>
      <c r="N494" s="446" t="s">
        <v>3356</v>
      </c>
      <c r="O494" s="1893">
        <f>340000                      +144500                                     +70000                         +39230                                 +333600                                   +55600                               + 261680                                 +9720                         +170280                             +248800                                               +166700                                                   +55500                                                        +60970                                                      +75300                                    +609700                            +211100                               +166700                               +333400                                            +166700                                   +166700                                  +333400</f>
        <v>4019580</v>
      </c>
      <c r="P494" s="580" t="s">
        <v>4437</v>
      </c>
      <c r="Q494" s="1798" t="s">
        <v>4164</v>
      </c>
      <c r="R494" s="1876" t="s">
        <v>4454</v>
      </c>
      <c r="S494" s="597" t="s">
        <v>4452</v>
      </c>
      <c r="T494" s="1799">
        <f>3459500-O494</f>
        <v>-560080</v>
      </c>
      <c r="U494" s="1800" t="s">
        <v>3336</v>
      </c>
      <c r="V494" s="1801" t="s">
        <v>4455</v>
      </c>
      <c r="W494" s="1946">
        <f>O494-3459500</f>
        <v>560080</v>
      </c>
      <c r="X494" s="1355"/>
      <c r="Y494" s="1353"/>
      <c r="Z494" s="599"/>
      <c r="AA494" s="599"/>
      <c r="AB494" s="580"/>
      <c r="AE494" s="599"/>
      <c r="AF494" s="984"/>
      <c r="AG494" s="599"/>
      <c r="AH494" s="599"/>
    </row>
    <row r="495" spans="1:40" ht="42" customHeight="1">
      <c r="A495" s="599"/>
      <c r="B495" s="2503"/>
      <c r="C495" s="2484"/>
      <c r="D495" s="2503"/>
      <c r="E495" s="2484"/>
      <c r="F495" s="2513"/>
      <c r="G495" s="2484"/>
      <c r="H495" s="2540"/>
      <c r="I495" s="2484"/>
      <c r="J495" s="2538"/>
      <c r="K495" s="2538"/>
      <c r="L495" s="594"/>
      <c r="M495" s="599" t="s">
        <v>3172</v>
      </c>
      <c r="N495" s="599" t="s">
        <v>2913</v>
      </c>
      <c r="O495" s="599">
        <v>70000</v>
      </c>
      <c r="P495" s="890"/>
      <c r="Q495" s="1042">
        <v>70000</v>
      </c>
      <c r="R495" s="1094">
        <v>44510</v>
      </c>
      <c r="S495" s="1299"/>
      <c r="T495" s="1140"/>
      <c r="U495" s="1140"/>
      <c r="V495" s="1526"/>
      <c r="W495" s="1052"/>
      <c r="X495" s="1355"/>
      <c r="Y495" s="1353"/>
      <c r="Z495" s="599"/>
      <c r="AA495" s="599"/>
      <c r="AB495" s="580"/>
      <c r="AE495" s="599"/>
      <c r="AF495" s="984"/>
      <c r="AG495" s="599"/>
      <c r="AH495" s="599"/>
    </row>
    <row r="496" spans="1:40" ht="90" customHeight="1">
      <c r="A496" s="599"/>
      <c r="B496" s="2503"/>
      <c r="C496" s="2484"/>
      <c r="D496" s="2503"/>
      <c r="E496" s="2484"/>
      <c r="F496" s="2513"/>
      <c r="G496" s="2484"/>
      <c r="H496" s="2540"/>
      <c r="I496" s="2484"/>
      <c r="J496" s="2538"/>
      <c r="K496" s="2538"/>
      <c r="L496" s="1792"/>
      <c r="M496" s="599" t="s">
        <v>4450</v>
      </c>
      <c r="N496" s="599" t="s">
        <v>3228</v>
      </c>
      <c r="O496" s="599">
        <f>498300                             +430000</f>
        <v>928300</v>
      </c>
      <c r="P496" s="890" t="s">
        <v>3231</v>
      </c>
      <c r="Q496" s="1752" t="s">
        <v>4226</v>
      </c>
      <c r="R496" s="1821" t="s">
        <v>4283</v>
      </c>
      <c r="S496" s="1802"/>
      <c r="T496" s="1140">
        <f>O493+O496+O494+O495+P497</f>
        <v>13204756.15</v>
      </c>
      <c r="U496" s="1803"/>
      <c r="V496" s="1526"/>
      <c r="W496" s="1052"/>
      <c r="X496" s="1355"/>
      <c r="Y496" s="1353"/>
      <c r="Z496" s="599"/>
      <c r="AA496" s="599"/>
      <c r="AB496" s="580"/>
      <c r="AE496" s="599"/>
      <c r="AF496" s="984"/>
      <c r="AG496" s="599"/>
      <c r="AH496" s="599"/>
    </row>
    <row r="497" spans="1:34" ht="60" customHeight="1">
      <c r="A497" s="599"/>
      <c r="B497" s="2417"/>
      <c r="C497" s="2476"/>
      <c r="D497" s="2417"/>
      <c r="E497" s="2476"/>
      <c r="F497" s="2509"/>
      <c r="G497" s="2476"/>
      <c r="H497" s="2517"/>
      <c r="I497" s="2476"/>
      <c r="J497" s="2539"/>
      <c r="K497" s="2539"/>
      <c r="L497" s="1804"/>
      <c r="M497" s="599" t="s">
        <v>3542</v>
      </c>
      <c r="N497" s="599" t="s">
        <v>3110</v>
      </c>
      <c r="O497" s="599" t="s">
        <v>3111</v>
      </c>
      <c r="P497" s="1744">
        <v>7050776.1500000004</v>
      </c>
      <c r="Q497" s="1877">
        <v>44642</v>
      </c>
      <c r="R497" s="599"/>
      <c r="S497" s="624"/>
      <c r="T497" s="1140"/>
      <c r="U497" s="1140"/>
      <c r="V497" s="1526"/>
      <c r="W497" s="1052"/>
      <c r="X497" s="1355"/>
      <c r="Y497" s="1353"/>
      <c r="Z497" s="599"/>
      <c r="AA497" s="599"/>
      <c r="AB497" s="580"/>
      <c r="AC497" s="580"/>
      <c r="AD497" s="1465"/>
      <c r="AE497" s="599"/>
      <c r="AF497" s="984"/>
      <c r="AG497" s="599"/>
      <c r="AH497" s="599"/>
    </row>
    <row r="498" spans="1:34" ht="45.75" customHeight="1">
      <c r="A498" s="599"/>
      <c r="B498" s="2416" t="s">
        <v>4403</v>
      </c>
      <c r="C498" s="2483" t="s">
        <v>2871</v>
      </c>
      <c r="D498" s="2416" t="s">
        <v>2909</v>
      </c>
      <c r="E498" s="2483"/>
      <c r="F498" s="2508" t="s">
        <v>2872</v>
      </c>
      <c r="G498" s="2416"/>
      <c r="H498" s="2483">
        <v>7922229.7599999998</v>
      </c>
      <c r="I498" s="2518"/>
      <c r="J498" s="2537" t="s">
        <v>4509</v>
      </c>
      <c r="K498" s="2485" t="s">
        <v>4510</v>
      </c>
      <c r="L498" s="2364" t="s">
        <v>4500</v>
      </c>
      <c r="M498" s="599" t="s">
        <v>3005</v>
      </c>
      <c r="N498" s="599" t="s">
        <v>4165</v>
      </c>
      <c r="O498" s="599" t="s">
        <v>3004</v>
      </c>
      <c r="P498" s="599">
        <v>1008847.39</v>
      </c>
      <c r="Q498" s="1590"/>
      <c r="R498" s="2531">
        <f>P498+P499</f>
        <v>5909254.1599999992</v>
      </c>
      <c r="S498" s="624"/>
      <c r="T498" s="1655"/>
      <c r="U498" s="1655"/>
      <c r="V498" s="1578"/>
      <c r="W498" s="1694"/>
      <c r="X498" s="1580"/>
      <c r="Y498" s="1805"/>
      <c r="Z498" s="607"/>
      <c r="AA498" s="607"/>
      <c r="AB498" s="1344"/>
      <c r="AC498" s="580"/>
      <c r="AD498" s="1465"/>
      <c r="AE498" s="599"/>
      <c r="AF498" s="984"/>
      <c r="AG498" s="599"/>
      <c r="AH498" s="599"/>
    </row>
    <row r="499" spans="1:34" ht="69.75" customHeight="1">
      <c r="A499" s="599"/>
      <c r="B499" s="2503"/>
      <c r="C499" s="2484"/>
      <c r="D499" s="2503"/>
      <c r="E499" s="2484"/>
      <c r="F499" s="2513"/>
      <c r="G499" s="2503"/>
      <c r="H499" s="2484"/>
      <c r="I499" s="2519"/>
      <c r="J499" s="2538"/>
      <c r="K499" s="2486"/>
      <c r="L499" s="2365"/>
      <c r="M499" s="599" t="s">
        <v>2879</v>
      </c>
      <c r="N499" s="599" t="s">
        <v>4166</v>
      </c>
      <c r="O499" s="599" t="s">
        <v>2880</v>
      </c>
      <c r="P499" s="599">
        <v>4900406.7699999996</v>
      </c>
      <c r="Q499" s="1590"/>
      <c r="R499" s="2536"/>
      <c r="S499" s="624"/>
      <c r="T499" s="1655"/>
      <c r="U499" s="1655"/>
      <c r="V499" s="1578"/>
      <c r="W499" s="1694"/>
      <c r="X499" s="1580"/>
      <c r="Y499" s="1805"/>
      <c r="Z499" s="607"/>
      <c r="AA499" s="607"/>
      <c r="AB499" s="1344"/>
      <c r="AC499" s="580"/>
      <c r="AD499" s="1465"/>
      <c r="AE499" s="599"/>
      <c r="AF499" s="984"/>
      <c r="AG499" s="599"/>
      <c r="AH499" s="599"/>
    </row>
    <row r="500" spans="1:34" ht="93.75" customHeight="1">
      <c r="A500" s="599"/>
      <c r="B500" s="2503"/>
      <c r="C500" s="2484"/>
      <c r="D500" s="2503"/>
      <c r="E500" s="2484"/>
      <c r="F500" s="2513"/>
      <c r="G500" s="2503"/>
      <c r="H500" s="2484"/>
      <c r="I500" s="2519"/>
      <c r="J500" s="2538"/>
      <c r="K500" s="2486"/>
      <c r="L500" s="2365"/>
      <c r="M500" s="599" t="s">
        <v>4221</v>
      </c>
      <c r="N500" s="890" t="s">
        <v>3214</v>
      </c>
      <c r="O500" s="599">
        <f>320000                          +176600                                         +222200</f>
        <v>718800</v>
      </c>
      <c r="P500" s="890"/>
      <c r="Q500" s="892" t="s">
        <v>4419</v>
      </c>
      <c r="R500" s="1806" t="s">
        <v>4167</v>
      </c>
      <c r="S500" s="624" t="s">
        <v>4225</v>
      </c>
      <c r="T500" s="1655" t="s">
        <v>4420</v>
      </c>
      <c r="U500" s="1655"/>
      <c r="V500" s="1578"/>
      <c r="W500" s="1694"/>
      <c r="X500" s="1580"/>
      <c r="Y500" s="1805"/>
      <c r="Z500" s="607"/>
      <c r="AA500" s="607"/>
      <c r="AB500" s="1344"/>
      <c r="AC500" s="580"/>
      <c r="AD500" s="1465"/>
      <c r="AE500" s="599"/>
      <c r="AF500" s="984"/>
      <c r="AG500" s="599"/>
      <c r="AH500" s="599"/>
    </row>
    <row r="501" spans="1:34" ht="85.5" customHeight="1">
      <c r="A501" s="599"/>
      <c r="B501" s="2417"/>
      <c r="C501" s="2476"/>
      <c r="D501" s="2417"/>
      <c r="E501" s="2476"/>
      <c r="F501" s="2509"/>
      <c r="G501" s="2417"/>
      <c r="H501" s="2476"/>
      <c r="I501" s="2520"/>
      <c r="J501" s="2539"/>
      <c r="K501" s="2487"/>
      <c r="L501" s="2366"/>
      <c r="M501" s="446" t="s">
        <v>4426</v>
      </c>
      <c r="N501" s="890" t="s">
        <v>2863</v>
      </c>
      <c r="O501" s="1938">
        <f>200000                                 +300000                              +455800                                             +386500                                  +301100</f>
        <v>1643400</v>
      </c>
      <c r="P501" s="890" t="s">
        <v>4422</v>
      </c>
      <c r="Q501" s="1866" t="s">
        <v>4424</v>
      </c>
      <c r="R501" s="1936" t="s">
        <v>4423</v>
      </c>
      <c r="S501" s="1964" t="s">
        <v>4425</v>
      </c>
      <c r="T501" s="2700" t="s">
        <v>4421</v>
      </c>
      <c r="U501" s="2701"/>
      <c r="V501" s="1865"/>
      <c r="W501" s="1694"/>
      <c r="X501" s="1580"/>
      <c r="Y501" s="1805"/>
      <c r="Z501" s="607"/>
      <c r="AA501" s="607"/>
      <c r="AB501" s="1344"/>
      <c r="AC501" s="580"/>
      <c r="AD501" s="1465"/>
      <c r="AE501" s="599"/>
      <c r="AF501" s="984"/>
      <c r="AG501" s="599"/>
      <c r="AH501" s="599"/>
    </row>
    <row r="502" spans="1:34" ht="51.75" customHeight="1">
      <c r="A502" s="599"/>
      <c r="B502" s="474"/>
      <c r="C502" s="2483" t="s">
        <v>4168</v>
      </c>
      <c r="D502" s="2416" t="s">
        <v>4169</v>
      </c>
      <c r="E502" s="2483" t="s">
        <v>1657</v>
      </c>
      <c r="F502" s="2508" t="s">
        <v>2985</v>
      </c>
      <c r="G502" s="2483"/>
      <c r="H502" s="2483">
        <v>2042975</v>
      </c>
      <c r="I502" s="2518"/>
      <c r="J502" s="2715">
        <v>2873250</v>
      </c>
      <c r="K502" s="2483" t="s">
        <v>4272</v>
      </c>
      <c r="L502" s="2549" t="s">
        <v>3525</v>
      </c>
      <c r="M502" s="1807" t="s">
        <v>3216</v>
      </c>
      <c r="N502" s="1808" t="s">
        <v>2377</v>
      </c>
      <c r="O502" s="1809">
        <v>30000</v>
      </c>
      <c r="P502" s="1808"/>
      <c r="Q502" s="1808" t="s">
        <v>3215</v>
      </c>
      <c r="R502" s="1810"/>
      <c r="S502" s="1299"/>
      <c r="T502" s="1655"/>
      <c r="U502" s="1655"/>
      <c r="V502" s="1578"/>
      <c r="W502" s="1694"/>
      <c r="X502" s="1580"/>
      <c r="Y502" s="1805"/>
      <c r="Z502" s="607"/>
      <c r="AA502" s="607"/>
      <c r="AB502" s="1344"/>
      <c r="AC502" s="1344"/>
      <c r="AD502" s="1510"/>
      <c r="AE502" s="607"/>
      <c r="AF502" s="1088"/>
      <c r="AG502" s="607"/>
      <c r="AH502" s="607"/>
    </row>
    <row r="503" spans="1:34" ht="65.25" customHeight="1">
      <c r="A503" s="599"/>
      <c r="B503" s="606"/>
      <c r="C503" s="2484"/>
      <c r="D503" s="2503"/>
      <c r="E503" s="2484"/>
      <c r="F503" s="2513"/>
      <c r="G503" s="2484"/>
      <c r="H503" s="2484"/>
      <c r="I503" s="2519"/>
      <c r="J503" s="2716"/>
      <c r="K503" s="2484"/>
      <c r="L503" s="2550"/>
      <c r="M503" s="446" t="s">
        <v>4170</v>
      </c>
      <c r="N503" s="599">
        <f>71000                                      +220000</f>
        <v>291000</v>
      </c>
      <c r="O503" s="599"/>
      <c r="P503" s="890" t="s">
        <v>3493</v>
      </c>
      <c r="Q503" s="892" t="s">
        <v>3051</v>
      </c>
      <c r="R503" s="1811" t="s">
        <v>2954</v>
      </c>
      <c r="S503" s="1299"/>
      <c r="T503" s="1655"/>
      <c r="U503" s="1655"/>
      <c r="V503" s="1578"/>
      <c r="W503" s="1694"/>
      <c r="X503" s="1580"/>
      <c r="Y503" s="1805"/>
      <c r="Z503" s="607"/>
      <c r="AA503" s="607"/>
      <c r="AB503" s="1344"/>
      <c r="AC503" s="1344"/>
      <c r="AD503" s="1510"/>
      <c r="AE503" s="607"/>
      <c r="AF503" s="1088"/>
      <c r="AG503" s="607"/>
      <c r="AH503" s="607"/>
    </row>
    <row r="504" spans="1:34" ht="80.25" customHeight="1">
      <c r="A504" s="599"/>
      <c r="B504" s="606"/>
      <c r="C504" s="2484"/>
      <c r="D504" s="2503"/>
      <c r="E504" s="2484"/>
      <c r="F504" s="2513"/>
      <c r="G504" s="2484"/>
      <c r="H504" s="2484"/>
      <c r="I504" s="2519"/>
      <c r="J504" s="2716"/>
      <c r="K504" s="2484"/>
      <c r="L504" s="2550"/>
      <c r="M504" s="446" t="s">
        <v>4171</v>
      </c>
      <c r="N504" s="599">
        <f>222200                               +164000                               +333300                               +100000                                    +177800</f>
        <v>997300</v>
      </c>
      <c r="O504" s="599"/>
      <c r="P504" s="890"/>
      <c r="Q504" s="892" t="s">
        <v>4172</v>
      </c>
      <c r="R504" s="1811" t="s">
        <v>4173</v>
      </c>
      <c r="S504" s="1812"/>
      <c r="T504" s="1655"/>
      <c r="U504" s="1655"/>
      <c r="V504" s="1578"/>
      <c r="W504" s="1694"/>
      <c r="X504" s="1580"/>
      <c r="Y504" s="1805"/>
      <c r="Z504" s="607"/>
      <c r="AA504" s="607"/>
      <c r="AB504" s="1344"/>
      <c r="AC504" s="1344"/>
      <c r="AD504" s="1510"/>
      <c r="AE504" s="607"/>
      <c r="AF504" s="1088"/>
      <c r="AG504" s="607"/>
      <c r="AH504" s="607"/>
    </row>
    <row r="505" spans="1:34" ht="63.75" customHeight="1">
      <c r="A505" s="599"/>
      <c r="B505" s="823" t="s">
        <v>3213</v>
      </c>
      <c r="C505" s="2476"/>
      <c r="D505" s="2417"/>
      <c r="E505" s="2476"/>
      <c r="F505" s="2509"/>
      <c r="G505" s="2476"/>
      <c r="H505" s="2476"/>
      <c r="I505" s="2520"/>
      <c r="J505" s="2717"/>
      <c r="K505" s="2476"/>
      <c r="L505" s="2551"/>
      <c r="M505" s="446" t="s">
        <v>4174</v>
      </c>
      <c r="N505" s="599">
        <f>248800                                +201200                                             +248800</f>
        <v>698800</v>
      </c>
      <c r="O505" s="599">
        <f>N503+N504+N505</f>
        <v>1987100</v>
      </c>
      <c r="P505" s="890"/>
      <c r="Q505" s="892" t="s">
        <v>4285</v>
      </c>
      <c r="R505" s="1299" t="s">
        <v>4284</v>
      </c>
      <c r="S505" s="1299"/>
      <c r="T505" s="1140"/>
      <c r="U505" s="1140"/>
      <c r="V505" s="1526"/>
      <c r="W505" s="1052"/>
      <c r="X505" s="1355"/>
      <c r="Y505" s="1353"/>
      <c r="Z505" s="599"/>
      <c r="AA505" s="599"/>
      <c r="AB505" s="580"/>
      <c r="AC505" s="1344"/>
      <c r="AD505" s="1510"/>
      <c r="AE505" s="607"/>
      <c r="AF505" s="1088"/>
      <c r="AG505" s="607"/>
      <c r="AH505" s="607"/>
    </row>
    <row r="506" spans="1:34" ht="170.25" customHeight="1">
      <c r="A506" s="599"/>
      <c r="B506" s="446" t="s">
        <v>2911</v>
      </c>
      <c r="C506" s="599" t="s">
        <v>4175</v>
      </c>
      <c r="D506" s="446" t="s">
        <v>2910</v>
      </c>
      <c r="E506" s="599"/>
      <c r="F506" s="625">
        <v>98881.03</v>
      </c>
      <c r="G506" s="891"/>
      <c r="H506" s="599">
        <v>98881.03</v>
      </c>
      <c r="I506" s="1185"/>
      <c r="J506" s="1055">
        <v>98881.03</v>
      </c>
      <c r="K506" s="1094">
        <v>44344</v>
      </c>
      <c r="L506" s="446" t="s">
        <v>2895</v>
      </c>
      <c r="M506" s="446" t="s">
        <v>2912</v>
      </c>
      <c r="N506" s="599" t="s">
        <v>2913</v>
      </c>
      <c r="O506" s="599">
        <v>40000</v>
      </c>
      <c r="P506" s="599"/>
      <c r="Q506" s="1042">
        <v>40000</v>
      </c>
      <c r="R506" s="599" t="s">
        <v>2914</v>
      </c>
      <c r="S506" s="624"/>
      <c r="T506" s="1140"/>
      <c r="U506" s="1140"/>
      <c r="V506" s="1526"/>
      <c r="W506" s="1052"/>
      <c r="X506" s="1355"/>
      <c r="Y506" s="1353"/>
      <c r="Z506" s="599"/>
      <c r="AA506" s="599"/>
      <c r="AB506" s="580"/>
      <c r="AC506" s="580"/>
      <c r="AD506" s="1465"/>
      <c r="AE506" s="599"/>
      <c r="AF506" s="984"/>
      <c r="AG506" s="599"/>
      <c r="AH506" s="599"/>
    </row>
    <row r="507" spans="1:34" ht="222" customHeight="1">
      <c r="A507" s="599"/>
      <c r="B507" s="446" t="s">
        <v>2911</v>
      </c>
      <c r="C507" s="599" t="s">
        <v>2956</v>
      </c>
      <c r="D507" s="446" t="s">
        <v>2957</v>
      </c>
      <c r="E507" s="599"/>
      <c r="F507" s="625"/>
      <c r="G507" s="891"/>
      <c r="H507" s="599"/>
      <c r="I507" s="1185"/>
      <c r="J507" s="1055">
        <v>198346.92</v>
      </c>
      <c r="K507" s="1094">
        <v>44363</v>
      </c>
      <c r="L507" s="446" t="s">
        <v>2895</v>
      </c>
      <c r="M507" s="822" t="s">
        <v>4176</v>
      </c>
      <c r="N507" s="607"/>
      <c r="O507" s="599" t="s">
        <v>3112</v>
      </c>
      <c r="P507" s="599" t="s">
        <v>3113</v>
      </c>
      <c r="Q507" s="1042"/>
      <c r="R507" s="599"/>
      <c r="S507" s="624"/>
      <c r="T507" s="1140"/>
      <c r="U507" s="1140"/>
      <c r="V507" s="1526"/>
      <c r="W507" s="1052"/>
      <c r="X507" s="1355"/>
      <c r="Y507" s="1353"/>
      <c r="Z507" s="599"/>
      <c r="AA507" s="599"/>
      <c r="AB507" s="580"/>
      <c r="AC507" s="580"/>
      <c r="AD507" s="1465"/>
      <c r="AE507" s="599"/>
      <c r="AF507" s="984"/>
      <c r="AG507" s="599"/>
      <c r="AH507" s="599"/>
    </row>
    <row r="508" spans="1:34" ht="89.25" customHeight="1">
      <c r="A508" s="599"/>
      <c r="B508" s="446" t="s">
        <v>2911</v>
      </c>
      <c r="C508" s="599" t="s">
        <v>4177</v>
      </c>
      <c r="D508" s="446" t="s">
        <v>4178</v>
      </c>
      <c r="E508" s="599" t="s">
        <v>2932</v>
      </c>
      <c r="F508" s="1813" t="s">
        <v>3103</v>
      </c>
      <c r="G508" s="891">
        <v>1352525.78</v>
      </c>
      <c r="H508" s="599"/>
      <c r="I508" s="1185"/>
      <c r="J508" s="582">
        <f>3380715.28                                +1127703.97</f>
        <v>4508419.25</v>
      </c>
      <c r="K508" s="1793" t="s">
        <v>4179</v>
      </c>
      <c r="L508" s="594" t="s">
        <v>2895</v>
      </c>
      <c r="M508" s="599" t="s">
        <v>4180</v>
      </c>
      <c r="N508" s="1814" t="s">
        <v>2701</v>
      </c>
      <c r="O508" s="715">
        <f>270000                                          +300000                                                        +499200                                           +498500                                                   +487200</f>
        <v>2054900</v>
      </c>
      <c r="P508" s="1815"/>
      <c r="Q508" s="1042"/>
      <c r="R508" s="890" t="s">
        <v>3171</v>
      </c>
      <c r="S508" s="1299" t="s">
        <v>3126</v>
      </c>
      <c r="T508" s="1140"/>
      <c r="U508" s="1140"/>
      <c r="V508" s="1526"/>
      <c r="W508" s="1052"/>
      <c r="X508" s="1355"/>
      <c r="Y508" s="1353"/>
      <c r="Z508" s="599"/>
      <c r="AA508" s="599"/>
      <c r="AB508" s="580"/>
      <c r="AC508" s="580"/>
      <c r="AD508" s="1465"/>
      <c r="AE508" s="599"/>
      <c r="AF508" s="984"/>
      <c r="AG508" s="599"/>
      <c r="AH508" s="599"/>
    </row>
    <row r="509" spans="1:34" ht="120.75" customHeight="1">
      <c r="A509" s="599"/>
      <c r="B509" s="822" t="s">
        <v>2911</v>
      </c>
      <c r="C509" s="741" t="s">
        <v>3144</v>
      </c>
      <c r="D509" s="822" t="s">
        <v>3145</v>
      </c>
      <c r="E509" s="741"/>
      <c r="F509" s="1816"/>
      <c r="G509" s="1369"/>
      <c r="H509" s="741"/>
      <c r="I509" s="1162"/>
      <c r="J509" s="1064">
        <v>45084.19</v>
      </c>
      <c r="K509" s="1066" t="s">
        <v>3153</v>
      </c>
      <c r="L509" s="594" t="s">
        <v>2895</v>
      </c>
      <c r="M509" s="599"/>
      <c r="N509" s="1817"/>
      <c r="O509" s="1818"/>
      <c r="P509" s="1815"/>
      <c r="Q509" s="1042"/>
      <c r="R509" s="890"/>
      <c r="S509" s="1299"/>
      <c r="T509" s="1140"/>
      <c r="U509" s="1140"/>
      <c r="V509" s="1372"/>
      <c r="W509" s="594"/>
      <c r="X509" s="1352"/>
      <c r="Y509" s="1353"/>
      <c r="Z509" s="599"/>
      <c r="AA509" s="599"/>
      <c r="AB509" s="580"/>
      <c r="AC509" s="580"/>
      <c r="AD509" s="1464"/>
      <c r="AE509" s="599"/>
      <c r="AF509" s="984"/>
      <c r="AG509" s="599"/>
      <c r="AH509" s="599"/>
    </row>
    <row r="510" spans="1:34" ht="66" customHeight="1">
      <c r="A510" s="599"/>
      <c r="B510" s="822" t="s">
        <v>2977</v>
      </c>
      <c r="C510" s="741" t="s">
        <v>4316</v>
      </c>
      <c r="D510" s="822" t="s">
        <v>4313</v>
      </c>
      <c r="E510" s="741"/>
      <c r="F510" s="1816">
        <v>220000</v>
      </c>
      <c r="G510" s="1369"/>
      <c r="H510" s="741"/>
      <c r="I510" s="1162"/>
      <c r="J510" s="1064">
        <v>220000</v>
      </c>
      <c r="K510" s="1066" t="s">
        <v>4314</v>
      </c>
      <c r="L510" s="594" t="s">
        <v>2895</v>
      </c>
      <c r="M510" s="599"/>
      <c r="N510" s="1817"/>
      <c r="O510" s="1818"/>
      <c r="P510" s="1815"/>
      <c r="Q510" s="1042"/>
      <c r="R510" s="890"/>
      <c r="S510" s="1299"/>
      <c r="T510" s="1140"/>
      <c r="U510" s="1140"/>
      <c r="V510" s="1372"/>
      <c r="W510" s="594"/>
      <c r="X510" s="1352"/>
      <c r="Y510" s="1353"/>
      <c r="Z510" s="599"/>
      <c r="AA510" s="599"/>
      <c r="AB510" s="580"/>
      <c r="AC510" s="580"/>
      <c r="AD510" s="1464"/>
      <c r="AE510" s="599"/>
      <c r="AF510" s="984"/>
      <c r="AG510" s="599"/>
      <c r="AH510" s="599"/>
    </row>
    <row r="511" spans="1:34" ht="75" customHeight="1">
      <c r="A511" s="599"/>
      <c r="B511" s="2416" t="s">
        <v>2977</v>
      </c>
      <c r="C511" s="2485" t="s">
        <v>4315</v>
      </c>
      <c r="D511" s="2483" t="s">
        <v>2978</v>
      </c>
      <c r="E511" s="2483"/>
      <c r="F511" s="2508">
        <v>3055410.38</v>
      </c>
      <c r="G511" s="2483"/>
      <c r="H511" s="2483"/>
      <c r="I511" s="2518">
        <f>O511+O512</f>
        <v>2289325</v>
      </c>
      <c r="J511" s="2537">
        <v>3055410.38</v>
      </c>
      <c r="K511" s="2537" t="s">
        <v>4294</v>
      </c>
      <c r="L511" s="2697" t="s">
        <v>2895</v>
      </c>
      <c r="M511" s="599" t="s">
        <v>4181</v>
      </c>
      <c r="N511" s="1814" t="s">
        <v>1111</v>
      </c>
      <c r="O511" s="715">
        <f>412225                            +317175                                +92475                                 +472000                             +449400</f>
        <v>1743275</v>
      </c>
      <c r="P511" s="1815"/>
      <c r="Q511" s="1042"/>
      <c r="R511" s="1819" t="s">
        <v>3090</v>
      </c>
      <c r="S511" s="1299" t="s">
        <v>3091</v>
      </c>
      <c r="T511" s="1140"/>
      <c r="U511" s="1140"/>
      <c r="V511" s="1372"/>
      <c r="W511" s="594"/>
      <c r="X511" s="1352"/>
      <c r="Y511" s="1353"/>
      <c r="Z511" s="599"/>
      <c r="AA511" s="599"/>
      <c r="AB511" s="580"/>
      <c r="AC511" s="580"/>
      <c r="AD511" s="1464"/>
      <c r="AE511" s="599"/>
      <c r="AF511" s="984"/>
      <c r="AG511" s="599"/>
      <c r="AH511" s="599"/>
    </row>
    <row r="512" spans="1:34" ht="57.75" customHeight="1">
      <c r="A512" s="599"/>
      <c r="B512" s="2417"/>
      <c r="C512" s="2487"/>
      <c r="D512" s="2476"/>
      <c r="E512" s="2476"/>
      <c r="F512" s="2509"/>
      <c r="G512" s="2476"/>
      <c r="H512" s="2476"/>
      <c r="I512" s="2520"/>
      <c r="J512" s="2539"/>
      <c r="K512" s="2539"/>
      <c r="L512" s="2698"/>
      <c r="M512" s="599" t="s">
        <v>4182</v>
      </c>
      <c r="N512" s="599" t="s">
        <v>1015</v>
      </c>
      <c r="O512" s="599">
        <f>122250                                 +222200                         +201600</f>
        <v>546050</v>
      </c>
      <c r="P512" s="599"/>
      <c r="Q512" s="599"/>
      <c r="R512" s="890" t="s">
        <v>3128</v>
      </c>
      <c r="S512" s="890" t="s">
        <v>3129</v>
      </c>
      <c r="T512" s="599"/>
      <c r="U512" s="599"/>
      <c r="V512" s="599"/>
      <c r="W512" s="599"/>
      <c r="X512" s="599"/>
      <c r="Y512" s="599"/>
      <c r="Z512" s="599"/>
      <c r="AA512" s="599"/>
      <c r="AB512" s="599"/>
      <c r="AC512" s="580"/>
      <c r="AD512" s="1464"/>
      <c r="AE512" s="599"/>
      <c r="AF512" s="984"/>
      <c r="AG512" s="599"/>
      <c r="AH512" s="599"/>
    </row>
    <row r="513" spans="1:256" ht="44.25" customHeight="1">
      <c r="A513" s="599"/>
      <c r="B513" s="2506" t="s">
        <v>3040</v>
      </c>
      <c r="C513" s="2531" t="s">
        <v>4183</v>
      </c>
      <c r="D513" s="2416" t="s">
        <v>3049</v>
      </c>
      <c r="E513" s="2483"/>
      <c r="F513" s="2508" t="s">
        <v>3094</v>
      </c>
      <c r="G513" s="2483"/>
      <c r="H513" s="2483"/>
      <c r="I513" s="2483"/>
      <c r="J513" s="2483">
        <f>3457322.11                                     +11442677.89</f>
        <v>14900000</v>
      </c>
      <c r="K513" s="2555" t="s">
        <v>3323</v>
      </c>
      <c r="L513" s="2416" t="s">
        <v>2895</v>
      </c>
      <c r="M513" s="1820" t="s">
        <v>4184</v>
      </c>
      <c r="N513" s="599" t="s">
        <v>3204</v>
      </c>
      <c r="O513" s="599">
        <f>236000                                     +236000                             +500000</f>
        <v>972000</v>
      </c>
      <c r="P513" s="599"/>
      <c r="Q513" s="1042"/>
      <c r="R513" s="890" t="s">
        <v>3118</v>
      </c>
      <c r="S513" s="1821" t="s">
        <v>4185</v>
      </c>
      <c r="T513" s="599"/>
      <c r="U513" s="599"/>
      <c r="V513" s="599"/>
      <c r="W513" s="599"/>
      <c r="X513" s="599"/>
      <c r="Y513" s="599"/>
      <c r="Z513" s="599"/>
      <c r="AA513" s="599"/>
      <c r="AB513" s="599"/>
      <c r="AC513" s="580"/>
      <c r="AD513" s="1464"/>
      <c r="AE513" s="599"/>
      <c r="AF513" s="984"/>
      <c r="AG513" s="599"/>
      <c r="AH513" s="599"/>
    </row>
    <row r="514" spans="1:256" ht="96" customHeight="1">
      <c r="A514" s="599"/>
      <c r="B514" s="2530"/>
      <c r="C514" s="2532"/>
      <c r="D514" s="2503"/>
      <c r="E514" s="2476"/>
      <c r="F514" s="2513"/>
      <c r="G514" s="2476"/>
      <c r="H514" s="2476"/>
      <c r="I514" s="2476"/>
      <c r="J514" s="2539"/>
      <c r="K514" s="2729"/>
      <c r="L514" s="2417"/>
      <c r="M514" s="599" t="s">
        <v>4186</v>
      </c>
      <c r="N514" s="599" t="s">
        <v>3206</v>
      </c>
      <c r="O514" s="599">
        <f>140000                           +185000                                       +127800                                      +180000                                            +333400                                       +220000</f>
        <v>1186200</v>
      </c>
      <c r="P514" s="890" t="s">
        <v>3044</v>
      </c>
      <c r="Q514" s="1042" t="s">
        <v>3211</v>
      </c>
      <c r="R514" s="599" t="s">
        <v>3538</v>
      </c>
      <c r="S514" s="624" t="s">
        <v>3194</v>
      </c>
      <c r="T514" s="1140"/>
      <c r="U514" s="1140"/>
      <c r="V514" s="1372"/>
      <c r="W514" s="594"/>
      <c r="X514" s="1352"/>
      <c r="Y514" s="1353"/>
      <c r="Z514" s="599"/>
      <c r="AA514" s="599"/>
      <c r="AB514" s="580"/>
      <c r="AC514" s="599"/>
      <c r="AD514" s="599"/>
      <c r="AE514" s="599"/>
      <c r="AF514" s="984"/>
      <c r="AG514" s="599"/>
      <c r="AH514" s="599"/>
    </row>
    <row r="515" spans="1:256" ht="82.5" customHeight="1">
      <c r="A515" s="741"/>
      <c r="B515" s="2530"/>
      <c r="C515" s="2532"/>
      <c r="D515" s="2503"/>
      <c r="E515" s="965"/>
      <c r="F515" s="2509"/>
      <c r="G515" s="965"/>
      <c r="H515" s="965"/>
      <c r="I515" s="965"/>
      <c r="J515" s="1822"/>
      <c r="K515" s="1823"/>
      <c r="L515" s="446"/>
      <c r="M515" s="890" t="s">
        <v>4187</v>
      </c>
      <c r="N515" s="599" t="s">
        <v>3205</v>
      </c>
      <c r="O515" s="599">
        <f>(300000                              +455800)</f>
        <v>755800</v>
      </c>
      <c r="P515" s="890"/>
      <c r="Q515" s="1042" t="s">
        <v>3207</v>
      </c>
      <c r="R515" s="599" t="s">
        <v>3195</v>
      </c>
      <c r="S515" s="580" t="s">
        <v>3127</v>
      </c>
      <c r="T515" s="1140"/>
      <c r="U515" s="1140"/>
      <c r="V515" s="1372"/>
      <c r="W515" s="594"/>
      <c r="X515" s="1352"/>
      <c r="Y515" s="1353"/>
      <c r="Z515" s="599"/>
      <c r="AA515" s="599"/>
      <c r="AB515" s="580"/>
      <c r="AC515" s="599"/>
      <c r="AD515" s="599"/>
      <c r="AE515" s="599"/>
      <c r="AF515" s="984"/>
      <c r="AG515" s="599"/>
      <c r="AH515" s="599"/>
    </row>
    <row r="516" spans="1:256" ht="11.25" customHeight="1">
      <c r="B516" s="822"/>
      <c r="C516" s="2533" t="s">
        <v>4300</v>
      </c>
      <c r="D516" s="822"/>
      <c r="E516" s="741"/>
      <c r="F516" s="1124"/>
      <c r="G516" s="741"/>
      <c r="H516" s="741"/>
      <c r="I516" s="741"/>
      <c r="J516" s="1835"/>
      <c r="K516" s="1835"/>
      <c r="L516" s="1050"/>
      <c r="M516" s="890"/>
      <c r="N516" s="599"/>
      <c r="O516" s="599"/>
      <c r="P516" s="890"/>
      <c r="Q516" s="1042"/>
      <c r="R516" s="1824"/>
      <c r="S516" s="1825"/>
      <c r="T516" s="1140"/>
      <c r="U516" s="1140"/>
      <c r="V516" s="1140"/>
      <c r="W516" s="594"/>
      <c r="X516" s="1352"/>
      <c r="Y516" s="1353"/>
      <c r="Z516" s="599"/>
      <c r="AA516" s="599"/>
      <c r="AB516" s="580"/>
      <c r="AC516" s="599"/>
      <c r="AD516" s="599"/>
      <c r="AE516" s="599"/>
      <c r="AF516" s="984"/>
      <c r="AG516" s="599"/>
      <c r="AH516" s="599"/>
    </row>
    <row r="517" spans="1:256" ht="57" customHeight="1">
      <c r="A517" s="1088"/>
      <c r="B517" s="606" t="s">
        <v>3086</v>
      </c>
      <c r="C517" s="2534"/>
      <c r="D517" s="606" t="s">
        <v>3050</v>
      </c>
      <c r="E517" s="899"/>
      <c r="F517" s="1200" t="s">
        <v>3117</v>
      </c>
      <c r="G517" s="899"/>
      <c r="H517" s="899"/>
      <c r="I517" s="899"/>
      <c r="J517" s="1902" t="s">
        <v>4301</v>
      </c>
      <c r="K517" s="1902" t="s">
        <v>4302</v>
      </c>
      <c r="L517" s="1062" t="s">
        <v>2895</v>
      </c>
      <c r="M517" s="1826" t="s">
        <v>3121</v>
      </c>
      <c r="N517" s="1744" t="s">
        <v>3177</v>
      </c>
      <c r="O517" s="1744">
        <v>1080000</v>
      </c>
      <c r="P517" s="1826">
        <f>O516+O517+O518</f>
        <v>1275000</v>
      </c>
      <c r="Q517" s="1827" t="s">
        <v>3173</v>
      </c>
      <c r="R517" s="1744">
        <v>1080000</v>
      </c>
      <c r="S517" s="1828">
        <v>44556</v>
      </c>
      <c r="T517" s="1140"/>
      <c r="U517" s="1140"/>
      <c r="V517" s="1372"/>
      <c r="W517" s="594"/>
      <c r="X517" s="1352"/>
      <c r="Y517" s="1353"/>
      <c r="Z517" s="599"/>
      <c r="AA517" s="599"/>
      <c r="AB517" s="580"/>
      <c r="AC517" s="599"/>
      <c r="AD517" s="599"/>
      <c r="AE517" s="599"/>
      <c r="AF517" s="984"/>
      <c r="AG517" s="599"/>
      <c r="AH517" s="599"/>
    </row>
    <row r="518" spans="1:256" ht="65.25" customHeight="1">
      <c r="A518" s="984"/>
      <c r="B518" s="823"/>
      <c r="C518" s="2535"/>
      <c r="D518" s="823"/>
      <c r="E518" s="607"/>
      <c r="F518" s="1105"/>
      <c r="G518" s="607"/>
      <c r="H518" s="607"/>
      <c r="I518" s="607"/>
      <c r="J518" s="1903"/>
      <c r="K518" s="1903"/>
      <c r="L518" s="1070"/>
      <c r="M518" s="599" t="s">
        <v>4188</v>
      </c>
      <c r="N518" s="599" t="s">
        <v>3256</v>
      </c>
      <c r="O518" s="599">
        <v>195000</v>
      </c>
      <c r="P518" s="599">
        <f>O516+O517+O518+16670</f>
        <v>1291670</v>
      </c>
      <c r="Q518" s="1042"/>
      <c r="R518" s="599">
        <v>195000</v>
      </c>
      <c r="S518" s="624" t="s">
        <v>3095</v>
      </c>
      <c r="T518" s="1140"/>
      <c r="U518" s="1140"/>
      <c r="V518" s="1526"/>
      <c r="W518" s="1052"/>
      <c r="X518" s="1355"/>
      <c r="Y518" s="1353"/>
      <c r="Z518" s="599"/>
      <c r="AA518" s="599"/>
      <c r="AB518" s="580"/>
      <c r="AC518" s="580"/>
      <c r="AD518" s="1465"/>
      <c r="AE518" s="599"/>
      <c r="AF518" s="984"/>
      <c r="AG518" s="599"/>
      <c r="AH518" s="599"/>
    </row>
    <row r="519" spans="1:256" ht="72" customHeight="1">
      <c r="A519" s="599"/>
      <c r="B519" s="831" t="s">
        <v>4189</v>
      </c>
      <c r="C519" s="599" t="s">
        <v>4239</v>
      </c>
      <c r="D519" s="446" t="s">
        <v>4190</v>
      </c>
      <c r="E519" s="580" t="s">
        <v>3518</v>
      </c>
      <c r="F519" s="625">
        <v>780000</v>
      </c>
      <c r="G519" s="891"/>
      <c r="H519" s="1881" t="s">
        <v>3258</v>
      </c>
      <c r="I519" s="1185"/>
      <c r="J519" s="1901" t="s">
        <v>4293</v>
      </c>
      <c r="K519" s="599"/>
      <c r="L519" s="594"/>
      <c r="M519" s="1809" t="s">
        <v>4191</v>
      </c>
      <c r="N519" s="1809" t="s">
        <v>3257</v>
      </c>
      <c r="O519" s="1870" t="s">
        <v>4240</v>
      </c>
      <c r="P519" s="1809"/>
      <c r="Q519" s="1829"/>
      <c r="R519" s="1808">
        <v>277800</v>
      </c>
      <c r="S519" s="1830" t="s">
        <v>3166</v>
      </c>
      <c r="T519" s="1140"/>
      <c r="U519" s="1140"/>
      <c r="V519" s="1526"/>
      <c r="W519" s="1052"/>
      <c r="X519" s="1355"/>
      <c r="Y519" s="1353"/>
      <c r="Z519" s="599"/>
      <c r="AA519" s="599"/>
      <c r="AB519" s="580"/>
      <c r="AC519" s="580"/>
      <c r="AD519" s="1465"/>
      <c r="AE519" s="599"/>
      <c r="AF519" s="984"/>
      <c r="AG519" s="599"/>
      <c r="AH519" s="599"/>
    </row>
    <row r="520" spans="1:256" ht="72.75" customHeight="1">
      <c r="A520" s="599"/>
      <c r="B520" s="446" t="s">
        <v>3073</v>
      </c>
      <c r="C520" s="599" t="s">
        <v>4192</v>
      </c>
      <c r="D520" s="580" t="s">
        <v>3077</v>
      </c>
      <c r="E520" s="599"/>
      <c r="F520" s="625">
        <v>99700</v>
      </c>
      <c r="G520" s="891"/>
      <c r="H520" s="599"/>
      <c r="I520" s="1185"/>
      <c r="J520" s="1006" t="s">
        <v>3074</v>
      </c>
      <c r="K520" s="599"/>
      <c r="L520" s="594" t="s">
        <v>2895</v>
      </c>
      <c r="M520" s="599"/>
      <c r="N520" s="599"/>
      <c r="O520" s="599"/>
      <c r="P520" s="599"/>
      <c r="Q520" s="1042"/>
      <c r="R520" s="599"/>
      <c r="S520" s="624"/>
      <c r="T520" s="1140"/>
      <c r="U520" s="1140"/>
      <c r="V520" s="1526"/>
      <c r="W520" s="1052"/>
      <c r="X520" s="1355"/>
      <c r="Y520" s="1353"/>
      <c r="Z520" s="599"/>
      <c r="AA520" s="599"/>
      <c r="AB520" s="580"/>
      <c r="AC520" s="580"/>
      <c r="AD520" s="1465"/>
      <c r="AE520" s="599"/>
      <c r="AF520" s="984"/>
      <c r="AG520" s="599"/>
      <c r="AH520" s="599"/>
    </row>
    <row r="521" spans="1:256" s="1180" customFormat="1" ht="30.75" customHeight="1">
      <c r="A521" s="1170"/>
      <c r="B521" s="1172"/>
      <c r="C521" s="1900" t="s">
        <v>3087</v>
      </c>
      <c r="D521" s="1172"/>
      <c r="E521" s="1173"/>
      <c r="F521" s="1174"/>
      <c r="G521" s="1175"/>
      <c r="H521" s="1174"/>
      <c r="I521" s="1174"/>
      <c r="J521" s="1175"/>
      <c r="K521" s="1176"/>
      <c r="L521" s="1831"/>
      <c r="M521" s="1178"/>
      <c r="N521" s="1173"/>
      <c r="O521" s="1173"/>
      <c r="P521" s="1173"/>
      <c r="Q521" s="1176"/>
      <c r="R521" s="1176" t="s">
        <v>65</v>
      </c>
      <c r="S521" s="1176"/>
      <c r="T521" s="1176"/>
      <c r="U521" s="1176"/>
      <c r="V521" s="1128"/>
      <c r="W521" s="1128"/>
      <c r="X521" s="1128"/>
      <c r="Y521" s="1128"/>
      <c r="Z521" s="1128"/>
      <c r="AA521" s="1128"/>
      <c r="AB521" s="1128"/>
      <c r="AC521" s="580"/>
      <c r="AD521" s="1464"/>
      <c r="AE521" s="599"/>
      <c r="AF521" s="599"/>
      <c r="AG521" s="599"/>
      <c r="AH521" s="599"/>
    </row>
    <row r="522" spans="1:256" s="1180" customFormat="1" ht="30.75" customHeight="1">
      <c r="A522" s="1170"/>
      <c r="B522" s="1172"/>
      <c r="C522" s="1172"/>
      <c r="D522" s="1172"/>
      <c r="E522" s="1173"/>
      <c r="F522" s="1174"/>
      <c r="G522" s="1175"/>
      <c r="H522" s="1174"/>
      <c r="I522" s="1174"/>
      <c r="J522" s="1175"/>
      <c r="K522" s="1176"/>
      <c r="L522" s="1831"/>
      <c r="M522" s="1178"/>
      <c r="N522" s="1173"/>
      <c r="O522" s="1173"/>
      <c r="P522" s="1173"/>
      <c r="Q522" s="1832"/>
      <c r="R522" s="1176"/>
      <c r="S522" s="1176"/>
      <c r="T522" s="1176"/>
      <c r="U522" s="1128"/>
      <c r="V522" s="1128"/>
      <c r="W522" s="1144"/>
      <c r="X522" s="1144"/>
      <c r="Y522" s="1128"/>
      <c r="Z522" s="1128"/>
      <c r="AA522" s="1128"/>
      <c r="AB522" s="1128"/>
      <c r="AC522" s="580"/>
      <c r="AD522" s="1465"/>
      <c r="AE522" s="599"/>
      <c r="AF522" s="984"/>
      <c r="AG522" s="599"/>
      <c r="AH522" s="599"/>
    </row>
    <row r="523" spans="1:256" s="973" customFormat="1" ht="47.25" customHeight="1">
      <c r="A523" s="964"/>
      <c r="B523" s="822"/>
      <c r="C523" s="822"/>
      <c r="D523" s="822"/>
      <c r="E523" s="741"/>
      <c r="F523" s="1124"/>
      <c r="G523" s="1162"/>
      <c r="H523" s="1124"/>
      <c r="I523" s="1124"/>
      <c r="J523" s="1162"/>
      <c r="K523" s="997"/>
      <c r="L523" s="890"/>
      <c r="M523" s="1833" t="s">
        <v>4193</v>
      </c>
      <c r="N523" s="1834" t="s">
        <v>3232</v>
      </c>
      <c r="O523" s="1834"/>
      <c r="P523" s="1835">
        <v>75300</v>
      </c>
      <c r="Q523" s="1836" t="s">
        <v>3388</v>
      </c>
      <c r="R523" s="1837" t="s">
        <v>4194</v>
      </c>
      <c r="S523" s="997" t="s">
        <v>3359</v>
      </c>
      <c r="T523" s="997"/>
      <c r="U523" s="599"/>
      <c r="V523" s="599"/>
      <c r="W523" s="984"/>
      <c r="X523" s="984"/>
      <c r="Y523" s="599"/>
      <c r="Z523" s="599"/>
      <c r="AA523" s="599"/>
      <c r="AB523" s="599"/>
      <c r="AC523" s="580"/>
      <c r="AD523" s="1465"/>
      <c r="AE523" s="599"/>
      <c r="AF523" s="984"/>
      <c r="AG523" s="599"/>
      <c r="AH523" s="599"/>
    </row>
    <row r="524" spans="1:256" s="973" customFormat="1" ht="47.25" customHeight="1">
      <c r="A524" s="964"/>
      <c r="B524" s="2510" t="s">
        <v>3104</v>
      </c>
      <c r="C524" s="2483" t="s">
        <v>4195</v>
      </c>
      <c r="D524" s="2416" t="s">
        <v>4388</v>
      </c>
      <c r="E524" s="2483" t="s">
        <v>4196</v>
      </c>
      <c r="F524" s="2508" t="s">
        <v>4385</v>
      </c>
      <c r="G524" s="2518"/>
      <c r="H524" s="2491" t="s">
        <v>4246</v>
      </c>
      <c r="I524" s="2522" t="s">
        <v>4711</v>
      </c>
      <c r="J524" s="2525" t="s">
        <v>4712</v>
      </c>
      <c r="K524" s="2483" t="s">
        <v>3314</v>
      </c>
      <c r="L524" s="1875" t="s">
        <v>4247</v>
      </c>
      <c r="M524" s="843" t="s">
        <v>4197</v>
      </c>
      <c r="N524" s="741" t="s">
        <v>3243</v>
      </c>
      <c r="O524" s="741" t="s">
        <v>3315</v>
      </c>
      <c r="P524" s="1835" t="s">
        <v>4245</v>
      </c>
      <c r="Q524" s="1836" t="s">
        <v>4411</v>
      </c>
      <c r="R524" s="1944">
        <v>12240408.24</v>
      </c>
      <c r="S524" s="1945"/>
      <c r="T524" s="1954">
        <v>44916</v>
      </c>
      <c r="U524" s="599"/>
      <c r="V524" s="599"/>
      <c r="W524" s="984"/>
      <c r="X524" s="984"/>
      <c r="Y524" s="599"/>
      <c r="Z524" s="599"/>
      <c r="AA524" s="599"/>
      <c r="AB524" s="599"/>
      <c r="AC524" s="580"/>
      <c r="AD524" s="1465"/>
      <c r="AE524" s="599"/>
      <c r="AF524" s="984"/>
      <c r="AG524" s="599"/>
      <c r="AH524" s="599"/>
    </row>
    <row r="525" spans="1:256" s="973" customFormat="1" ht="86.25" customHeight="1">
      <c r="A525" s="964"/>
      <c r="B525" s="2511"/>
      <c r="C525" s="2484"/>
      <c r="D525" s="2503"/>
      <c r="E525" s="2484"/>
      <c r="F525" s="2513"/>
      <c r="G525" s="2519"/>
      <c r="H525" s="2521"/>
      <c r="I525" s="2523"/>
      <c r="J525" s="2526"/>
      <c r="K525" s="2484"/>
      <c r="L525" s="1873">
        <f>N525+N526+N527+N528</f>
        <v>7291730</v>
      </c>
      <c r="M525" s="843" t="s">
        <v>4379</v>
      </c>
      <c r="N525" s="741">
        <f>50000                      +50000                         +100000                               +100000</f>
        <v>300000</v>
      </c>
      <c r="O525" s="741"/>
      <c r="P525" s="741"/>
      <c r="Q525" s="1644"/>
      <c r="R525" s="997" t="s">
        <v>4489</v>
      </c>
      <c r="S525" s="997" t="s">
        <v>4490</v>
      </c>
      <c r="T525" s="1941"/>
      <c r="U525" s="599"/>
      <c r="V525" s="599"/>
      <c r="W525" s="984"/>
      <c r="X525" s="984"/>
      <c r="Y525" s="599"/>
      <c r="Z525" s="599"/>
      <c r="AA525" s="599"/>
      <c r="AB525" s="599"/>
      <c r="AC525" s="580"/>
      <c r="AD525" s="1465"/>
      <c r="AE525" s="599"/>
      <c r="AF525" s="984"/>
      <c r="AG525" s="599"/>
      <c r="AH525" s="599"/>
    </row>
    <row r="526" spans="1:256" s="973" customFormat="1" ht="297.75" customHeight="1">
      <c r="A526" s="964"/>
      <c r="B526" s="2511"/>
      <c r="C526" s="2484"/>
      <c r="D526" s="2503"/>
      <c r="E526" s="2484"/>
      <c r="F526" s="2513"/>
      <c r="G526" s="2519"/>
      <c r="H526" s="2521"/>
      <c r="I526" s="2523"/>
      <c r="J526" s="2526"/>
      <c r="K526" s="2484"/>
      <c r="L526" s="892"/>
      <c r="M526" s="983" t="s">
        <v>4303</v>
      </c>
      <c r="N526" s="890">
        <f>161330                                                                     +444500                                              +172300                                                     +177800                                      +402300                                               +320000                                                      +256500                                               +320000                                                 +235600                             +44500</f>
        <v>2534830</v>
      </c>
      <c r="O526" s="1838" t="s">
        <v>4327</v>
      </c>
      <c r="P526" s="1940" t="s">
        <v>4429</v>
      </c>
      <c r="Q526" s="892" t="s">
        <v>4507</v>
      </c>
      <c r="R526" s="1337" t="s">
        <v>4508</v>
      </c>
      <c r="S526" s="1016">
        <f>166700                                      +129000                           +92500                            +222300                                      +222300                                  +288900                                          +444500                           +124000</f>
        <v>1690200</v>
      </c>
      <c r="T526" s="1941" t="s">
        <v>4473</v>
      </c>
      <c r="U526" s="599" t="s">
        <v>4479</v>
      </c>
      <c r="V526" s="892" t="s">
        <v>4465</v>
      </c>
      <c r="W526" s="1337" t="s">
        <v>4466</v>
      </c>
      <c r="X526" s="984"/>
      <c r="Y526" s="599"/>
      <c r="Z526" s="599"/>
      <c r="AA526" s="599"/>
      <c r="AB526" s="892" t="s">
        <v>4465</v>
      </c>
      <c r="AC526" s="1337" t="s">
        <v>4466</v>
      </c>
      <c r="AD526" s="1465"/>
      <c r="AE526" s="599"/>
      <c r="AF526" s="984"/>
      <c r="AG526" s="599"/>
      <c r="AH526" s="599"/>
    </row>
    <row r="527" spans="1:256" s="973" customFormat="1" ht="101.25" customHeight="1">
      <c r="A527" s="964"/>
      <c r="B527" s="2511"/>
      <c r="C527" s="2484"/>
      <c r="D527" s="2503"/>
      <c r="E527" s="2484"/>
      <c r="F527" s="2513"/>
      <c r="G527" s="2519"/>
      <c r="H527" s="2521"/>
      <c r="I527" s="2523"/>
      <c r="J527" s="2526"/>
      <c r="K527" s="2484"/>
      <c r="L527" s="892" t="s">
        <v>3474</v>
      </c>
      <c r="M527" s="843" t="s">
        <v>4198</v>
      </c>
      <c r="N527" s="893">
        <f>450000                            +585000                                      +375000                                      +325000                              +285000                           +215000</f>
        <v>2235000</v>
      </c>
      <c r="O527" s="1905" t="s">
        <v>4326</v>
      </c>
      <c r="P527" s="1839"/>
      <c r="Q527" s="1840" t="s">
        <v>4457</v>
      </c>
      <c r="R527" s="1841" t="s">
        <v>4458</v>
      </c>
      <c r="S527" s="997" t="s">
        <v>4652</v>
      </c>
      <c r="T527" s="997"/>
      <c r="U527" s="599"/>
      <c r="V527" s="599"/>
      <c r="W527" s="984"/>
      <c r="X527" s="984"/>
      <c r="Y527" s="599"/>
      <c r="Z527" s="599"/>
      <c r="AA527" s="599"/>
      <c r="AB527" s="599"/>
      <c r="AC527" s="580"/>
      <c r="AD527" s="1465"/>
      <c r="AE527" s="599"/>
      <c r="AF527" s="984"/>
      <c r="AG527" s="599"/>
      <c r="AH527" s="599"/>
    </row>
    <row r="528" spans="1:256" s="1853" customFormat="1" ht="165.75" customHeight="1" thickBot="1">
      <c r="A528" s="1842">
        <v>1</v>
      </c>
      <c r="B528" s="2512"/>
      <c r="C528" s="2476"/>
      <c r="D528" s="2417"/>
      <c r="E528" s="2476"/>
      <c r="F528" s="2509"/>
      <c r="G528" s="2520"/>
      <c r="H528" s="2478"/>
      <c r="I528" s="2524"/>
      <c r="J528" s="2527"/>
      <c r="K528" s="2476"/>
      <c r="L528" s="892"/>
      <c r="M528" s="599" t="s">
        <v>4383</v>
      </c>
      <c r="N528" s="890">
        <f xml:space="preserve"> 345400                                   +359600                                    +300550                               +380000                                     +274550                       +181800                                  +380000</f>
        <v>2221900</v>
      </c>
      <c r="O528" s="1838" t="s">
        <v>4282</v>
      </c>
      <c r="P528" s="1754" t="s">
        <v>3422</v>
      </c>
      <c r="Q528" s="1369" t="s">
        <v>4606</v>
      </c>
      <c r="R528" s="1843" t="s">
        <v>4478</v>
      </c>
      <c r="S528" s="1844" t="s">
        <v>4430</v>
      </c>
      <c r="T528" s="1845">
        <f>359600                            +300550                               +380000                                     +274550                              +181800                                    +380000</f>
        <v>1876500</v>
      </c>
      <c r="U528" s="1845"/>
      <c r="V528" s="1846"/>
      <c r="W528" s="1847"/>
      <c r="X528" s="1848"/>
      <c r="Y528" s="1849"/>
      <c r="Z528" s="1842"/>
      <c r="AA528" s="1842"/>
      <c r="AB528" s="1850"/>
      <c r="AC528" s="1850"/>
      <c r="AD528" s="1851"/>
      <c r="AE528" s="1842"/>
      <c r="AF528" s="1852"/>
      <c r="AG528" s="1842"/>
      <c r="AH528" s="1842"/>
      <c r="AI528" s="978"/>
      <c r="AJ528" s="978"/>
      <c r="AK528" s="978"/>
      <c r="AL528" s="978"/>
      <c r="AM528" s="978"/>
      <c r="AN528" s="978"/>
      <c r="AO528" s="978"/>
      <c r="AP528" s="978"/>
      <c r="AQ528" s="978"/>
      <c r="AR528" s="978"/>
      <c r="AS528" s="978"/>
      <c r="AT528" s="978"/>
      <c r="AU528" s="978"/>
      <c r="AV528" s="978"/>
      <c r="AW528" s="978"/>
      <c r="AX528" s="978"/>
      <c r="AY528" s="978"/>
      <c r="AZ528" s="978"/>
      <c r="BA528" s="978"/>
      <c r="BB528" s="978"/>
      <c r="BC528" s="978"/>
      <c r="BD528" s="978"/>
      <c r="BE528" s="978"/>
      <c r="BF528" s="978"/>
      <c r="BG528" s="978"/>
      <c r="BH528" s="978"/>
      <c r="BI528" s="978"/>
      <c r="BJ528" s="978"/>
      <c r="BK528" s="978"/>
      <c r="BL528" s="978"/>
      <c r="BM528" s="978"/>
      <c r="BN528" s="978"/>
      <c r="BO528" s="978"/>
      <c r="BP528" s="978"/>
      <c r="BQ528" s="978"/>
      <c r="BR528" s="978"/>
      <c r="BS528" s="978"/>
      <c r="BT528" s="978"/>
      <c r="BU528" s="978"/>
      <c r="BV528" s="978"/>
      <c r="BW528" s="978"/>
      <c r="BX528" s="978"/>
      <c r="BY528" s="978"/>
      <c r="BZ528" s="978"/>
      <c r="CA528" s="978"/>
      <c r="CB528" s="978"/>
      <c r="CC528" s="978"/>
      <c r="CD528" s="978"/>
      <c r="CE528" s="978"/>
      <c r="CF528" s="978"/>
      <c r="CG528" s="978"/>
      <c r="CH528" s="978"/>
      <c r="CI528" s="978"/>
      <c r="CJ528" s="978"/>
      <c r="CK528" s="978"/>
      <c r="CL528" s="978"/>
      <c r="CM528" s="978"/>
      <c r="CN528" s="978"/>
      <c r="CO528" s="978"/>
      <c r="CP528" s="978"/>
      <c r="CQ528" s="978"/>
      <c r="CR528" s="978"/>
      <c r="CS528" s="978"/>
      <c r="CT528" s="978"/>
      <c r="CU528" s="978"/>
      <c r="CV528" s="978"/>
      <c r="CW528" s="978"/>
      <c r="CX528" s="978"/>
      <c r="CY528" s="978"/>
      <c r="CZ528" s="978"/>
      <c r="DA528" s="978"/>
      <c r="DB528" s="978"/>
      <c r="DC528" s="978"/>
      <c r="DD528" s="978"/>
      <c r="DE528" s="978"/>
      <c r="DF528" s="978"/>
      <c r="DG528" s="978"/>
      <c r="DH528" s="978"/>
      <c r="DI528" s="978"/>
      <c r="DJ528" s="978"/>
      <c r="DK528" s="978"/>
      <c r="DL528" s="978"/>
      <c r="DM528" s="978"/>
      <c r="DN528" s="978"/>
      <c r="DO528" s="978"/>
      <c r="DP528" s="978"/>
      <c r="DQ528" s="978"/>
      <c r="DR528" s="978"/>
      <c r="DS528" s="978"/>
      <c r="DT528" s="978"/>
      <c r="DU528" s="978"/>
      <c r="DV528" s="978"/>
      <c r="DW528" s="978"/>
      <c r="DX528" s="978"/>
      <c r="DY528" s="978"/>
      <c r="DZ528" s="978"/>
      <c r="EA528" s="978"/>
      <c r="EB528" s="978"/>
      <c r="EC528" s="978"/>
      <c r="ED528" s="978"/>
      <c r="EE528" s="978"/>
      <c r="EF528" s="978"/>
      <c r="EG528" s="978"/>
      <c r="EH528" s="978"/>
      <c r="EI528" s="978"/>
      <c r="EJ528" s="978"/>
      <c r="EK528" s="978"/>
      <c r="EL528" s="978"/>
      <c r="EM528" s="978"/>
      <c r="EN528" s="978"/>
      <c r="EO528" s="978"/>
      <c r="EP528" s="978"/>
      <c r="EQ528" s="978"/>
      <c r="ER528" s="978"/>
      <c r="ES528" s="978"/>
      <c r="ET528" s="978"/>
      <c r="EU528" s="978"/>
      <c r="EV528" s="978"/>
      <c r="EW528" s="978"/>
      <c r="EX528" s="978"/>
      <c r="EY528" s="978"/>
      <c r="EZ528" s="978"/>
      <c r="FA528" s="978"/>
      <c r="FB528" s="978"/>
      <c r="FC528" s="978"/>
      <c r="FD528" s="978"/>
      <c r="FE528" s="978"/>
      <c r="FF528" s="978"/>
      <c r="FG528" s="978"/>
      <c r="FH528" s="978"/>
      <c r="FI528" s="978"/>
      <c r="FJ528" s="978"/>
      <c r="FK528" s="978"/>
      <c r="FL528" s="978"/>
      <c r="FM528" s="978"/>
      <c r="FN528" s="978"/>
      <c r="FO528" s="978"/>
      <c r="FP528" s="978"/>
      <c r="FQ528" s="978"/>
      <c r="FR528" s="978"/>
      <c r="FS528" s="978"/>
      <c r="FT528" s="978"/>
      <c r="FU528" s="978"/>
      <c r="FV528" s="978"/>
      <c r="FW528" s="978"/>
      <c r="FX528" s="978"/>
      <c r="FY528" s="978"/>
      <c r="FZ528" s="978"/>
      <c r="GA528" s="978"/>
      <c r="GB528" s="978"/>
      <c r="GC528" s="978"/>
      <c r="GD528" s="978"/>
      <c r="GE528" s="978"/>
      <c r="GF528" s="978"/>
      <c r="GG528" s="978"/>
      <c r="GH528" s="978"/>
      <c r="GI528" s="978"/>
      <c r="GJ528" s="978"/>
      <c r="GK528" s="978"/>
      <c r="GL528" s="978"/>
      <c r="GM528" s="978"/>
      <c r="GN528" s="978"/>
      <c r="GO528" s="978"/>
      <c r="GP528" s="978"/>
      <c r="GQ528" s="978"/>
      <c r="GR528" s="978"/>
      <c r="GS528" s="978"/>
      <c r="GT528" s="978"/>
      <c r="GU528" s="978"/>
      <c r="GV528" s="978"/>
      <c r="GW528" s="978"/>
      <c r="GX528" s="978"/>
      <c r="GY528" s="978"/>
      <c r="GZ528" s="978"/>
      <c r="HA528" s="978"/>
      <c r="HB528" s="978"/>
      <c r="HC528" s="978"/>
      <c r="HD528" s="978"/>
      <c r="HE528" s="978"/>
      <c r="HF528" s="978"/>
      <c r="HG528" s="978"/>
      <c r="HH528" s="978"/>
      <c r="HI528" s="978"/>
      <c r="HJ528" s="978"/>
      <c r="HK528" s="978"/>
      <c r="HL528" s="978"/>
      <c r="HM528" s="978"/>
      <c r="HN528" s="978"/>
      <c r="HO528" s="978"/>
      <c r="HP528" s="978"/>
      <c r="HQ528" s="978"/>
      <c r="HR528" s="978"/>
      <c r="HS528" s="978"/>
      <c r="HT528" s="978"/>
      <c r="HU528" s="978"/>
      <c r="HV528" s="978"/>
      <c r="HW528" s="978"/>
      <c r="HX528" s="978"/>
      <c r="HY528" s="978"/>
      <c r="HZ528" s="978"/>
      <c r="IA528" s="978"/>
      <c r="IB528" s="978"/>
      <c r="IC528" s="978"/>
      <c r="ID528" s="978"/>
      <c r="IE528" s="978"/>
      <c r="IF528" s="978"/>
      <c r="IG528" s="978"/>
      <c r="IH528" s="978"/>
      <c r="II528" s="978"/>
      <c r="IJ528" s="978"/>
      <c r="IK528" s="978"/>
      <c r="IL528" s="978"/>
      <c r="IM528" s="978"/>
      <c r="IN528" s="978"/>
      <c r="IO528" s="978"/>
      <c r="IP528" s="978"/>
      <c r="IQ528" s="978"/>
      <c r="IR528" s="978"/>
      <c r="IS528" s="978"/>
      <c r="IT528" s="978"/>
      <c r="IU528" s="978"/>
      <c r="IV528" s="978"/>
    </row>
    <row r="529" spans="1:34" ht="103.5" customHeight="1">
      <c r="A529" s="599"/>
      <c r="B529" s="822" t="s">
        <v>3115</v>
      </c>
      <c r="C529" s="741" t="s">
        <v>3534</v>
      </c>
      <c r="D529" s="741" t="s">
        <v>4199</v>
      </c>
      <c r="E529" s="899"/>
      <c r="F529" s="1200" t="s">
        <v>3300</v>
      </c>
      <c r="G529" s="899"/>
      <c r="H529" s="899"/>
      <c r="I529" s="1201" t="s">
        <v>4550</v>
      </c>
      <c r="J529" s="1064">
        <v>15335190</v>
      </c>
      <c r="K529" s="1474" t="s">
        <v>3342</v>
      </c>
      <c r="L529" s="594" t="s">
        <v>2895</v>
      </c>
      <c r="M529" s="599" t="s">
        <v>4325</v>
      </c>
      <c r="N529" s="891">
        <f>345000                             +154000                          +415000                          +480000                    +320000                                    +380000</f>
        <v>2094000</v>
      </c>
      <c r="O529" s="890" t="s">
        <v>4282</v>
      </c>
      <c r="P529" s="891" t="s">
        <v>4713</v>
      </c>
      <c r="Q529" s="1854" t="s">
        <v>3536</v>
      </c>
      <c r="R529" s="1337" t="s">
        <v>3535</v>
      </c>
      <c r="S529" s="1855"/>
      <c r="T529" s="1140"/>
      <c r="U529" s="1140"/>
      <c r="V529" s="1526"/>
      <c r="W529" s="1052"/>
      <c r="X529" s="1355"/>
      <c r="Y529" s="1353"/>
      <c r="Z529" s="599"/>
      <c r="AA529" s="599"/>
      <c r="AB529" s="580"/>
      <c r="AC529" s="580"/>
      <c r="AD529" s="1465"/>
      <c r="AE529" s="599"/>
      <c r="AF529" s="984"/>
      <c r="AG529" s="599"/>
      <c r="AH529" s="599"/>
    </row>
    <row r="530" spans="1:34" s="599" customFormat="1" ht="73.5" customHeight="1">
      <c r="A530" s="741">
        <v>2</v>
      </c>
      <c r="B530" s="606"/>
      <c r="C530" s="899"/>
      <c r="D530" s="899"/>
      <c r="E530" s="899"/>
      <c r="F530" s="1200"/>
      <c r="G530" s="899"/>
      <c r="H530" s="607"/>
      <c r="I530" s="1201"/>
      <c r="J530" s="588"/>
      <c r="K530" s="899"/>
      <c r="L530" s="741"/>
      <c r="M530" s="599" t="s">
        <v>4200</v>
      </c>
      <c r="N530" s="599" t="s">
        <v>3116</v>
      </c>
      <c r="O530" s="1141">
        <v>10500000</v>
      </c>
      <c r="AC530" s="580"/>
      <c r="AD530" s="1465"/>
      <c r="AF530" s="984"/>
    </row>
    <row r="531" spans="1:34" s="599" customFormat="1" ht="143.25" customHeight="1">
      <c r="A531" s="997"/>
      <c r="B531" s="465"/>
      <c r="C531" s="1856"/>
      <c r="D531" s="964"/>
      <c r="E531" s="2706" t="s">
        <v>3249</v>
      </c>
      <c r="F531" s="2508" t="s">
        <v>3331</v>
      </c>
      <c r="G531" s="2720">
        <f>O531+O532+O534</f>
        <v>7274691</v>
      </c>
      <c r="H531" s="2483">
        <f>3959304                       +3991634</f>
        <v>7950938</v>
      </c>
      <c r="I531" s="2723">
        <f>111100                            +277800                                + 166700                                        +166700                                        +166700                            +277800                                     +222300                                          +222300                                              +158300</f>
        <v>1769700</v>
      </c>
      <c r="J531" s="2485" t="s">
        <v>5229</v>
      </c>
      <c r="K531" s="2706" t="s">
        <v>4643</v>
      </c>
      <c r="M531" s="983" t="s">
        <v>4428</v>
      </c>
      <c r="N531" s="892" t="s">
        <v>3392</v>
      </c>
      <c r="O531" s="1141">
        <f>282100                                      +386500                 +555700                                              +567800                                     +540500                              +583100                                   +345000                                        +337100                                  +338000</f>
        <v>3935800</v>
      </c>
      <c r="P531" s="890" t="s">
        <v>3492</v>
      </c>
      <c r="Q531" s="892" t="s">
        <v>4427</v>
      </c>
      <c r="R531" s="1337" t="s">
        <v>3532</v>
      </c>
      <c r="S531" s="1809" t="s">
        <v>4435</v>
      </c>
      <c r="T531" s="599">
        <v>3935800</v>
      </c>
      <c r="AC531" s="580"/>
      <c r="AD531" s="1465"/>
      <c r="AF531" s="984"/>
    </row>
    <row r="532" spans="1:34" s="599" customFormat="1" ht="145.5" customHeight="1">
      <c r="A532" s="1408"/>
      <c r="B532" s="606" t="s">
        <v>3196</v>
      </c>
      <c r="C532" s="973" t="s">
        <v>4537</v>
      </c>
      <c r="D532" s="899" t="s">
        <v>4348</v>
      </c>
      <c r="E532" s="2707"/>
      <c r="F532" s="2513"/>
      <c r="G532" s="2721"/>
      <c r="H532" s="2484"/>
      <c r="I532" s="2724"/>
      <c r="J532" s="2486"/>
      <c r="K532" s="2707"/>
      <c r="L532" s="823" t="s">
        <v>2895</v>
      </c>
      <c r="M532" s="983" t="s">
        <v>4201</v>
      </c>
      <c r="N532" s="892" t="s">
        <v>3392</v>
      </c>
      <c r="O532" s="1906">
        <f>205000                                    +491000                                +410000                                       +272891                                       +390000                                   +335000                                        +390000                                           +380000                                     +390000</f>
        <v>3263891</v>
      </c>
      <c r="P532" s="890" t="s">
        <v>4281</v>
      </c>
      <c r="Q532" s="892" t="s">
        <v>4254</v>
      </c>
      <c r="R532" s="1857" t="s">
        <v>4253</v>
      </c>
      <c r="S532" s="599" t="s">
        <v>4433</v>
      </c>
      <c r="T532" s="599" t="s">
        <v>4434</v>
      </c>
      <c r="X532" s="599" t="s">
        <v>3495</v>
      </c>
      <c r="AC532" s="580"/>
      <c r="AD532" s="1465"/>
      <c r="AF532" s="984"/>
    </row>
    <row r="533" spans="1:34" s="599" customFormat="1" ht="68.25" customHeight="1">
      <c r="A533" s="1408"/>
      <c r="B533" s="606"/>
      <c r="C533" s="973"/>
      <c r="D533" s="899"/>
      <c r="E533" s="1858"/>
      <c r="F533" s="1143"/>
      <c r="G533" s="2016"/>
      <c r="H533" s="1030"/>
      <c r="I533" s="1346"/>
      <c r="J533" s="1859"/>
      <c r="K533" s="1858"/>
      <c r="L533" s="606"/>
      <c r="M533" s="983" t="s">
        <v>4661</v>
      </c>
      <c r="N533" s="891" t="s">
        <v>4662</v>
      </c>
      <c r="O533" s="1906">
        <v>11627715.6</v>
      </c>
      <c r="P533" s="890"/>
      <c r="Q533" s="892"/>
      <c r="R533" s="1857"/>
      <c r="AC533" s="580"/>
      <c r="AD533" s="1465"/>
      <c r="AF533" s="984"/>
    </row>
    <row r="534" spans="1:34" s="599" customFormat="1" ht="39.75" customHeight="1">
      <c r="A534" s="1408"/>
      <c r="B534" s="606"/>
      <c r="C534" s="973"/>
      <c r="D534" s="899"/>
      <c r="E534" s="1858"/>
      <c r="F534" s="1143"/>
      <c r="G534" s="1346"/>
      <c r="H534" s="1878" t="s">
        <v>4251</v>
      </c>
      <c r="I534" s="1346"/>
      <c r="J534" s="1859"/>
      <c r="K534" s="1858"/>
      <c r="L534" s="1030"/>
      <c r="M534" s="991" t="s">
        <v>3471</v>
      </c>
      <c r="N534" s="891" t="s">
        <v>3472</v>
      </c>
      <c r="O534" s="1141">
        <v>75000</v>
      </c>
      <c r="Q534" s="891" t="s">
        <v>3473</v>
      </c>
      <c r="R534" s="1857"/>
      <c r="AC534" s="580"/>
      <c r="AD534" s="1465"/>
      <c r="AF534" s="984"/>
    </row>
    <row r="535" spans="1:34" s="599" customFormat="1" ht="68.25" customHeight="1">
      <c r="A535" s="1088">
        <v>3</v>
      </c>
      <c r="B535" s="823"/>
      <c r="C535" s="1590"/>
      <c r="D535" s="607"/>
      <c r="E535" s="1860"/>
      <c r="F535" s="600"/>
      <c r="G535" s="1939">
        <f>G531+H535</f>
        <v>21922539</v>
      </c>
      <c r="H535" s="1874">
        <f>9628419+4535097+484332</f>
        <v>14647848</v>
      </c>
      <c r="I535" s="1861">
        <v>10856650</v>
      </c>
      <c r="J535" s="1879"/>
      <c r="K535" s="1860" t="s">
        <v>4252</v>
      </c>
      <c r="L535" s="965"/>
      <c r="M535" s="983" t="s">
        <v>4202</v>
      </c>
      <c r="N535" s="599" t="s">
        <v>3402</v>
      </c>
      <c r="O535" s="1141">
        <f>Q535</f>
        <v>500000</v>
      </c>
      <c r="Q535" s="599">
        <v>500000</v>
      </c>
      <c r="R535" s="1789" t="s">
        <v>3425</v>
      </c>
      <c r="S535" s="1862"/>
      <c r="AC535" s="580"/>
      <c r="AD535" s="1465"/>
      <c r="AF535" s="984"/>
    </row>
    <row r="536" spans="1:34" s="599" customFormat="1" ht="219" customHeight="1">
      <c r="A536" s="607">
        <v>4</v>
      </c>
      <c r="B536" s="823" t="s">
        <v>955</v>
      </c>
      <c r="C536" s="607" t="s">
        <v>3274</v>
      </c>
      <c r="D536" s="607" t="s">
        <v>3276</v>
      </c>
      <c r="E536" s="607"/>
      <c r="F536" s="607"/>
      <c r="G536" s="607"/>
      <c r="H536" s="607"/>
      <c r="I536" s="607"/>
      <c r="J536" s="607">
        <v>84392.31</v>
      </c>
      <c r="K536" s="607" t="s">
        <v>3275</v>
      </c>
      <c r="L536" s="823" t="s">
        <v>2895</v>
      </c>
      <c r="N536" s="602"/>
    </row>
    <row r="537" spans="1:34" s="599" customFormat="1" ht="88.5" customHeight="1">
      <c r="A537" s="599">
        <v>5</v>
      </c>
      <c r="B537" s="446" t="s">
        <v>651</v>
      </c>
      <c r="C537" s="599" t="s">
        <v>3250</v>
      </c>
      <c r="D537" s="599" t="s">
        <v>3251</v>
      </c>
      <c r="E537" s="599" t="s">
        <v>2434</v>
      </c>
      <c r="F537" s="599">
        <v>370000</v>
      </c>
      <c r="J537" s="599">
        <v>370000</v>
      </c>
      <c r="K537" s="1789">
        <v>44698</v>
      </c>
      <c r="L537" s="446" t="s">
        <v>2895</v>
      </c>
      <c r="M537" s="599" t="s">
        <v>4377</v>
      </c>
      <c r="O537" s="599">
        <f>50000           +100000</f>
        <v>150000</v>
      </c>
      <c r="Q537" s="891" t="s">
        <v>3297</v>
      </c>
      <c r="R537" s="1094" t="s">
        <v>3298</v>
      </c>
    </row>
    <row r="538" spans="1:34" s="599" customFormat="1" ht="122.25" customHeight="1">
      <c r="B538" s="2416" t="s">
        <v>3254</v>
      </c>
      <c r="C538" s="2483" t="s">
        <v>3326</v>
      </c>
      <c r="D538" s="2483" t="s">
        <v>3324</v>
      </c>
      <c r="E538" s="2483" t="s">
        <v>4203</v>
      </c>
      <c r="F538" s="2483" t="s">
        <v>3325</v>
      </c>
      <c r="K538" s="1789"/>
      <c r="O538" s="890"/>
      <c r="Q538" s="892"/>
      <c r="R538" s="1857"/>
      <c r="S538" s="1869"/>
      <c r="T538" s="1869"/>
    </row>
    <row r="539" spans="1:34" s="599" customFormat="1" ht="55.5" customHeight="1">
      <c r="B539" s="2503"/>
      <c r="C539" s="2484"/>
      <c r="D539" s="2484"/>
      <c r="E539" s="2484"/>
      <c r="F539" s="2484"/>
      <c r="K539" s="1789"/>
      <c r="M539" s="599" t="s">
        <v>4436</v>
      </c>
      <c r="N539" s="599" t="s">
        <v>4236</v>
      </c>
      <c r="O539" s="890">
        <f>395000                                 +120000</f>
        <v>515000</v>
      </c>
      <c r="Q539" s="892" t="s">
        <v>4344</v>
      </c>
      <c r="R539" s="1857" t="s">
        <v>4345</v>
      </c>
      <c r="S539" s="1862"/>
    </row>
    <row r="540" spans="1:34" s="599" customFormat="1" ht="85.5" customHeight="1">
      <c r="A540" s="599">
        <v>6</v>
      </c>
      <c r="B540" s="2503"/>
      <c r="C540" s="2476"/>
      <c r="D540" s="2476"/>
      <c r="E540" s="2476"/>
      <c r="F540" s="2476"/>
      <c r="G540" s="1094">
        <v>44862</v>
      </c>
      <c r="I540" s="599" t="s">
        <v>4243</v>
      </c>
      <c r="J540" s="599">
        <v>9063643.3300000001</v>
      </c>
      <c r="K540" s="599" t="s">
        <v>4493</v>
      </c>
      <c r="L540" s="1871" t="s">
        <v>567</v>
      </c>
      <c r="M540" s="599" t="s">
        <v>4204</v>
      </c>
      <c r="N540" s="599" t="s">
        <v>4205</v>
      </c>
      <c r="O540" s="599" t="s">
        <v>3253</v>
      </c>
      <c r="P540" s="1809">
        <v>5408177.0300000003</v>
      </c>
      <c r="Q540" s="599" t="s">
        <v>4491</v>
      </c>
    </row>
    <row r="541" spans="1:34" s="599" customFormat="1" ht="64.5" customHeight="1">
      <c r="B541" s="2417"/>
      <c r="C541" s="965" t="s">
        <v>3516</v>
      </c>
      <c r="D541" s="965" t="s">
        <v>3515</v>
      </c>
      <c r="E541" s="965" t="s">
        <v>1715</v>
      </c>
      <c r="F541" s="965" t="s">
        <v>3517</v>
      </c>
      <c r="I541" s="599" t="s">
        <v>4242</v>
      </c>
      <c r="J541" s="599">
        <v>-1108073.31</v>
      </c>
      <c r="K541" s="599" t="s">
        <v>4494</v>
      </c>
      <c r="L541" s="1871" t="s">
        <v>567</v>
      </c>
      <c r="M541" s="843" t="s">
        <v>4206</v>
      </c>
      <c r="N541" s="599" t="s">
        <v>3526</v>
      </c>
      <c r="O541" s="599" t="s">
        <v>3527</v>
      </c>
      <c r="P541" s="599">
        <v>887941.41</v>
      </c>
      <c r="Q541" s="599" t="s">
        <v>4492</v>
      </c>
    </row>
    <row r="542" spans="1:34" s="599" customFormat="1" ht="83.25" customHeight="1">
      <c r="A542" s="599">
        <v>7</v>
      </c>
      <c r="B542" s="2416" t="s">
        <v>4361</v>
      </c>
      <c r="C542" s="2483" t="s">
        <v>4207</v>
      </c>
      <c r="D542" s="2483" t="s">
        <v>4208</v>
      </c>
      <c r="E542" s="2483" t="s">
        <v>4209</v>
      </c>
      <c r="F542" s="2483">
        <v>2380000</v>
      </c>
      <c r="G542" s="2483"/>
      <c r="H542" s="2483" t="s">
        <v>3499</v>
      </c>
      <c r="I542" s="2483"/>
      <c r="J542" s="2537">
        <v>2380000</v>
      </c>
      <c r="K542" s="2725">
        <v>44796</v>
      </c>
      <c r="L542" s="2416" t="s">
        <v>2895</v>
      </c>
      <c r="M542" s="843" t="s">
        <v>4380</v>
      </c>
      <c r="N542" s="502" t="s">
        <v>4378</v>
      </c>
      <c r="O542" s="599">
        <f>50000                                       +100000                            +100000                                       +100000</f>
        <v>350000</v>
      </c>
      <c r="Q542" s="891" t="s">
        <v>4322</v>
      </c>
      <c r="R542" s="1094" t="s">
        <v>4323</v>
      </c>
      <c r="S542" s="1809" t="s">
        <v>4238</v>
      </c>
    </row>
    <row r="543" spans="1:34" s="599" customFormat="1" ht="90" customHeight="1">
      <c r="B543" s="2503"/>
      <c r="C543" s="2476"/>
      <c r="D543" s="2476"/>
      <c r="E543" s="2476"/>
      <c r="F543" s="2476"/>
      <c r="G543" s="2476"/>
      <c r="H543" s="2476"/>
      <c r="I543" s="2476"/>
      <c r="J543" s="2539"/>
      <c r="K543" s="2726"/>
      <c r="L543" s="2417"/>
      <c r="Q543" s="892"/>
      <c r="R543" s="890"/>
    </row>
    <row r="544" spans="1:34" s="599" customFormat="1" ht="148.5" customHeight="1">
      <c r="B544" s="2503"/>
      <c r="C544" s="599" t="s">
        <v>3393</v>
      </c>
      <c r="D544" s="599" t="s">
        <v>4210</v>
      </c>
      <c r="E544" s="599" t="s">
        <v>4211</v>
      </c>
      <c r="F544" s="599">
        <v>760000</v>
      </c>
      <c r="H544" s="599">
        <v>380000</v>
      </c>
      <c r="J544" s="601">
        <v>760000</v>
      </c>
      <c r="K544" s="1094">
        <v>44845</v>
      </c>
      <c r="L544" s="442" t="s">
        <v>2895</v>
      </c>
      <c r="M544" s="843" t="s">
        <v>4399</v>
      </c>
      <c r="N544" s="502" t="s">
        <v>3393</v>
      </c>
      <c r="O544" s="599">
        <f>150000                              +100000</f>
        <v>250000</v>
      </c>
      <c r="P544" s="599" t="s">
        <v>4400</v>
      </c>
      <c r="Q544" s="599" t="s">
        <v>4397</v>
      </c>
      <c r="R544" s="1094" t="s">
        <v>4398</v>
      </c>
    </row>
    <row r="545" spans="1:41" s="599" customFormat="1" ht="81" customHeight="1">
      <c r="B545" s="474"/>
      <c r="C545" s="2718" t="s">
        <v>4528</v>
      </c>
      <c r="D545" s="2485" t="s">
        <v>4598</v>
      </c>
      <c r="E545" s="2483" t="s">
        <v>3498</v>
      </c>
      <c r="F545" s="2483" t="s">
        <v>3497</v>
      </c>
      <c r="J545" s="1124"/>
      <c r="K545" s="2485" t="s">
        <v>4630</v>
      </c>
      <c r="L545" s="2416"/>
      <c r="M545" s="1972" t="s">
        <v>4644</v>
      </c>
      <c r="N545" s="502" t="s">
        <v>4534</v>
      </c>
      <c r="O545" s="1016">
        <v>2404243.7999999998</v>
      </c>
      <c r="R545" s="2006"/>
    </row>
    <row r="546" spans="1:41" s="599" customFormat="1" ht="62.25" customHeight="1">
      <c r="B546" s="606"/>
      <c r="C546" s="2719"/>
      <c r="D546" s="2487"/>
      <c r="E546" s="2476"/>
      <c r="F546" s="2476"/>
      <c r="J546" s="1692">
        <v>31360000</v>
      </c>
      <c r="K546" s="2487"/>
      <c r="L546" s="2417"/>
      <c r="M546" s="1973" t="s">
        <v>4535</v>
      </c>
      <c r="N546" s="599" t="s">
        <v>4529</v>
      </c>
      <c r="O546" s="599" t="s">
        <v>4530</v>
      </c>
      <c r="Q546" s="890"/>
      <c r="R546" s="1337"/>
    </row>
    <row r="547" spans="1:41" s="599" customFormat="1" ht="63.75" customHeight="1">
      <c r="B547" s="606"/>
      <c r="C547" s="2483" t="s">
        <v>4715</v>
      </c>
      <c r="D547" s="741" t="s">
        <v>3426</v>
      </c>
      <c r="E547" s="2483" t="s">
        <v>4664</v>
      </c>
      <c r="F547" s="2508" t="s">
        <v>4714</v>
      </c>
      <c r="J547" s="1993"/>
      <c r="M547" s="1995" t="s">
        <v>4613</v>
      </c>
      <c r="N547" s="1996" t="s">
        <v>4614</v>
      </c>
      <c r="O547" s="1996">
        <v>665000</v>
      </c>
      <c r="P547" s="1996" t="s">
        <v>4615</v>
      </c>
      <c r="Q547" s="1997"/>
      <c r="R547" s="1996" t="s">
        <v>4603</v>
      </c>
      <c r="S547" s="1996" t="s">
        <v>4604</v>
      </c>
    </row>
    <row r="548" spans="1:41" s="599" customFormat="1" ht="91.5" customHeight="1">
      <c r="B548" s="606"/>
      <c r="C548" s="2484"/>
      <c r="D548" s="899" t="s">
        <v>4674</v>
      </c>
      <c r="E548" s="2484"/>
      <c r="F548" s="2513"/>
      <c r="J548" s="1993"/>
      <c r="M548" s="1304" t="s">
        <v>4632</v>
      </c>
      <c r="N548" s="599" t="s">
        <v>4633</v>
      </c>
      <c r="O548" s="446">
        <v>1700000</v>
      </c>
      <c r="Q548" s="890"/>
    </row>
    <row r="549" spans="1:41" s="599" customFormat="1" ht="75.75" customHeight="1">
      <c r="B549" s="606"/>
      <c r="C549" s="1030"/>
      <c r="D549" s="899"/>
      <c r="E549" s="1030"/>
      <c r="F549" s="1143"/>
      <c r="I549" s="1809" t="s">
        <v>4544</v>
      </c>
      <c r="M549" s="1971" t="s">
        <v>4716</v>
      </c>
      <c r="N549" s="599" t="s">
        <v>4531</v>
      </c>
      <c r="O549" s="599" t="s">
        <v>4533</v>
      </c>
      <c r="Q549" s="890"/>
    </row>
    <row r="550" spans="1:41" s="599" customFormat="1" ht="278.25" customHeight="1">
      <c r="B550" s="606"/>
      <c r="C550" s="1018" t="s">
        <v>4718</v>
      </c>
      <c r="D550" s="599" t="s">
        <v>4677</v>
      </c>
      <c r="E550" s="602"/>
      <c r="F550" s="1119" t="s">
        <v>4717</v>
      </c>
      <c r="G550" s="599" t="s">
        <v>65</v>
      </c>
      <c r="I550" s="1809"/>
      <c r="M550" s="1971"/>
      <c r="Q550" s="890"/>
    </row>
    <row r="551" spans="1:41" s="599" customFormat="1" ht="82.5" customHeight="1">
      <c r="A551" s="599">
        <v>7</v>
      </c>
      <c r="B551" s="823"/>
      <c r="C551" s="599" t="s">
        <v>4675</v>
      </c>
      <c r="D551" s="599" t="s">
        <v>4676</v>
      </c>
      <c r="E551" s="601" t="s">
        <v>3429</v>
      </c>
      <c r="F551" s="599">
        <v>439680</v>
      </c>
      <c r="M551" s="1971" t="s">
        <v>4532</v>
      </c>
      <c r="N551" s="599" t="s">
        <v>4531</v>
      </c>
      <c r="O551" s="599" t="s">
        <v>4533</v>
      </c>
      <c r="Q551" s="890"/>
      <c r="R551" s="1337"/>
    </row>
    <row r="552" spans="1:41" s="973" customFormat="1" ht="69.75" customHeight="1">
      <c r="A552" s="599"/>
      <c r="B552" s="2713" t="s">
        <v>4255</v>
      </c>
      <c r="C552" s="2555" t="s">
        <v>4234</v>
      </c>
      <c r="D552" s="2483" t="s">
        <v>4212</v>
      </c>
      <c r="E552" s="2483" t="s">
        <v>4213</v>
      </c>
      <c r="F552" s="2483" t="s">
        <v>3496</v>
      </c>
      <c r="G552" s="2483"/>
      <c r="H552" s="2483"/>
      <c r="I552" s="2483"/>
      <c r="J552" s="2485">
        <v>210000</v>
      </c>
      <c r="K552" s="2485" t="s">
        <v>4320</v>
      </c>
      <c r="L552" s="2483" t="s">
        <v>4501</v>
      </c>
      <c r="M552" s="843" t="s">
        <v>3506</v>
      </c>
      <c r="N552" s="599">
        <f>375000                                   +395000                                           +110000</f>
        <v>880000</v>
      </c>
      <c r="O552" s="599"/>
      <c r="P552" s="1744" t="s">
        <v>4412</v>
      </c>
      <c r="Q552" s="892" t="s">
        <v>4289</v>
      </c>
      <c r="R552" s="1337" t="s">
        <v>4290</v>
      </c>
      <c r="S552" s="1862"/>
      <c r="T552" s="599"/>
      <c r="U552" s="599"/>
      <c r="V552" s="599"/>
      <c r="W552" s="599"/>
      <c r="X552" s="599"/>
      <c r="Y552" s="599"/>
      <c r="Z552" s="599"/>
      <c r="AA552" s="599"/>
      <c r="AB552" s="599"/>
      <c r="AC552" s="599"/>
      <c r="AD552" s="599"/>
      <c r="AE552" s="599"/>
      <c r="AF552" s="599"/>
      <c r="AG552" s="599"/>
      <c r="AH552" s="599"/>
      <c r="AI552" s="599"/>
      <c r="AJ552" s="599"/>
      <c r="AK552" s="599"/>
      <c r="AL552" s="599"/>
      <c r="AM552" s="599"/>
      <c r="AN552" s="599"/>
      <c r="AO552" s="599"/>
    </row>
    <row r="553" spans="1:41" ht="82.5" customHeight="1">
      <c r="A553" s="599">
        <v>8</v>
      </c>
      <c r="B553" s="2714"/>
      <c r="C553" s="2557"/>
      <c r="D553" s="2476"/>
      <c r="E553" s="2476"/>
      <c r="F553" s="2476"/>
      <c r="G553" s="2476"/>
      <c r="H553" s="2476"/>
      <c r="I553" s="2476"/>
      <c r="J553" s="2487"/>
      <c r="K553" s="2487"/>
      <c r="L553" s="2476"/>
      <c r="M553" s="1744" t="s">
        <v>4214</v>
      </c>
      <c r="N553" s="1744">
        <f>111120                               +222300                              +103200                               +340000                                     +326700</f>
        <v>1103320</v>
      </c>
      <c r="O553" s="1744"/>
      <c r="P553" s="1744" t="s">
        <v>4279</v>
      </c>
      <c r="Q553" s="892" t="s">
        <v>3520</v>
      </c>
      <c r="R553" s="890" t="s">
        <v>3521</v>
      </c>
      <c r="S553" s="1791"/>
      <c r="T553" s="599"/>
      <c r="U553" s="599"/>
      <c r="V553" s="599"/>
      <c r="W553" s="599"/>
      <c r="X553" s="599"/>
      <c r="Y553" s="599"/>
      <c r="Z553" s="599"/>
      <c r="AA553" s="599"/>
      <c r="AB553" s="599"/>
      <c r="AC553" s="599"/>
      <c r="AD553" s="599"/>
      <c r="AE553" s="599"/>
      <c r="AF553" s="599"/>
      <c r="AG553" s="599"/>
      <c r="AH553" s="599"/>
      <c r="AI553" s="599"/>
      <c r="AJ553" s="599"/>
      <c r="AK553" s="599"/>
      <c r="AL553" s="599"/>
      <c r="AM553" s="599"/>
      <c r="AN553" s="599"/>
      <c r="AO553" s="599"/>
    </row>
    <row r="554" spans="1:41" ht="82.5" customHeight="1">
      <c r="A554" s="599"/>
      <c r="B554" s="2416" t="s">
        <v>3311</v>
      </c>
      <c r="C554" s="2025" t="s">
        <v>4691</v>
      </c>
      <c r="D554" s="1030" t="s">
        <v>4692</v>
      </c>
      <c r="E554" s="600">
        <v>148920.85999999999</v>
      </c>
      <c r="F554" s="965"/>
      <c r="G554" s="965"/>
      <c r="H554" s="965"/>
      <c r="I554" s="965"/>
      <c r="J554" s="965">
        <v>148920.85999999999</v>
      </c>
      <c r="K554" s="965" t="s">
        <v>4263</v>
      </c>
      <c r="L554" s="965"/>
      <c r="M554" s="1744"/>
      <c r="N554" s="1744"/>
      <c r="O554" s="1744"/>
      <c r="P554" s="1744"/>
      <c r="Q554" s="892"/>
      <c r="R554" s="890"/>
      <c r="S554" s="1791"/>
      <c r="T554" s="599"/>
      <c r="U554" s="599"/>
      <c r="V554" s="599"/>
      <c r="W554" s="599"/>
      <c r="X554" s="599"/>
      <c r="Y554" s="599"/>
      <c r="Z554" s="599"/>
      <c r="AA554" s="599"/>
      <c r="AB554" s="599"/>
      <c r="AC554" s="599"/>
      <c r="AD554" s="599"/>
      <c r="AE554" s="599"/>
      <c r="AF554" s="599"/>
      <c r="AG554" s="599"/>
      <c r="AH554" s="599"/>
      <c r="AI554" s="599"/>
      <c r="AJ554" s="599"/>
      <c r="AK554" s="599"/>
      <c r="AL554" s="599"/>
      <c r="AM554" s="599"/>
      <c r="AN554" s="599"/>
      <c r="AO554" s="599"/>
    </row>
    <row r="555" spans="1:41" ht="78.75" customHeight="1">
      <c r="A555" s="599">
        <v>9</v>
      </c>
      <c r="B555" s="2417"/>
      <c r="C555" s="599" t="s">
        <v>3312</v>
      </c>
      <c r="D555" s="1863" t="s">
        <v>4215</v>
      </c>
      <c r="E555" s="599"/>
      <c r="F555" s="599">
        <v>551005.96</v>
      </c>
      <c r="G555" s="599"/>
      <c r="H555" s="599">
        <v>551005.96</v>
      </c>
      <c r="I555" s="599"/>
      <c r="J555" s="599">
        <v>551005.96</v>
      </c>
      <c r="K555" s="599" t="s">
        <v>4273</v>
      </c>
      <c r="L555" s="599" t="s">
        <v>4502</v>
      </c>
      <c r="M555" s="446"/>
      <c r="N555" s="599"/>
      <c r="O555" s="599"/>
      <c r="P555" s="599"/>
      <c r="Q555" s="890"/>
      <c r="R555" s="1337"/>
      <c r="S555" s="599"/>
      <c r="T555" s="599"/>
      <c r="U555" s="599"/>
      <c r="V555" s="599"/>
      <c r="W555" s="599"/>
      <c r="X555" s="599"/>
      <c r="Y555" s="599"/>
      <c r="Z555" s="599"/>
      <c r="AA555" s="599"/>
      <c r="AB555" s="599"/>
      <c r="AC555" s="599"/>
      <c r="AD555" s="599"/>
      <c r="AE555" s="599"/>
      <c r="AF555" s="599"/>
      <c r="AG555" s="599"/>
      <c r="AH555" s="599"/>
      <c r="AI555" s="599"/>
      <c r="AJ555" s="599"/>
      <c r="AK555" s="599"/>
      <c r="AL555" s="599"/>
      <c r="AM555" s="599"/>
      <c r="AN555" s="599"/>
      <c r="AO555" s="599"/>
    </row>
    <row r="556" spans="1:41" ht="81" customHeight="1">
      <c r="A556" s="984"/>
      <c r="B556" s="822"/>
      <c r="C556" s="899"/>
      <c r="D556" s="741"/>
      <c r="E556" s="741"/>
      <c r="F556" s="741"/>
      <c r="G556" s="2483"/>
      <c r="H556" s="2516">
        <v>5106925.26</v>
      </c>
      <c r="I556" s="2703"/>
      <c r="J556" s="2483">
        <v>5106925.26</v>
      </c>
      <c r="K556" s="2702" t="s">
        <v>4311</v>
      </c>
      <c r="L556" s="2483" t="s">
        <v>4503</v>
      </c>
      <c r="M556" s="831" t="s">
        <v>3533</v>
      </c>
      <c r="N556" s="599" t="s">
        <v>3528</v>
      </c>
      <c r="O556" s="601" t="s">
        <v>4244</v>
      </c>
      <c r="P556" s="599">
        <v>3130514.04</v>
      </c>
      <c r="Q556" s="890"/>
      <c r="R556" s="1337"/>
      <c r="S556" s="599"/>
      <c r="T556" s="599"/>
      <c r="U556" s="599"/>
      <c r="V556" s="599"/>
      <c r="W556" s="599"/>
      <c r="X556" s="599"/>
      <c r="Y556" s="599"/>
      <c r="Z556" s="599"/>
      <c r="AA556" s="599"/>
      <c r="AB556" s="599"/>
      <c r="AC556" s="599"/>
      <c r="AD556" s="599"/>
      <c r="AE556" s="599"/>
      <c r="AF556" s="599"/>
      <c r="AG556" s="599"/>
      <c r="AH556" s="599"/>
      <c r="AI556" s="599"/>
      <c r="AJ556" s="599"/>
      <c r="AK556" s="599"/>
      <c r="AL556" s="599"/>
      <c r="AM556" s="599"/>
      <c r="AN556" s="599"/>
      <c r="AO556" s="599"/>
    </row>
    <row r="557" spans="1:41" ht="113.25" customHeight="1">
      <c r="A557" s="984"/>
      <c r="B557" s="606" t="s">
        <v>4237</v>
      </c>
      <c r="C557" s="2484" t="s">
        <v>3343</v>
      </c>
      <c r="D557" s="899" t="s">
        <v>4216</v>
      </c>
      <c r="E557" s="899" t="s">
        <v>1785</v>
      </c>
      <c r="F557" s="899" t="s">
        <v>3344</v>
      </c>
      <c r="G557" s="2484"/>
      <c r="H557" s="2540"/>
      <c r="I557" s="2704"/>
      <c r="J557" s="2484"/>
      <c r="K557" s="2484"/>
      <c r="L557" s="2484"/>
      <c r="M557" s="599" t="s">
        <v>4365</v>
      </c>
      <c r="N557" s="891">
        <f>400000                                   +350000</f>
        <v>750000</v>
      </c>
      <c r="O557" s="599"/>
      <c r="P557" s="599"/>
      <c r="Q557" s="892" t="s">
        <v>3504</v>
      </c>
      <c r="R557" s="1337" t="s">
        <v>3505</v>
      </c>
      <c r="S557" s="599"/>
      <c r="T557" s="599"/>
      <c r="U557" s="599"/>
      <c r="V557" s="599"/>
      <c r="W557" s="599"/>
      <c r="X557" s="599"/>
      <c r="Y557" s="599"/>
      <c r="Z557" s="599"/>
      <c r="AA557" s="599"/>
      <c r="AB557" s="599"/>
      <c r="AC557" s="599"/>
      <c r="AD557" s="599"/>
      <c r="AE557" s="599"/>
      <c r="AF557" s="599"/>
      <c r="AG557" s="599"/>
      <c r="AH557" s="599"/>
      <c r="AI557" s="599"/>
      <c r="AJ557" s="599"/>
      <c r="AK557" s="599"/>
      <c r="AL557" s="599"/>
      <c r="AM557" s="599"/>
      <c r="AN557" s="599"/>
      <c r="AO557" s="599"/>
    </row>
    <row r="558" spans="1:41" ht="91.5" customHeight="1">
      <c r="A558" s="984"/>
      <c r="B558" s="823"/>
      <c r="C558" s="2476"/>
      <c r="D558" s="607"/>
      <c r="E558" s="607"/>
      <c r="F558" s="607"/>
      <c r="G558" s="2476"/>
      <c r="H558" s="2517"/>
      <c r="I558" s="2705"/>
      <c r="J558" s="2476"/>
      <c r="K558" s="2476"/>
      <c r="L558" s="2476"/>
      <c r="M558" s="599"/>
      <c r="N558" s="890"/>
      <c r="O558" s="599"/>
      <c r="P558" s="599"/>
      <c r="Q558" s="892"/>
      <c r="R558" s="1337"/>
      <c r="S558" s="1872"/>
      <c r="T558" s="599"/>
      <c r="U558" s="599"/>
      <c r="V558" s="599"/>
      <c r="W558" s="599"/>
      <c r="X558" s="599"/>
      <c r="Y558" s="599"/>
      <c r="Z558" s="599"/>
      <c r="AA558" s="599"/>
      <c r="AB558" s="599"/>
      <c r="AC558" s="599"/>
      <c r="AD558" s="599"/>
      <c r="AE558" s="599"/>
      <c r="AF558" s="599"/>
      <c r="AG558" s="599"/>
      <c r="AH558" s="599"/>
      <c r="AI558" s="599"/>
      <c r="AJ558" s="599"/>
      <c r="AK558" s="599"/>
      <c r="AL558" s="599"/>
      <c r="AM558" s="599"/>
      <c r="AN558" s="599"/>
      <c r="AO558" s="599"/>
    </row>
    <row r="559" spans="1:41" ht="47.25" customHeight="1">
      <c r="A559" s="984"/>
      <c r="B559" s="822"/>
      <c r="C559" s="2483" t="s">
        <v>3345</v>
      </c>
      <c r="D559" s="2483" t="s">
        <v>4312</v>
      </c>
      <c r="E559" s="2483" t="s">
        <v>1785</v>
      </c>
      <c r="F559" s="2483" t="s">
        <v>3346</v>
      </c>
      <c r="G559" s="2483"/>
      <c r="H559" s="2483"/>
      <c r="I559" s="2483" t="s">
        <v>4337</v>
      </c>
      <c r="J559" s="2483">
        <v>1009290.36</v>
      </c>
      <c r="K559" s="2483" t="s">
        <v>4311</v>
      </c>
      <c r="L559" s="2485" t="s">
        <v>4504</v>
      </c>
      <c r="M559" s="843" t="s">
        <v>4217</v>
      </c>
      <c r="N559" s="599" t="s">
        <v>3526</v>
      </c>
      <c r="O559" s="599" t="s">
        <v>3529</v>
      </c>
      <c r="P559" s="599">
        <v>1025861.22</v>
      </c>
      <c r="Q559" s="892"/>
      <c r="R559" s="1337"/>
      <c r="S559" s="599"/>
      <c r="T559" s="599"/>
      <c r="U559" s="599"/>
      <c r="V559" s="599"/>
      <c r="W559" s="599"/>
      <c r="X559" s="599"/>
      <c r="Y559" s="599"/>
      <c r="Z559" s="599"/>
      <c r="AA559" s="599"/>
      <c r="AB559" s="599"/>
      <c r="AC559" s="599"/>
      <c r="AD559" s="599"/>
      <c r="AE559" s="599"/>
      <c r="AF559" s="599"/>
      <c r="AG559" s="599"/>
      <c r="AH559" s="599"/>
      <c r="AI559" s="599"/>
      <c r="AJ559" s="599"/>
      <c r="AK559" s="599"/>
      <c r="AL559" s="599"/>
      <c r="AM559" s="599"/>
      <c r="AN559" s="599"/>
      <c r="AO559" s="599"/>
    </row>
    <row r="560" spans="1:41" ht="93" customHeight="1">
      <c r="A560" s="984"/>
      <c r="B560" s="823" t="s">
        <v>4218</v>
      </c>
      <c r="C560" s="2476"/>
      <c r="D560" s="2476"/>
      <c r="E560" s="2476"/>
      <c r="F560" s="2476"/>
      <c r="G560" s="2476"/>
      <c r="H560" s="2476"/>
      <c r="I560" s="2476"/>
      <c r="J560" s="2476"/>
      <c r="K560" s="2476"/>
      <c r="L560" s="2487"/>
      <c r="M560" s="599"/>
      <c r="N560" s="599"/>
      <c r="O560" s="599"/>
      <c r="P560" s="599"/>
      <c r="Q560" s="599"/>
      <c r="R560" s="599"/>
      <c r="S560" s="599"/>
      <c r="T560" s="599"/>
      <c r="U560" s="599"/>
      <c r="V560" s="599"/>
      <c r="W560" s="599"/>
      <c r="X560" s="599"/>
      <c r="Y560" s="599"/>
      <c r="Z560" s="599"/>
      <c r="AA560" s="599"/>
      <c r="AB560" s="599"/>
      <c r="AC560" s="599"/>
      <c r="AD560" s="599"/>
      <c r="AE560" s="599"/>
      <c r="AF560" s="599"/>
      <c r="AG560" s="599"/>
      <c r="AH560" s="599"/>
      <c r="AI560" s="599"/>
      <c r="AJ560" s="599"/>
      <c r="AK560" s="599"/>
      <c r="AL560" s="599"/>
      <c r="AM560" s="599"/>
      <c r="AN560" s="599"/>
      <c r="AO560" s="599"/>
    </row>
    <row r="561" spans="1:256" ht="60.75" customHeight="1">
      <c r="A561" s="599"/>
      <c r="B561" s="2503" t="s">
        <v>4219</v>
      </c>
      <c r="C561" s="2483" t="s">
        <v>3364</v>
      </c>
      <c r="D561" s="2416" t="s">
        <v>4786</v>
      </c>
      <c r="E561" s="2483" t="s">
        <v>3365</v>
      </c>
      <c r="F561" s="2483" t="s">
        <v>3366</v>
      </c>
      <c r="G561" s="2483"/>
      <c r="H561" s="2516">
        <v>276461.95</v>
      </c>
      <c r="I561" s="2708" t="s">
        <v>4333</v>
      </c>
      <c r="J561" s="2528" t="s">
        <v>4387</v>
      </c>
      <c r="K561" s="2416" t="s">
        <v>4386</v>
      </c>
      <c r="L561" s="2514" t="s">
        <v>4505</v>
      </c>
      <c r="M561" s="599"/>
      <c r="N561" s="599"/>
      <c r="O561" s="599"/>
      <c r="P561" s="599"/>
      <c r="Q561" s="890"/>
      <c r="R561" s="890"/>
      <c r="S561" s="1872"/>
      <c r="T561" s="607"/>
      <c r="U561" s="599"/>
      <c r="V561" s="599"/>
      <c r="W561" s="599"/>
      <c r="X561" s="599"/>
      <c r="Y561" s="599"/>
      <c r="Z561" s="599"/>
      <c r="AA561" s="599"/>
      <c r="AB561" s="599"/>
      <c r="AC561" s="599"/>
      <c r="AD561" s="599"/>
      <c r="AE561" s="599"/>
      <c r="AF561" s="599"/>
      <c r="AG561" s="599"/>
      <c r="AH561" s="599"/>
      <c r="AI561" s="599"/>
      <c r="AJ561" s="599"/>
      <c r="AK561" s="599"/>
      <c r="AL561" s="599"/>
      <c r="AM561" s="599"/>
      <c r="AN561" s="599"/>
      <c r="AO561" s="599"/>
    </row>
    <row r="562" spans="1:256" ht="182.25" customHeight="1">
      <c r="A562" s="311"/>
      <c r="B562" s="2417"/>
      <c r="C562" s="2476"/>
      <c r="D562" s="2417"/>
      <c r="E562" s="2476"/>
      <c r="F562" s="2476"/>
      <c r="G562" s="2476"/>
      <c r="H562" s="2517"/>
      <c r="I562" s="2709"/>
      <c r="J562" s="2529"/>
      <c r="K562" s="2417"/>
      <c r="L562" s="2515"/>
      <c r="M562" s="599" t="s">
        <v>4785</v>
      </c>
      <c r="N562" s="594" t="s">
        <v>2029</v>
      </c>
      <c r="O562" s="1455" t="s">
        <v>3367</v>
      </c>
      <c r="P562" s="1886" t="s">
        <v>4259</v>
      </c>
      <c r="Q562" s="1455"/>
      <c r="R562" s="1464"/>
      <c r="S562" s="1864"/>
      <c r="T562" s="607"/>
      <c r="U562" s="599"/>
      <c r="V562" s="599"/>
      <c r="W562" s="599"/>
      <c r="X562" s="599"/>
      <c r="Y562" s="599"/>
      <c r="Z562" s="599"/>
      <c r="AA562" s="599"/>
      <c r="AB562" s="580"/>
      <c r="AC562" s="599"/>
      <c r="AD562" s="599"/>
      <c r="AE562" s="599"/>
      <c r="AF562" s="599"/>
      <c r="AG562" s="599"/>
      <c r="AH562" s="599"/>
      <c r="AI562" s="599"/>
      <c r="AJ562" s="599"/>
      <c r="AK562" s="599"/>
      <c r="AL562" s="599"/>
      <c r="AM562" s="599"/>
      <c r="AN562" s="599"/>
      <c r="AO562" s="599"/>
    </row>
    <row r="563" spans="1:256" ht="144" customHeight="1">
      <c r="A563" s="311"/>
      <c r="B563" s="446" t="s">
        <v>3427</v>
      </c>
      <c r="C563" s="602" t="s">
        <v>3465</v>
      </c>
      <c r="D563" s="446" t="s">
        <v>3466</v>
      </c>
      <c r="E563" s="599"/>
      <c r="F563" s="1016">
        <v>250000</v>
      </c>
      <c r="G563" s="601"/>
      <c r="H563" s="601"/>
      <c r="I563" s="1965" t="s">
        <v>4333</v>
      </c>
      <c r="J563" s="1966">
        <v>250000</v>
      </c>
      <c r="K563" s="1967" t="s">
        <v>3467</v>
      </c>
      <c r="L563" s="594" t="s">
        <v>4551</v>
      </c>
      <c r="M563" s="599"/>
      <c r="N563" s="594"/>
      <c r="O563" s="1455"/>
      <c r="P563" s="1455"/>
      <c r="Q563" s="1455"/>
      <c r="R563" s="1464"/>
      <c r="S563" s="1864"/>
      <c r="T563" s="607"/>
      <c r="U563" s="599"/>
      <c r="V563" s="599"/>
      <c r="W563" s="599"/>
      <c r="X563" s="599"/>
      <c r="Y563" s="599"/>
      <c r="Z563" s="599"/>
      <c r="AA563" s="599"/>
      <c r="AB563" s="580"/>
      <c r="AC563" s="599"/>
      <c r="AD563" s="599"/>
      <c r="AE563" s="599"/>
      <c r="AF563" s="599"/>
      <c r="AG563" s="599"/>
      <c r="AH563" s="599"/>
      <c r="AI563" s="599"/>
      <c r="AJ563" s="599"/>
      <c r="AK563" s="599"/>
      <c r="AL563" s="599"/>
      <c r="AM563" s="599"/>
      <c r="AN563" s="599"/>
      <c r="AO563" s="599"/>
    </row>
    <row r="564" spans="1:256" ht="45" customHeight="1">
      <c r="A564" s="599"/>
      <c r="B564" s="446" t="s">
        <v>3409</v>
      </c>
      <c r="C564" s="599" t="s">
        <v>3410</v>
      </c>
      <c r="D564" s="446" t="s">
        <v>3411</v>
      </c>
      <c r="E564" s="599" t="s">
        <v>3412</v>
      </c>
      <c r="F564" s="625">
        <v>192500</v>
      </c>
      <c r="G564" s="891"/>
      <c r="H564" s="599"/>
      <c r="I564" s="601"/>
      <c r="J564" s="599">
        <v>192500</v>
      </c>
      <c r="K564" s="1094">
        <v>44806</v>
      </c>
      <c r="L564" s="446" t="s">
        <v>401</v>
      </c>
      <c r="M564" s="599"/>
      <c r="N564" s="599"/>
      <c r="O564" s="599"/>
      <c r="P564" s="599"/>
      <c r="Q564" s="599"/>
      <c r="R564" s="599"/>
      <c r="S564" s="1008"/>
      <c r="T564" s="1140"/>
      <c r="U564" s="1655"/>
      <c r="V564" s="1578"/>
      <c r="W564" s="1694"/>
      <c r="X564" s="1580"/>
      <c r="Y564" s="1805"/>
      <c r="Z564" s="607"/>
      <c r="AA564" s="607"/>
      <c r="AB564" s="1344">
        <v>9020000</v>
      </c>
      <c r="AC564" s="1592"/>
      <c r="AD564" s="1088"/>
      <c r="AE564" s="607"/>
      <c r="AF564" s="1088"/>
      <c r="AG564" s="607"/>
      <c r="AH564" s="607"/>
    </row>
    <row r="565" spans="1:256" ht="99" customHeight="1">
      <c r="A565" s="599"/>
      <c r="B565" s="446" t="s">
        <v>4231</v>
      </c>
      <c r="C565" s="599" t="s">
        <v>4232</v>
      </c>
      <c r="D565" s="446" t="s">
        <v>4233</v>
      </c>
      <c r="E565" s="599"/>
      <c r="F565" s="625">
        <v>135000</v>
      </c>
      <c r="G565" s="891"/>
      <c r="H565" s="599"/>
      <c r="I565" s="601" t="s">
        <v>4333</v>
      </c>
      <c r="J565" s="625">
        <v>135000</v>
      </c>
      <c r="K565" s="599" t="s">
        <v>4396</v>
      </c>
      <c r="L565" s="594" t="s">
        <v>4506</v>
      </c>
      <c r="M565" s="607"/>
      <c r="N565" s="607"/>
      <c r="O565" s="607"/>
      <c r="P565" s="607"/>
      <c r="Q565" s="1088"/>
      <c r="R565" s="607"/>
      <c r="S565" s="1008"/>
      <c r="T565" s="1140"/>
      <c r="U565" s="1140"/>
      <c r="V565" s="1526"/>
      <c r="W565" s="1052"/>
      <c r="X565" s="1355"/>
      <c r="Y565" s="1353"/>
      <c r="Z565" s="599"/>
      <c r="AA565" s="599"/>
      <c r="AB565" s="580"/>
      <c r="AC565" s="1592"/>
      <c r="AD565" s="1088"/>
      <c r="AE565" s="607"/>
      <c r="AF565" s="1088"/>
      <c r="AG565" s="607"/>
      <c r="AH565" s="607"/>
    </row>
    <row r="566" spans="1:256" ht="72" customHeight="1">
      <c r="A566" s="599"/>
      <c r="B566" s="2416" t="s">
        <v>3464</v>
      </c>
      <c r="C566" s="2483" t="s">
        <v>3414</v>
      </c>
      <c r="D566" s="2727" t="s">
        <v>4409</v>
      </c>
      <c r="E566" s="2483" t="s">
        <v>3415</v>
      </c>
      <c r="F566" s="2508">
        <v>2439991.4</v>
      </c>
      <c r="G566" s="891"/>
      <c r="H566" s="599"/>
      <c r="I566" s="601"/>
      <c r="J566" s="1630"/>
      <c r="K566" s="890"/>
      <c r="L566" s="2416" t="s">
        <v>401</v>
      </c>
      <c r="M566" s="1913" t="s">
        <v>4343</v>
      </c>
      <c r="N566" s="1744" t="s">
        <v>4261</v>
      </c>
      <c r="O566" s="1744">
        <f>375000                                                        +395000                               +110000</f>
        <v>880000</v>
      </c>
      <c r="P566" s="1744" t="s">
        <v>4278</v>
      </c>
      <c r="Q566" s="1914" t="s">
        <v>4291</v>
      </c>
      <c r="R566" s="1915" t="s">
        <v>4292</v>
      </c>
      <c r="S566" s="1862"/>
      <c r="T566" s="1140"/>
      <c r="U566" s="1140"/>
      <c r="V566" s="1526"/>
      <c r="W566" s="1052"/>
      <c r="X566" s="1355"/>
      <c r="Y566" s="1353"/>
      <c r="Z566" s="599"/>
      <c r="AA566" s="599"/>
      <c r="AB566" s="580"/>
      <c r="AC566" s="1592"/>
      <c r="AD566" s="1088"/>
      <c r="AE566" s="607"/>
      <c r="AF566" s="1088"/>
      <c r="AG566" s="607"/>
      <c r="AH566" s="607"/>
    </row>
    <row r="567" spans="1:256" ht="64.5" customHeight="1">
      <c r="A567" s="599"/>
      <c r="B567" s="2417"/>
      <c r="C567" s="2476"/>
      <c r="D567" s="2728"/>
      <c r="E567" s="2476"/>
      <c r="F567" s="2509"/>
      <c r="G567" s="599"/>
      <c r="H567" s="599"/>
      <c r="I567" s="601" t="s">
        <v>4333</v>
      </c>
      <c r="J567" s="601">
        <v>2439991.4</v>
      </c>
      <c r="K567" s="599" t="s">
        <v>4263</v>
      </c>
      <c r="L567" s="2417"/>
      <c r="M567" s="607" t="s">
        <v>4488</v>
      </c>
      <c r="N567" s="607" t="s">
        <v>4261</v>
      </c>
      <c r="O567" s="607">
        <v>550000</v>
      </c>
      <c r="P567" s="607"/>
      <c r="Q567" s="1088">
        <v>550000</v>
      </c>
      <c r="R567" s="607" t="s">
        <v>4262</v>
      </c>
      <c r="S567" s="624"/>
      <c r="T567" s="1140"/>
      <c r="U567" s="1140"/>
      <c r="V567" s="983"/>
      <c r="W567" s="599"/>
      <c r="X567" s="599"/>
      <c r="Y567" s="599"/>
      <c r="Z567" s="599"/>
      <c r="AA567" s="599"/>
      <c r="AB567" s="599"/>
      <c r="AC567" s="580">
        <v>13474000</v>
      </c>
      <c r="AD567" s="1465">
        <v>4520000</v>
      </c>
      <c r="AE567" s="599"/>
      <c r="AF567" s="984">
        <v>1300000</v>
      </c>
      <c r="AG567" s="599"/>
      <c r="AH567" s="599"/>
    </row>
    <row r="568" spans="1:256" ht="65.25" customHeight="1">
      <c r="A568" s="741"/>
      <c r="B568" s="1979" t="s">
        <v>4229</v>
      </c>
      <c r="C568" s="1863" t="s">
        <v>3522</v>
      </c>
      <c r="D568" s="893" t="s">
        <v>4230</v>
      </c>
      <c r="E568" s="741"/>
      <c r="F568" s="741"/>
      <c r="G568" s="741"/>
      <c r="H568" s="741"/>
      <c r="I568" s="741"/>
      <c r="J568" s="893"/>
      <c r="K568" s="1921"/>
      <c r="L568" s="1981" t="s">
        <v>4655</v>
      </c>
      <c r="M568" s="741" t="s">
        <v>4220</v>
      </c>
      <c r="N568" s="741" t="s">
        <v>3523</v>
      </c>
      <c r="O568" s="741" t="s">
        <v>3524</v>
      </c>
      <c r="P568" s="741"/>
      <c r="Q568" s="741">
        <v>3215488</v>
      </c>
      <c r="R568" s="741"/>
      <c r="S568" s="741"/>
      <c r="T568" s="741"/>
      <c r="U568" s="741"/>
      <c r="V568" s="741"/>
      <c r="W568" s="741"/>
      <c r="X568" s="741"/>
      <c r="Y568" s="741"/>
      <c r="Z568" s="741"/>
      <c r="AA568" s="741"/>
      <c r="AB568" s="741"/>
      <c r="AC568" s="741"/>
      <c r="AD568" s="741"/>
      <c r="AE568" s="741"/>
      <c r="AF568" s="997"/>
      <c r="AG568" s="741"/>
      <c r="AH568" s="741"/>
    </row>
    <row r="569" spans="1:256" s="1722" customFormat="1" ht="60" customHeight="1">
      <c r="A569" s="599"/>
      <c r="B569" s="2140" t="s">
        <v>4268</v>
      </c>
      <c r="C569" s="2082" t="s">
        <v>4269</v>
      </c>
      <c r="D569" s="599" t="s">
        <v>4267</v>
      </c>
      <c r="E569" s="599" t="s">
        <v>4270</v>
      </c>
      <c r="F569" s="599" t="s">
        <v>4271</v>
      </c>
      <c r="G569" s="599"/>
      <c r="H569" s="599" t="s">
        <v>4808</v>
      </c>
      <c r="I569" s="890"/>
      <c r="J569" s="599">
        <v>1457645.35</v>
      </c>
      <c r="K569" s="599" t="s">
        <v>4782</v>
      </c>
      <c r="L569" s="1809" t="s">
        <v>4697</v>
      </c>
      <c r="M569" s="446" t="s">
        <v>4527</v>
      </c>
      <c r="N569" s="599" t="s">
        <v>4524</v>
      </c>
      <c r="O569" s="599" t="s">
        <v>4525</v>
      </c>
      <c r="P569" s="599"/>
      <c r="Q569" s="599" t="s">
        <v>4526</v>
      </c>
      <c r="R569" s="599"/>
      <c r="S569" s="599"/>
      <c r="T569" s="599"/>
      <c r="U569" s="599"/>
      <c r="V569" s="599"/>
      <c r="W569" s="599"/>
      <c r="X569" s="599"/>
      <c r="Y569" s="599"/>
      <c r="Z569" s="599"/>
      <c r="AA569" s="599"/>
      <c r="AB569" s="599"/>
      <c r="AC569" s="599"/>
      <c r="AD569" s="599"/>
      <c r="AE569" s="599"/>
      <c r="AF569" s="599"/>
      <c r="AG569" s="599"/>
      <c r="AH569" s="599"/>
      <c r="AI569" s="599"/>
      <c r="AJ569" s="599"/>
      <c r="AK569" s="599"/>
      <c r="AL569" s="599"/>
      <c r="AM569" s="599"/>
      <c r="AN569" s="599"/>
      <c r="AO569" s="599"/>
      <c r="AP569" s="599"/>
      <c r="AQ569" s="599"/>
      <c r="AR569" s="599"/>
      <c r="AS569" s="599"/>
      <c r="AT569" s="599"/>
      <c r="AU569" s="599"/>
      <c r="AV569" s="599"/>
      <c r="AW569" s="599"/>
      <c r="AX569" s="599"/>
      <c r="AY569" s="599"/>
      <c r="AZ569" s="599"/>
      <c r="BA569" s="599"/>
      <c r="BB569" s="599"/>
      <c r="BC569" s="599"/>
      <c r="BD569" s="599"/>
      <c r="BE569" s="599"/>
      <c r="BF569" s="599"/>
      <c r="BG569" s="599"/>
      <c r="BH569" s="599"/>
      <c r="BI569" s="599"/>
      <c r="BJ569" s="599"/>
      <c r="BK569" s="599"/>
      <c r="BL569" s="599"/>
      <c r="BM569" s="599"/>
      <c r="BN569" s="599"/>
      <c r="BO569" s="599"/>
      <c r="BP569" s="599"/>
      <c r="BQ569" s="599"/>
      <c r="BR569" s="599"/>
      <c r="BS569" s="599"/>
      <c r="BT569" s="599"/>
      <c r="BU569" s="599"/>
      <c r="BV569" s="599"/>
      <c r="BW569" s="599"/>
      <c r="BX569" s="599"/>
      <c r="BY569" s="599"/>
      <c r="BZ569" s="599"/>
      <c r="CA569" s="599"/>
      <c r="CB569" s="599"/>
      <c r="CC569" s="599"/>
      <c r="CD569" s="599"/>
      <c r="CE569" s="599"/>
      <c r="CF569" s="599"/>
      <c r="CG569" s="599"/>
      <c r="CH569" s="599"/>
      <c r="CI569" s="599"/>
      <c r="CJ569" s="599"/>
      <c r="CK569" s="599"/>
      <c r="CL569" s="599"/>
      <c r="CM569" s="599"/>
      <c r="CN569" s="599"/>
      <c r="CO569" s="599"/>
      <c r="CP569" s="599"/>
      <c r="CQ569" s="599"/>
      <c r="CR569" s="599"/>
      <c r="CS569" s="599"/>
      <c r="CT569" s="599"/>
      <c r="CU569" s="599"/>
      <c r="CV569" s="599"/>
      <c r="CW569" s="599"/>
      <c r="CX569" s="599"/>
      <c r="CY569" s="599"/>
      <c r="CZ569" s="599"/>
      <c r="DA569" s="599"/>
      <c r="DB569" s="599"/>
      <c r="DC569" s="599"/>
      <c r="DD569" s="599"/>
      <c r="DE569" s="599"/>
      <c r="DF569" s="599"/>
      <c r="DG569" s="599"/>
      <c r="DH569" s="599"/>
      <c r="DI569" s="599"/>
      <c r="DJ569" s="599"/>
      <c r="DK569" s="599"/>
      <c r="DL569" s="599"/>
      <c r="DM569" s="599"/>
      <c r="DN569" s="599"/>
      <c r="DO569" s="599"/>
      <c r="DP569" s="599"/>
      <c r="DQ569" s="599"/>
      <c r="DR569" s="599"/>
      <c r="DS569" s="599"/>
      <c r="DT569" s="599"/>
      <c r="DU569" s="599"/>
      <c r="DV569" s="599"/>
      <c r="DW569" s="599"/>
      <c r="DX569" s="599"/>
      <c r="DY569" s="599"/>
      <c r="DZ569" s="599"/>
      <c r="EA569" s="599"/>
      <c r="EB569" s="599"/>
      <c r="EC569" s="599"/>
      <c r="ED569" s="599"/>
      <c r="EE569" s="599"/>
      <c r="EF569" s="599"/>
      <c r="EG569" s="599"/>
      <c r="EH569" s="599"/>
      <c r="EI569" s="599"/>
      <c r="EJ569" s="599"/>
      <c r="EK569" s="599"/>
      <c r="EL569" s="599"/>
      <c r="EM569" s="599"/>
      <c r="EN569" s="599"/>
      <c r="EO569" s="599"/>
      <c r="EP569" s="599"/>
      <c r="EQ569" s="599"/>
      <c r="ER569" s="599"/>
      <c r="ES569" s="599"/>
      <c r="ET569" s="599"/>
      <c r="EU569" s="599"/>
      <c r="EV569" s="599"/>
      <c r="EW569" s="599"/>
      <c r="EX569" s="599"/>
      <c r="EY569" s="599"/>
      <c r="EZ569" s="599"/>
      <c r="FA569" s="599"/>
      <c r="FB569" s="599"/>
      <c r="FC569" s="599"/>
      <c r="FD569" s="599"/>
      <c r="FE569" s="599"/>
      <c r="FF569" s="599"/>
      <c r="FG569" s="599"/>
      <c r="FH569" s="599"/>
      <c r="FI569" s="599"/>
      <c r="FJ569" s="599"/>
      <c r="FK569" s="599"/>
      <c r="FL569" s="599"/>
      <c r="FM569" s="599"/>
      <c r="FN569" s="599"/>
      <c r="FO569" s="599"/>
      <c r="FP569" s="599"/>
      <c r="FQ569" s="599"/>
      <c r="FR569" s="599"/>
      <c r="FS569" s="599"/>
      <c r="FT569" s="599"/>
      <c r="FU569" s="599"/>
      <c r="FV569" s="599"/>
      <c r="FW569" s="599"/>
      <c r="FX569" s="599"/>
      <c r="FY569" s="599"/>
      <c r="FZ569" s="599"/>
      <c r="GA569" s="599"/>
      <c r="GB569" s="599"/>
      <c r="GC569" s="599"/>
      <c r="GD569" s="599"/>
      <c r="GE569" s="599"/>
      <c r="GF569" s="599"/>
      <c r="GG569" s="599"/>
      <c r="GH569" s="599"/>
      <c r="GI569" s="599"/>
      <c r="GJ569" s="599"/>
      <c r="GK569" s="599"/>
      <c r="GL569" s="599"/>
      <c r="GM569" s="599"/>
      <c r="GN569" s="599"/>
      <c r="GO569" s="599"/>
      <c r="GP569" s="599"/>
      <c r="GQ569" s="599"/>
      <c r="GR569" s="599"/>
      <c r="GS569" s="599"/>
      <c r="GT569" s="599"/>
      <c r="GU569" s="599"/>
      <c r="GV569" s="599"/>
      <c r="GW569" s="599"/>
      <c r="GX569" s="599"/>
      <c r="GY569" s="599"/>
      <c r="GZ569" s="599"/>
      <c r="HA569" s="599"/>
      <c r="HB569" s="599"/>
      <c r="HC569" s="599"/>
      <c r="HD569" s="599"/>
      <c r="HE569" s="599"/>
      <c r="HF569" s="599"/>
      <c r="HG569" s="599"/>
      <c r="HH569" s="599"/>
      <c r="HI569" s="599"/>
      <c r="HJ569" s="599"/>
      <c r="HK569" s="599"/>
      <c r="HL569" s="599"/>
      <c r="HM569" s="599"/>
      <c r="HN569" s="599"/>
      <c r="HO569" s="599"/>
      <c r="HP569" s="599"/>
      <c r="HQ569" s="599"/>
      <c r="HR569" s="599"/>
      <c r="HS569" s="599"/>
      <c r="HT569" s="599"/>
      <c r="HU569" s="599"/>
      <c r="HV569" s="599"/>
      <c r="HW569" s="599"/>
      <c r="HX569" s="599"/>
      <c r="HY569" s="599"/>
      <c r="HZ569" s="599"/>
      <c r="IA569" s="599"/>
      <c r="IB569" s="599"/>
      <c r="IC569" s="599"/>
      <c r="ID569" s="599"/>
      <c r="IE569" s="599"/>
      <c r="IF569" s="599"/>
      <c r="IG569" s="599"/>
      <c r="IH569" s="599"/>
      <c r="II569" s="599"/>
      <c r="IJ569" s="599"/>
      <c r="IK569" s="599"/>
      <c r="IL569" s="599"/>
      <c r="IM569" s="599"/>
      <c r="IN569" s="599"/>
      <c r="IO569" s="599"/>
      <c r="IP569" s="599"/>
      <c r="IQ569" s="599"/>
      <c r="IR569" s="599"/>
      <c r="IS569" s="599"/>
      <c r="IT569" s="599"/>
      <c r="IU569" s="599"/>
      <c r="IV569" s="599"/>
    </row>
    <row r="570" spans="1:256" s="1180" customFormat="1" ht="30.75" customHeight="1">
      <c r="A570" s="1170"/>
      <c r="B570" s="1172"/>
      <c r="C570" s="1900" t="s">
        <v>4360</v>
      </c>
      <c r="D570" s="1172"/>
      <c r="E570" s="1173"/>
      <c r="F570" s="1174"/>
      <c r="G570" s="1175"/>
      <c r="H570" s="1174"/>
      <c r="I570" s="1174"/>
      <c r="J570" s="1175"/>
      <c r="K570" s="1176"/>
      <c r="L570" s="1831"/>
      <c r="M570" s="1178"/>
      <c r="N570" s="1173"/>
      <c r="O570" s="1173"/>
      <c r="P570" s="1173"/>
      <c r="Q570" s="1176"/>
      <c r="R570" s="1176" t="s">
        <v>65</v>
      </c>
      <c r="S570" s="1176"/>
      <c r="T570" s="1176"/>
      <c r="U570" s="1176"/>
      <c r="V570" s="1128"/>
      <c r="W570" s="1128"/>
      <c r="X570" s="1128"/>
      <c r="Y570" s="1128"/>
      <c r="Z570" s="1128"/>
      <c r="AA570" s="1128"/>
      <c r="AB570" s="1128"/>
      <c r="AC570" s="580"/>
      <c r="AD570" s="1464"/>
      <c r="AE570" s="599"/>
      <c r="AF570" s="599"/>
      <c r="AG570" s="599"/>
      <c r="AH570" s="599"/>
    </row>
    <row r="571" spans="1:256" s="1180" customFormat="1" ht="36.75" customHeight="1">
      <c r="A571" s="2710">
        <v>1</v>
      </c>
      <c r="B571" s="2416" t="s">
        <v>4519</v>
      </c>
      <c r="C571" s="2432" t="s">
        <v>4366</v>
      </c>
      <c r="D571" s="2416" t="s">
        <v>4367</v>
      </c>
      <c r="E571" s="2483" t="s">
        <v>5043</v>
      </c>
      <c r="F571" s="2504" t="s">
        <v>5044</v>
      </c>
      <c r="G571" s="1162"/>
      <c r="H571" s="1124"/>
      <c r="I571" s="1124"/>
      <c r="J571" s="1162"/>
      <c r="K571" s="997"/>
      <c r="L571" s="890"/>
      <c r="M571" s="843" t="s">
        <v>4520</v>
      </c>
      <c r="N571" s="741"/>
      <c r="O571" s="741"/>
      <c r="P571" s="741"/>
      <c r="Q571" s="997"/>
      <c r="R571" s="892" t="s">
        <v>4521</v>
      </c>
      <c r="S571" s="1337" t="s">
        <v>4522</v>
      </c>
      <c r="T571" s="599"/>
      <c r="U571" s="599"/>
      <c r="V571" s="1590"/>
      <c r="W571" s="1088"/>
      <c r="X571" s="1969"/>
      <c r="Y571" s="1970"/>
      <c r="Z571" s="1970"/>
      <c r="AA571" s="1970"/>
      <c r="AB571" s="1970"/>
      <c r="AC571" s="1344"/>
      <c r="AD571" s="1510"/>
      <c r="AE571" s="607"/>
      <c r="AF571" s="1088"/>
      <c r="AG571" s="607"/>
      <c r="AH571" s="607"/>
    </row>
    <row r="572" spans="1:256" s="1180" customFormat="1" ht="65.25" customHeight="1">
      <c r="A572" s="2711"/>
      <c r="B572" s="2503"/>
      <c r="C572" s="2712"/>
      <c r="D572" s="2503"/>
      <c r="E572" s="2484"/>
      <c r="F572" s="2505"/>
      <c r="G572" s="1162"/>
      <c r="H572" s="1124"/>
      <c r="I572" s="1124"/>
      <c r="J572" s="1369" t="s">
        <v>4886</v>
      </c>
      <c r="K572" s="1066" t="s">
        <v>4616</v>
      </c>
      <c r="L572" s="594" t="s">
        <v>2340</v>
      </c>
      <c r="M572" s="1913" t="s">
        <v>5145</v>
      </c>
      <c r="N572" s="594"/>
      <c r="O572" s="1455">
        <f>R572</f>
        <v>720000</v>
      </c>
      <c r="P572" s="1455"/>
      <c r="Q572" s="1455" t="s">
        <v>5147</v>
      </c>
      <c r="R572" s="1464">
        <v>720000</v>
      </c>
      <c r="S572" s="624" t="s">
        <v>4607</v>
      </c>
      <c r="T572" s="599" t="s">
        <v>4608</v>
      </c>
      <c r="U572" s="2498" t="s">
        <v>5146</v>
      </c>
      <c r="V572" s="2499"/>
      <c r="W572" s="1088"/>
      <c r="X572" s="1969"/>
      <c r="Y572" s="1970"/>
      <c r="Z572" s="1970"/>
      <c r="AA572" s="1970"/>
      <c r="AB572" s="1970"/>
      <c r="AC572" s="1344"/>
      <c r="AD572" s="1510"/>
      <c r="AE572" s="607"/>
      <c r="AF572" s="1088"/>
      <c r="AG572" s="607"/>
      <c r="AH572" s="607"/>
    </row>
    <row r="573" spans="1:256" ht="57.75" customHeight="1">
      <c r="A573" s="2072">
        <v>2</v>
      </c>
      <c r="B573" s="442" t="s">
        <v>4578</v>
      </c>
      <c r="C573" s="502" t="s">
        <v>4620</v>
      </c>
      <c r="D573" s="446" t="s">
        <v>4579</v>
      </c>
      <c r="E573" s="599" t="s">
        <v>4580</v>
      </c>
      <c r="F573" s="1989" t="s">
        <v>4581</v>
      </c>
      <c r="G573" s="601"/>
      <c r="H573" s="601"/>
      <c r="I573" s="1909"/>
      <c r="J573" s="1487">
        <v>286434</v>
      </c>
      <c r="K573" s="2013">
        <v>45162</v>
      </c>
      <c r="L573" s="594"/>
      <c r="M573" s="1023"/>
      <c r="N573" s="594"/>
      <c r="O573" s="1455"/>
      <c r="P573" s="1455"/>
      <c r="Q573" s="1455"/>
      <c r="R573" s="1464"/>
      <c r="S573" s="624"/>
      <c r="T573" s="599"/>
      <c r="U573" s="599"/>
      <c r="V573" s="1590"/>
      <c r="W573" s="1088"/>
      <c r="X573" s="1088"/>
      <c r="Y573" s="607"/>
      <c r="Z573" s="607"/>
      <c r="AA573" s="607"/>
      <c r="AB573" s="1344"/>
      <c r="AC573" s="607"/>
      <c r="AD573" s="1088"/>
      <c r="AE573" s="607"/>
      <c r="AF573" s="1088"/>
      <c r="AG573" s="607"/>
      <c r="AH573" s="607"/>
    </row>
    <row r="574" spans="1:256" ht="51.75" customHeight="1">
      <c r="A574" s="311">
        <v>3</v>
      </c>
      <c r="B574" s="442" t="s">
        <v>4578</v>
      </c>
      <c r="C574" s="502" t="s">
        <v>4592</v>
      </c>
      <c r="D574" s="446" t="s">
        <v>4582</v>
      </c>
      <c r="E574" s="599" t="s">
        <v>4583</v>
      </c>
      <c r="F574" s="1989">
        <v>395494</v>
      </c>
      <c r="G574" s="601"/>
      <c r="H574" s="601"/>
      <c r="I574" s="1909"/>
      <c r="J574" s="1988">
        <v>395494</v>
      </c>
      <c r="K574" s="2013">
        <v>45139</v>
      </c>
      <c r="L574" s="594"/>
      <c r="M574" s="1023" t="s">
        <v>4584</v>
      </c>
      <c r="N574" s="594"/>
      <c r="O574" s="1455"/>
      <c r="P574" s="1455"/>
      <c r="Q574" s="1455"/>
      <c r="R574" s="1464">
        <v>316400</v>
      </c>
      <c r="S574" s="624" t="s">
        <v>4586</v>
      </c>
      <c r="T574" s="599"/>
      <c r="U574" s="599"/>
      <c r="V574" s="1590"/>
      <c r="W574" s="1088"/>
      <c r="X574" s="1088"/>
      <c r="Y574" s="607"/>
      <c r="Z574" s="607"/>
      <c r="AA574" s="607"/>
      <c r="AB574" s="1344"/>
      <c r="AC574" s="607"/>
      <c r="AD574" s="1088"/>
      <c r="AE574" s="607"/>
      <c r="AF574" s="1088"/>
      <c r="AG574" s="607"/>
      <c r="AH574" s="607"/>
    </row>
    <row r="575" spans="1:256" s="1815" customFormat="1" ht="96.75" customHeight="1">
      <c r="A575" s="599">
        <v>4</v>
      </c>
      <c r="B575" s="2029" t="s">
        <v>4724</v>
      </c>
      <c r="C575" s="502" t="s">
        <v>4609</v>
      </c>
      <c r="D575" s="599" t="s">
        <v>4342</v>
      </c>
      <c r="E575" s="599" t="s">
        <v>4512</v>
      </c>
      <c r="F575" s="599" t="s">
        <v>4359</v>
      </c>
      <c r="G575" s="890"/>
      <c r="H575" s="890"/>
      <c r="I575" s="890"/>
      <c r="J575" s="890"/>
      <c r="K575" s="2021"/>
      <c r="L575" s="2021" t="s">
        <v>4725</v>
      </c>
      <c r="M575" s="599"/>
      <c r="N575" s="599"/>
      <c r="O575" s="890"/>
      <c r="P575" s="890"/>
      <c r="Q575" s="890"/>
      <c r="R575" s="890"/>
      <c r="S575" s="890"/>
      <c r="T575" s="890"/>
      <c r="U575" s="890"/>
      <c r="V575" s="890"/>
      <c r="W575" s="890"/>
      <c r="X575" s="890"/>
      <c r="Y575" s="890"/>
      <c r="Z575" s="890"/>
      <c r="AA575" s="890"/>
      <c r="AB575" s="890"/>
      <c r="AC575" s="890"/>
      <c r="AD575" s="890"/>
      <c r="AE575" s="890"/>
      <c r="AF575" s="890"/>
      <c r="AG575" s="890"/>
      <c r="AH575" s="890"/>
      <c r="AI575" s="890"/>
      <c r="AJ575" s="890"/>
      <c r="AK575" s="890"/>
      <c r="AL575" s="890"/>
      <c r="AM575" s="890"/>
      <c r="AN575" s="890"/>
      <c r="AO575" s="890"/>
      <c r="AP575" s="890"/>
      <c r="AQ575" s="890"/>
      <c r="AR575" s="890"/>
      <c r="AS575" s="890"/>
      <c r="AT575" s="890"/>
      <c r="AU575" s="890"/>
      <c r="AV575" s="890"/>
      <c r="AW575" s="890"/>
      <c r="AX575" s="890"/>
      <c r="AY575" s="890"/>
      <c r="AZ575" s="890"/>
      <c r="BA575" s="890"/>
      <c r="BB575" s="890"/>
      <c r="BC575" s="890"/>
      <c r="BD575" s="890"/>
      <c r="BE575" s="890"/>
      <c r="BF575" s="890"/>
      <c r="BG575" s="890"/>
      <c r="BH575" s="890"/>
      <c r="BI575" s="890"/>
      <c r="BJ575" s="890"/>
      <c r="BK575" s="890"/>
      <c r="BL575" s="890"/>
      <c r="BM575" s="890"/>
      <c r="BN575" s="890"/>
      <c r="BO575" s="890"/>
      <c r="BP575" s="890"/>
      <c r="BQ575" s="890"/>
      <c r="BR575" s="890"/>
      <c r="BS575" s="890"/>
      <c r="BT575" s="890"/>
      <c r="BU575" s="890"/>
      <c r="BV575" s="890"/>
      <c r="BW575" s="890"/>
      <c r="BX575" s="890"/>
      <c r="BY575" s="890"/>
      <c r="BZ575" s="890"/>
      <c r="CA575" s="890"/>
      <c r="CB575" s="890"/>
      <c r="CC575" s="890"/>
      <c r="CD575" s="890"/>
      <c r="CE575" s="890"/>
      <c r="CF575" s="890"/>
      <c r="CG575" s="890"/>
      <c r="CH575" s="890"/>
      <c r="CI575" s="890"/>
      <c r="CJ575" s="890"/>
      <c r="CK575" s="890"/>
      <c r="CL575" s="890"/>
      <c r="CM575" s="890"/>
      <c r="CN575" s="890"/>
      <c r="CO575" s="890"/>
      <c r="CP575" s="890"/>
      <c r="CQ575" s="890"/>
      <c r="CR575" s="890"/>
      <c r="CS575" s="890"/>
      <c r="CT575" s="890"/>
      <c r="CU575" s="890"/>
      <c r="CV575" s="890"/>
      <c r="CW575" s="890"/>
      <c r="CX575" s="890"/>
      <c r="CY575" s="890"/>
      <c r="CZ575" s="890"/>
      <c r="DA575" s="890"/>
      <c r="DB575" s="890"/>
      <c r="DC575" s="890"/>
      <c r="DD575" s="890"/>
      <c r="DE575" s="890"/>
      <c r="DF575" s="890"/>
      <c r="DG575" s="890"/>
      <c r="DH575" s="890"/>
      <c r="DI575" s="890"/>
      <c r="DJ575" s="890"/>
      <c r="DK575" s="890"/>
      <c r="DL575" s="890"/>
      <c r="DM575" s="890"/>
      <c r="DN575" s="890"/>
      <c r="DO575" s="890"/>
      <c r="DP575" s="890"/>
      <c r="DQ575" s="890"/>
      <c r="DR575" s="890"/>
      <c r="DS575" s="890"/>
      <c r="DT575" s="890"/>
      <c r="DU575" s="890"/>
      <c r="DV575" s="890"/>
      <c r="DW575" s="890"/>
      <c r="DX575" s="890"/>
      <c r="DY575" s="890"/>
      <c r="DZ575" s="890"/>
      <c r="EA575" s="890"/>
      <c r="EB575" s="890"/>
      <c r="EC575" s="890"/>
      <c r="ED575" s="890"/>
      <c r="EE575" s="890"/>
      <c r="EF575" s="890"/>
      <c r="EG575" s="890"/>
      <c r="EH575" s="890"/>
      <c r="EI575" s="890"/>
      <c r="EJ575" s="890"/>
      <c r="EK575" s="890"/>
      <c r="EL575" s="890"/>
      <c r="EM575" s="890"/>
      <c r="EN575" s="890"/>
      <c r="EO575" s="890"/>
      <c r="EP575" s="890"/>
      <c r="EQ575" s="890"/>
      <c r="ER575" s="890"/>
      <c r="ES575" s="890"/>
      <c r="ET575" s="890"/>
      <c r="EU575" s="890"/>
      <c r="EV575" s="890"/>
      <c r="EW575" s="890"/>
      <c r="EX575" s="890"/>
      <c r="EY575" s="890"/>
      <c r="EZ575" s="890"/>
      <c r="FA575" s="890"/>
      <c r="FB575" s="890"/>
      <c r="FC575" s="890"/>
      <c r="FD575" s="890"/>
      <c r="FE575" s="890"/>
      <c r="FF575" s="890"/>
      <c r="FG575" s="890"/>
      <c r="FH575" s="890"/>
      <c r="FI575" s="890"/>
      <c r="FJ575" s="890"/>
      <c r="FK575" s="890"/>
      <c r="FL575" s="890"/>
      <c r="FM575" s="890"/>
      <c r="FN575" s="890"/>
      <c r="FO575" s="890"/>
      <c r="FP575" s="890"/>
      <c r="FQ575" s="890"/>
      <c r="FR575" s="890"/>
      <c r="FS575" s="890"/>
      <c r="FT575" s="890"/>
      <c r="FU575" s="890"/>
      <c r="FV575" s="890"/>
      <c r="FW575" s="890"/>
      <c r="FX575" s="890"/>
      <c r="FY575" s="890"/>
      <c r="FZ575" s="890"/>
      <c r="GA575" s="890"/>
      <c r="GB575" s="890"/>
      <c r="GC575" s="890"/>
      <c r="GD575" s="890"/>
      <c r="GE575" s="890"/>
      <c r="GF575" s="890"/>
      <c r="GG575" s="890"/>
      <c r="GH575" s="890"/>
      <c r="GI575" s="890"/>
      <c r="GJ575" s="890"/>
      <c r="GK575" s="890"/>
      <c r="GL575" s="890"/>
      <c r="GM575" s="890"/>
      <c r="GN575" s="890"/>
      <c r="GO575" s="890"/>
      <c r="GP575" s="890"/>
      <c r="GQ575" s="890"/>
      <c r="GR575" s="890"/>
      <c r="GS575" s="890"/>
      <c r="GT575" s="890"/>
      <c r="GU575" s="890"/>
      <c r="GV575" s="890"/>
      <c r="GW575" s="890"/>
      <c r="GX575" s="890"/>
      <c r="GY575" s="890"/>
      <c r="GZ575" s="890"/>
      <c r="HA575" s="890"/>
      <c r="HB575" s="890"/>
      <c r="HC575" s="890"/>
      <c r="HD575" s="890"/>
      <c r="HE575" s="890"/>
      <c r="HF575" s="890"/>
      <c r="HG575" s="890"/>
      <c r="HH575" s="890"/>
      <c r="HI575" s="890"/>
      <c r="HJ575" s="890"/>
      <c r="HK575" s="890"/>
      <c r="HL575" s="890"/>
      <c r="HM575" s="890"/>
      <c r="HN575" s="890"/>
      <c r="HO575" s="890"/>
      <c r="HP575" s="890"/>
      <c r="HQ575" s="890"/>
      <c r="HR575" s="890"/>
      <c r="HS575" s="890"/>
      <c r="HT575" s="890"/>
      <c r="HU575" s="890"/>
      <c r="HV575" s="890"/>
      <c r="HW575" s="890"/>
      <c r="HX575" s="890"/>
      <c r="HY575" s="890"/>
      <c r="HZ575" s="890"/>
      <c r="IA575" s="890"/>
      <c r="IB575" s="890"/>
      <c r="IC575" s="890"/>
      <c r="ID575" s="890"/>
      <c r="IE575" s="890"/>
      <c r="IF575" s="890"/>
      <c r="IG575" s="890"/>
      <c r="IH575" s="890"/>
      <c r="II575" s="890"/>
      <c r="IJ575" s="890"/>
      <c r="IK575" s="890"/>
      <c r="IL575" s="890"/>
      <c r="IM575" s="890"/>
      <c r="IN575" s="890"/>
      <c r="IO575" s="890"/>
      <c r="IP575" s="890"/>
      <c r="IQ575" s="890"/>
      <c r="IR575" s="890"/>
      <c r="IS575" s="890"/>
      <c r="IT575" s="890"/>
      <c r="IU575" s="890"/>
      <c r="IV575" s="890"/>
    </row>
    <row r="576" spans="1:256" s="599" customFormat="1" ht="93.75" customHeight="1">
      <c r="A576" s="2073"/>
      <c r="B576" s="822" t="s">
        <v>3296</v>
      </c>
      <c r="C576" s="2483" t="s">
        <v>4715</v>
      </c>
      <c r="D576" s="741" t="s">
        <v>4915</v>
      </c>
      <c r="E576" s="741" t="s">
        <v>4664</v>
      </c>
      <c r="F576" s="1124" t="s">
        <v>4714</v>
      </c>
      <c r="J576" s="600" t="s">
        <v>4721</v>
      </c>
      <c r="K576" s="599" t="s">
        <v>4722</v>
      </c>
      <c r="M576" s="1995" t="s">
        <v>4613</v>
      </c>
      <c r="N576" s="1996" t="s">
        <v>4614</v>
      </c>
      <c r="O576" s="1996">
        <v>665000</v>
      </c>
      <c r="P576" s="1996" t="s">
        <v>4615</v>
      </c>
      <c r="Q576" s="1997"/>
      <c r="R576" s="1996" t="s">
        <v>4603</v>
      </c>
      <c r="S576" s="1996" t="s">
        <v>4604</v>
      </c>
    </row>
    <row r="577" spans="1:256" s="599" customFormat="1" ht="80.25" customHeight="1">
      <c r="A577" s="2073"/>
      <c r="B577" s="606"/>
      <c r="C577" s="2484"/>
      <c r="D577" s="899"/>
      <c r="E577" s="899"/>
      <c r="F577" s="1200"/>
      <c r="J577" s="2081"/>
      <c r="M577" s="1304" t="s">
        <v>5079</v>
      </c>
      <c r="N577" s="599" t="s">
        <v>4633</v>
      </c>
      <c r="O577" s="446">
        <v>700000</v>
      </c>
      <c r="P577" s="2082"/>
      <c r="Q577" s="1791" t="s">
        <v>5080</v>
      </c>
      <c r="R577" s="2070" t="s">
        <v>5038</v>
      </c>
      <c r="S577" s="2082"/>
    </row>
    <row r="578" spans="1:256" s="599" customFormat="1" ht="91.5" customHeight="1">
      <c r="B578" s="606"/>
      <c r="C578" s="2484"/>
      <c r="D578" s="899" t="s">
        <v>4674</v>
      </c>
      <c r="E578" s="899"/>
      <c r="F578" s="1200"/>
      <c r="J578" s="2084" t="s">
        <v>4862</v>
      </c>
      <c r="K578" s="599" t="s">
        <v>5071</v>
      </c>
      <c r="M578" s="1304" t="s">
        <v>5037</v>
      </c>
      <c r="N578" s="599" t="s">
        <v>4633</v>
      </c>
      <c r="O578" s="446">
        <v>1700000</v>
      </c>
      <c r="Q578" s="1791" t="s">
        <v>4971</v>
      </c>
      <c r="R578" s="2070" t="s">
        <v>5038</v>
      </c>
    </row>
    <row r="579" spans="1:256" s="599" customFormat="1" ht="79.5" customHeight="1">
      <c r="B579" s="823"/>
      <c r="C579" s="1030"/>
      <c r="D579" s="899"/>
      <c r="E579" s="1030"/>
      <c r="F579" s="1143"/>
      <c r="M579" s="1971" t="s">
        <v>4716</v>
      </c>
      <c r="N579" s="599" t="s">
        <v>4531</v>
      </c>
      <c r="O579" s="599" t="s">
        <v>4533</v>
      </c>
      <c r="Q579" s="890"/>
    </row>
    <row r="580" spans="1:256" s="599" customFormat="1" ht="75.75" customHeight="1">
      <c r="B580" s="606"/>
      <c r="C580" s="2483" t="s">
        <v>4718</v>
      </c>
      <c r="D580" s="2483" t="s">
        <v>4916</v>
      </c>
      <c r="E580" s="2483"/>
      <c r="F580" s="2508" t="s">
        <v>4717</v>
      </c>
      <c r="G580" s="2483" t="s">
        <v>65</v>
      </c>
      <c r="H580" s="2483"/>
      <c r="I580" s="2483"/>
      <c r="M580" s="1971" t="s">
        <v>4761</v>
      </c>
      <c r="N580" s="2036" t="s">
        <v>4758</v>
      </c>
      <c r="O580" s="599" t="s">
        <v>4760</v>
      </c>
      <c r="Q580" s="890"/>
    </row>
    <row r="581" spans="1:256" s="599" customFormat="1" ht="208.5" customHeight="1">
      <c r="A581" s="2073"/>
      <c r="B581" s="823" t="s">
        <v>3296</v>
      </c>
      <c r="C581" s="2476"/>
      <c r="D581" s="2476"/>
      <c r="E581" s="2476"/>
      <c r="F581" s="2509"/>
      <c r="G581" s="2476"/>
      <c r="H581" s="2476"/>
      <c r="I581" s="2476"/>
      <c r="J581" s="2085">
        <v>2095000</v>
      </c>
      <c r="K581" s="599" t="s">
        <v>5071</v>
      </c>
      <c r="M581" s="599" t="s">
        <v>4737</v>
      </c>
      <c r="N581" s="599" t="s">
        <v>4688</v>
      </c>
      <c r="O581" s="599">
        <v>711600</v>
      </c>
      <c r="Q581" s="890"/>
    </row>
    <row r="582" spans="1:256" s="599" customFormat="1" ht="81" customHeight="1">
      <c r="B582" s="606"/>
      <c r="C582" s="2432" t="s">
        <v>4528</v>
      </c>
      <c r="D582" s="2485" t="s">
        <v>4598</v>
      </c>
      <c r="E582" s="2483" t="s">
        <v>3498</v>
      </c>
      <c r="F582" s="2483" t="s">
        <v>3497</v>
      </c>
      <c r="J582" s="2056"/>
      <c r="K582" s="1094"/>
      <c r="L582" s="442"/>
      <c r="M582" s="1972" t="s">
        <v>4644</v>
      </c>
      <c r="N582" s="502" t="s">
        <v>4534</v>
      </c>
      <c r="O582" s="1016">
        <v>2404243.7999999998</v>
      </c>
      <c r="R582" s="2006"/>
    </row>
    <row r="583" spans="1:256" s="599" customFormat="1" ht="81.75" customHeight="1">
      <c r="A583" s="2073"/>
      <c r="B583" s="823" t="s">
        <v>3296</v>
      </c>
      <c r="C583" s="2433"/>
      <c r="D583" s="2487"/>
      <c r="E583" s="2476"/>
      <c r="F583" s="2476"/>
      <c r="J583" s="1105">
        <v>3500000</v>
      </c>
      <c r="K583" s="599" t="s">
        <v>4863</v>
      </c>
      <c r="M583" s="1973" t="s">
        <v>4535</v>
      </c>
      <c r="N583" s="599" t="s">
        <v>4529</v>
      </c>
      <c r="O583" s="599" t="s">
        <v>4530</v>
      </c>
      <c r="Q583" s="890"/>
      <c r="R583" s="1337"/>
    </row>
    <row r="584" spans="1:256" s="599" customFormat="1" ht="82.5" customHeight="1">
      <c r="A584" s="599">
        <v>7</v>
      </c>
      <c r="B584" s="446" t="s">
        <v>3296</v>
      </c>
      <c r="C584" s="599" t="s">
        <v>4675</v>
      </c>
      <c r="D584" s="599" t="s">
        <v>4917</v>
      </c>
      <c r="E584" s="599">
        <v>439680</v>
      </c>
      <c r="F584" s="601" t="s">
        <v>3429</v>
      </c>
      <c r="J584" s="599">
        <v>439680</v>
      </c>
      <c r="K584" s="599" t="s">
        <v>5071</v>
      </c>
      <c r="M584" s="1971" t="s">
        <v>4532</v>
      </c>
      <c r="N584" s="599" t="s">
        <v>4531</v>
      </c>
      <c r="O584" s="599" t="s">
        <v>4533</v>
      </c>
      <c r="Q584" s="890"/>
      <c r="R584" s="1337"/>
    </row>
    <row r="585" spans="1:256" s="1722" customFormat="1" ht="150" customHeight="1">
      <c r="A585" s="599">
        <v>5</v>
      </c>
      <c r="B585" s="446" t="s">
        <v>3296</v>
      </c>
      <c r="C585" s="502" t="s">
        <v>4363</v>
      </c>
      <c r="D585" s="599" t="s">
        <v>4918</v>
      </c>
      <c r="E585" s="599" t="s">
        <v>4699</v>
      </c>
      <c r="F585" s="1341" t="s">
        <v>4723</v>
      </c>
      <c r="G585" s="599"/>
      <c r="H585" s="599"/>
      <c r="I585" s="599"/>
      <c r="J585" s="599" t="s">
        <v>5082</v>
      </c>
      <c r="K585" s="599" t="s">
        <v>5083</v>
      </c>
      <c r="L585" s="1882" t="s">
        <v>4657</v>
      </c>
      <c r="M585" s="599"/>
      <c r="N585" s="599"/>
      <c r="O585" s="599"/>
      <c r="P585" s="599"/>
      <c r="Q585" s="890"/>
      <c r="R585" s="892"/>
      <c r="S585" s="890"/>
      <c r="T585" s="599"/>
      <c r="U585" s="599"/>
      <c r="V585" s="599"/>
      <c r="W585" s="599"/>
      <c r="X585" s="599"/>
      <c r="Y585" s="599"/>
      <c r="Z585" s="599"/>
      <c r="AA585" s="599"/>
      <c r="AB585" s="599"/>
      <c r="AC585" s="599"/>
      <c r="AD585" s="599"/>
      <c r="AE585" s="599"/>
      <c r="AF585" s="599"/>
      <c r="AG585" s="599"/>
      <c r="AH585" s="599"/>
      <c r="AI585" s="599"/>
      <c r="AJ585" s="599"/>
      <c r="AK585" s="599"/>
      <c r="AL585" s="599"/>
      <c r="AM585" s="599"/>
      <c r="AN585" s="599"/>
      <c r="AO585" s="599"/>
      <c r="AP585" s="599"/>
      <c r="AQ585" s="599"/>
      <c r="AR585" s="599"/>
      <c r="AS585" s="599"/>
      <c r="AT585" s="599"/>
      <c r="AU585" s="599"/>
      <c r="AV585" s="599"/>
      <c r="AW585" s="599"/>
      <c r="AX585" s="599"/>
      <c r="AY585" s="599"/>
      <c r="AZ585" s="599"/>
      <c r="BA585" s="599"/>
      <c r="BB585" s="599"/>
      <c r="BC585" s="599"/>
      <c r="BD585" s="599"/>
      <c r="BE585" s="599"/>
      <c r="BF585" s="599"/>
      <c r="BG585" s="599"/>
      <c r="BH585" s="599"/>
      <c r="BI585" s="599"/>
      <c r="BJ585" s="599"/>
      <c r="BK585" s="599"/>
      <c r="BL585" s="599"/>
      <c r="BM585" s="599"/>
      <c r="BN585" s="599"/>
      <c r="BO585" s="599"/>
      <c r="BP585" s="599"/>
      <c r="BQ585" s="599"/>
      <c r="BR585" s="599"/>
      <c r="BS585" s="599"/>
      <c r="BT585" s="599"/>
      <c r="BU585" s="599"/>
      <c r="BV585" s="599"/>
      <c r="BW585" s="599"/>
      <c r="BX585" s="599"/>
      <c r="BY585" s="599"/>
      <c r="BZ585" s="599"/>
      <c r="CA585" s="599"/>
      <c r="CB585" s="599"/>
      <c r="CC585" s="599"/>
      <c r="CD585" s="599"/>
      <c r="CE585" s="599"/>
      <c r="CF585" s="599"/>
      <c r="CG585" s="599"/>
      <c r="CH585" s="599"/>
      <c r="CI585" s="599"/>
      <c r="CJ585" s="599"/>
      <c r="CK585" s="599"/>
      <c r="CL585" s="599"/>
      <c r="CM585" s="599"/>
      <c r="CN585" s="599"/>
      <c r="CO585" s="599"/>
      <c r="CP585" s="599"/>
      <c r="CQ585" s="599"/>
      <c r="CR585" s="599"/>
      <c r="CS585" s="599"/>
      <c r="CT585" s="599"/>
      <c r="CU585" s="599"/>
      <c r="CV585" s="599"/>
      <c r="CW585" s="599"/>
      <c r="CX585" s="599"/>
      <c r="CY585" s="599"/>
      <c r="CZ585" s="599"/>
      <c r="DA585" s="599"/>
      <c r="DB585" s="599"/>
      <c r="DC585" s="599"/>
      <c r="DD585" s="599"/>
      <c r="DE585" s="599"/>
      <c r="DF585" s="599"/>
      <c r="DG585" s="599"/>
      <c r="DH585" s="599"/>
      <c r="DI585" s="599"/>
      <c r="DJ585" s="599"/>
      <c r="DK585" s="599"/>
      <c r="DL585" s="599"/>
      <c r="DM585" s="599"/>
      <c r="DN585" s="599"/>
      <c r="DO585" s="599"/>
      <c r="DP585" s="599"/>
      <c r="DQ585" s="599"/>
      <c r="DR585" s="599"/>
      <c r="DS585" s="599"/>
      <c r="DT585" s="599"/>
      <c r="DU585" s="599"/>
      <c r="DV585" s="599"/>
      <c r="DW585" s="599"/>
      <c r="DX585" s="599"/>
      <c r="DY585" s="599"/>
      <c r="DZ585" s="599"/>
      <c r="EA585" s="599"/>
      <c r="EB585" s="599"/>
      <c r="EC585" s="599"/>
      <c r="ED585" s="599"/>
      <c r="EE585" s="599"/>
      <c r="EF585" s="599"/>
      <c r="EG585" s="599"/>
      <c r="EH585" s="599"/>
      <c r="EI585" s="599"/>
      <c r="EJ585" s="599"/>
      <c r="EK585" s="599"/>
      <c r="EL585" s="599"/>
      <c r="EM585" s="599"/>
      <c r="EN585" s="599"/>
      <c r="EO585" s="599"/>
      <c r="EP585" s="599"/>
      <c r="EQ585" s="599"/>
      <c r="ER585" s="599"/>
      <c r="ES585" s="599"/>
      <c r="ET585" s="599"/>
      <c r="EU585" s="599"/>
      <c r="EV585" s="599"/>
      <c r="EW585" s="599"/>
      <c r="EX585" s="599"/>
      <c r="EY585" s="599"/>
      <c r="EZ585" s="599"/>
      <c r="FA585" s="599"/>
      <c r="FB585" s="599"/>
      <c r="FC585" s="599"/>
      <c r="FD585" s="599"/>
      <c r="FE585" s="599"/>
      <c r="FF585" s="599"/>
      <c r="FG585" s="599"/>
      <c r="FH585" s="599"/>
      <c r="FI585" s="599"/>
      <c r="FJ585" s="599"/>
      <c r="FK585" s="599"/>
      <c r="FL585" s="599"/>
      <c r="FM585" s="599"/>
      <c r="FN585" s="599"/>
      <c r="FO585" s="599"/>
      <c r="FP585" s="599"/>
      <c r="FQ585" s="599"/>
      <c r="FR585" s="599"/>
      <c r="FS585" s="599"/>
      <c r="FT585" s="599"/>
      <c r="FU585" s="599"/>
      <c r="FV585" s="599"/>
      <c r="FW585" s="599"/>
      <c r="FX585" s="599"/>
      <c r="FY585" s="599"/>
      <c r="FZ585" s="599"/>
      <c r="GA585" s="599"/>
      <c r="GB585" s="599"/>
      <c r="GC585" s="599"/>
      <c r="GD585" s="599"/>
      <c r="GE585" s="599"/>
      <c r="GF585" s="599"/>
      <c r="GG585" s="599"/>
      <c r="GH585" s="599"/>
      <c r="GI585" s="599"/>
      <c r="GJ585" s="599"/>
      <c r="GK585" s="599"/>
      <c r="GL585" s="599"/>
      <c r="GM585" s="599"/>
      <c r="GN585" s="599"/>
      <c r="GO585" s="599"/>
      <c r="GP585" s="599"/>
      <c r="GQ585" s="599"/>
      <c r="GR585" s="599"/>
      <c r="GS585" s="599"/>
      <c r="GT585" s="599"/>
      <c r="GU585" s="599"/>
      <c r="GV585" s="599"/>
      <c r="GW585" s="599"/>
      <c r="GX585" s="599"/>
      <c r="GY585" s="599"/>
      <c r="GZ585" s="599"/>
      <c r="HA585" s="599"/>
      <c r="HB585" s="599"/>
      <c r="HC585" s="599"/>
      <c r="HD585" s="599"/>
      <c r="HE585" s="599"/>
      <c r="HF585" s="599"/>
      <c r="HG585" s="599"/>
      <c r="HH585" s="599"/>
      <c r="HI585" s="599"/>
      <c r="HJ585" s="599"/>
      <c r="HK585" s="599"/>
      <c r="HL585" s="599"/>
      <c r="HM585" s="599"/>
      <c r="HN585" s="599"/>
      <c r="HO585" s="599"/>
      <c r="HP585" s="599"/>
      <c r="HQ585" s="599"/>
      <c r="HR585" s="599"/>
      <c r="HS585" s="599"/>
      <c r="HT585" s="599"/>
      <c r="HU585" s="599"/>
      <c r="HV585" s="599"/>
      <c r="HW585" s="599"/>
      <c r="HX585" s="599"/>
      <c r="HY585" s="599"/>
      <c r="HZ585" s="599"/>
      <c r="IA585" s="599"/>
      <c r="IB585" s="599"/>
      <c r="IC585" s="599"/>
      <c r="ID585" s="599"/>
      <c r="IE585" s="599"/>
      <c r="IF585" s="599"/>
      <c r="IG585" s="599"/>
      <c r="IH585" s="599"/>
      <c r="II585" s="599"/>
      <c r="IJ585" s="599"/>
      <c r="IK585" s="599"/>
      <c r="IL585" s="599"/>
      <c r="IM585" s="599"/>
      <c r="IN585" s="599"/>
      <c r="IO585" s="599"/>
      <c r="IP585" s="599"/>
      <c r="IQ585" s="599"/>
      <c r="IR585" s="599"/>
      <c r="IS585" s="599"/>
      <c r="IT585" s="599"/>
      <c r="IU585" s="599"/>
      <c r="IV585" s="599"/>
    </row>
    <row r="586" spans="1:256" s="1722" customFormat="1" ht="136.5" customHeight="1">
      <c r="A586" s="599">
        <v>6</v>
      </c>
      <c r="B586" s="446" t="s">
        <v>3296</v>
      </c>
      <c r="C586" s="599" t="s">
        <v>4511</v>
      </c>
      <c r="D586" s="599" t="s">
        <v>4660</v>
      </c>
      <c r="E586" s="599" t="s">
        <v>1691</v>
      </c>
      <c r="F586" s="602" t="s">
        <v>4864</v>
      </c>
      <c r="G586" s="599" t="s">
        <v>4362</v>
      </c>
      <c r="H586" s="599"/>
      <c r="I586" s="602"/>
      <c r="J586" s="599" t="s">
        <v>4819</v>
      </c>
      <c r="K586" s="599" t="s">
        <v>4801</v>
      </c>
      <c r="L586" s="1882" t="s">
        <v>567</v>
      </c>
      <c r="M586" s="599"/>
      <c r="N586" s="599"/>
      <c r="O586" s="599"/>
      <c r="P586" s="1515"/>
      <c r="Q586" s="599"/>
      <c r="R586" s="599"/>
      <c r="S586" s="599"/>
      <c r="T586" s="599"/>
      <c r="U586" s="599"/>
      <c r="V586" s="599"/>
      <c r="W586" s="599"/>
      <c r="X586" s="599"/>
      <c r="Y586" s="599"/>
      <c r="Z586" s="599"/>
      <c r="AA586" s="599"/>
      <c r="AB586" s="599"/>
      <c r="AC586" s="599"/>
      <c r="AD586" s="599"/>
      <c r="AE586" s="599"/>
      <c r="AF586" s="599"/>
      <c r="AG586" s="599"/>
      <c r="AH586" s="599"/>
      <c r="AI586" s="599"/>
      <c r="AJ586" s="599"/>
      <c r="AK586" s="599"/>
      <c r="AL586" s="599"/>
      <c r="AM586" s="599"/>
      <c r="AN586" s="599"/>
      <c r="AO586" s="599"/>
      <c r="AP586" s="599"/>
      <c r="AQ586" s="599"/>
      <c r="AR586" s="599"/>
      <c r="AS586" s="599"/>
      <c r="AT586" s="599"/>
      <c r="AU586" s="599"/>
      <c r="AV586" s="599"/>
      <c r="AW586" s="599"/>
      <c r="AX586" s="599"/>
      <c r="AY586" s="599"/>
      <c r="AZ586" s="599"/>
      <c r="BA586" s="599"/>
      <c r="BB586" s="599"/>
      <c r="BC586" s="599"/>
      <c r="BD586" s="599"/>
      <c r="BE586" s="599"/>
      <c r="BF586" s="599"/>
      <c r="BG586" s="599"/>
      <c r="BH586" s="599"/>
      <c r="BI586" s="599"/>
      <c r="BJ586" s="599"/>
      <c r="BK586" s="599"/>
      <c r="BL586" s="599"/>
      <c r="BM586" s="599"/>
      <c r="BN586" s="599"/>
      <c r="BO586" s="599"/>
      <c r="BP586" s="599"/>
      <c r="BQ586" s="599"/>
      <c r="BR586" s="599"/>
      <c r="BS586" s="599"/>
      <c r="BT586" s="599"/>
      <c r="BU586" s="599"/>
      <c r="BV586" s="599"/>
      <c r="BW586" s="599"/>
      <c r="BX586" s="599"/>
      <c r="BY586" s="599"/>
      <c r="BZ586" s="599"/>
      <c r="CA586" s="599"/>
      <c r="CB586" s="599"/>
      <c r="CC586" s="599"/>
      <c r="CD586" s="599"/>
      <c r="CE586" s="599"/>
      <c r="CF586" s="599"/>
      <c r="CG586" s="599"/>
      <c r="CH586" s="599"/>
      <c r="CI586" s="599"/>
      <c r="CJ586" s="599"/>
      <c r="CK586" s="599"/>
      <c r="CL586" s="599"/>
      <c r="CM586" s="599"/>
      <c r="CN586" s="599"/>
      <c r="CO586" s="599"/>
      <c r="CP586" s="599"/>
      <c r="CQ586" s="599"/>
      <c r="CR586" s="599"/>
      <c r="CS586" s="599"/>
      <c r="CT586" s="599"/>
      <c r="CU586" s="599"/>
      <c r="CV586" s="599"/>
      <c r="CW586" s="599"/>
      <c r="CX586" s="599"/>
      <c r="CY586" s="599"/>
      <c r="CZ586" s="599"/>
      <c r="DA586" s="599"/>
      <c r="DB586" s="599"/>
      <c r="DC586" s="599"/>
      <c r="DD586" s="599"/>
      <c r="DE586" s="599"/>
      <c r="DF586" s="599"/>
      <c r="DG586" s="599"/>
      <c r="DH586" s="599"/>
      <c r="DI586" s="599"/>
      <c r="DJ586" s="599"/>
      <c r="DK586" s="599"/>
      <c r="DL586" s="599"/>
      <c r="DM586" s="599"/>
      <c r="DN586" s="599"/>
      <c r="DO586" s="599"/>
      <c r="DP586" s="599"/>
      <c r="DQ586" s="599"/>
      <c r="DR586" s="599"/>
      <c r="DS586" s="599"/>
      <c r="DT586" s="599"/>
      <c r="DU586" s="599"/>
      <c r="DV586" s="599"/>
      <c r="DW586" s="599"/>
      <c r="DX586" s="599"/>
      <c r="DY586" s="599"/>
      <c r="DZ586" s="599"/>
      <c r="EA586" s="599"/>
      <c r="EB586" s="599"/>
      <c r="EC586" s="599"/>
      <c r="ED586" s="599"/>
      <c r="EE586" s="599"/>
      <c r="EF586" s="599"/>
      <c r="EG586" s="599"/>
      <c r="EH586" s="599"/>
      <c r="EI586" s="599"/>
      <c r="EJ586" s="599"/>
      <c r="EK586" s="599"/>
      <c r="EL586" s="599"/>
      <c r="EM586" s="599"/>
      <c r="EN586" s="599"/>
      <c r="EO586" s="599"/>
      <c r="EP586" s="599"/>
      <c r="EQ586" s="599"/>
      <c r="ER586" s="599"/>
      <c r="ES586" s="599"/>
      <c r="ET586" s="599"/>
      <c r="EU586" s="599"/>
      <c r="EV586" s="599"/>
      <c r="EW586" s="599"/>
      <c r="EX586" s="599"/>
      <c r="EY586" s="599"/>
      <c r="EZ586" s="599"/>
      <c r="FA586" s="599"/>
      <c r="FB586" s="599"/>
      <c r="FC586" s="599"/>
      <c r="FD586" s="599"/>
      <c r="FE586" s="599"/>
      <c r="FF586" s="599"/>
      <c r="FG586" s="599"/>
      <c r="FH586" s="599"/>
      <c r="FI586" s="599"/>
      <c r="FJ586" s="599"/>
      <c r="FK586" s="599"/>
      <c r="FL586" s="599"/>
      <c r="FM586" s="599"/>
      <c r="FN586" s="599"/>
      <c r="FO586" s="599"/>
      <c r="FP586" s="599"/>
      <c r="FQ586" s="599"/>
      <c r="FR586" s="599"/>
      <c r="FS586" s="599"/>
      <c r="FT586" s="599"/>
      <c r="FU586" s="599"/>
      <c r="FV586" s="599"/>
      <c r="FW586" s="599"/>
      <c r="FX586" s="599"/>
      <c r="FY586" s="599"/>
      <c r="FZ586" s="599"/>
      <c r="GA586" s="599"/>
      <c r="GB586" s="599"/>
      <c r="GC586" s="599"/>
      <c r="GD586" s="599"/>
      <c r="GE586" s="599"/>
      <c r="GF586" s="599"/>
      <c r="GG586" s="599"/>
      <c r="GH586" s="599"/>
      <c r="GI586" s="599"/>
      <c r="GJ586" s="599"/>
      <c r="GK586" s="599"/>
      <c r="GL586" s="599"/>
      <c r="GM586" s="599"/>
      <c r="GN586" s="599"/>
      <c r="GO586" s="599"/>
      <c r="GP586" s="599"/>
      <c r="GQ586" s="599"/>
      <c r="GR586" s="599"/>
      <c r="GS586" s="599"/>
      <c r="GT586" s="599"/>
      <c r="GU586" s="599"/>
      <c r="GV586" s="599"/>
      <c r="GW586" s="599"/>
      <c r="GX586" s="599"/>
      <c r="GY586" s="599"/>
      <c r="GZ586" s="599"/>
      <c r="HA586" s="599"/>
      <c r="HB586" s="599"/>
      <c r="HC586" s="599"/>
      <c r="HD586" s="599"/>
      <c r="HE586" s="599"/>
      <c r="HF586" s="599"/>
      <c r="HG586" s="599"/>
      <c r="HH586" s="599"/>
      <c r="HI586" s="599"/>
      <c r="HJ586" s="599"/>
      <c r="HK586" s="599"/>
      <c r="HL586" s="599"/>
      <c r="HM586" s="599"/>
      <c r="HN586" s="599"/>
      <c r="HO586" s="599"/>
      <c r="HP586" s="599"/>
      <c r="HQ586" s="599"/>
      <c r="HR586" s="599"/>
      <c r="HS586" s="599"/>
      <c r="HT586" s="599"/>
      <c r="HU586" s="599"/>
      <c r="HV586" s="599"/>
      <c r="HW586" s="599"/>
      <c r="HX586" s="599"/>
      <c r="HY586" s="599"/>
      <c r="HZ586" s="599"/>
      <c r="IA586" s="599"/>
      <c r="IB586" s="599"/>
      <c r="IC586" s="599"/>
      <c r="ID586" s="599"/>
      <c r="IE586" s="599"/>
      <c r="IF586" s="599"/>
      <c r="IG586" s="599"/>
      <c r="IH586" s="599"/>
      <c r="II586" s="599"/>
      <c r="IJ586" s="599"/>
      <c r="IK586" s="599"/>
      <c r="IL586" s="599"/>
      <c r="IM586" s="599"/>
      <c r="IN586" s="599"/>
      <c r="IO586" s="599"/>
      <c r="IP586" s="599"/>
      <c r="IQ586" s="599"/>
      <c r="IR586" s="599"/>
      <c r="IS586" s="599"/>
      <c r="IT586" s="599"/>
      <c r="IU586" s="599"/>
      <c r="IV586" s="599"/>
    </row>
    <row r="587" spans="1:256" s="1722" customFormat="1" ht="63" customHeight="1">
      <c r="A587" s="599"/>
      <c r="B587" s="446" t="s">
        <v>3296</v>
      </c>
      <c r="C587" s="502" t="s">
        <v>4658</v>
      </c>
      <c r="D587" s="599" t="s">
        <v>4919</v>
      </c>
      <c r="E587" s="599"/>
      <c r="F587" s="1341">
        <v>1926257</v>
      </c>
      <c r="G587" s="599"/>
      <c r="H587" s="599"/>
      <c r="I587" s="599"/>
      <c r="J587" s="599">
        <v>967050</v>
      </c>
      <c r="K587" s="599" t="s">
        <v>5071</v>
      </c>
      <c r="L587" s="599"/>
      <c r="M587" s="599"/>
      <c r="N587" s="599"/>
      <c r="O587" s="599"/>
      <c r="P587" s="1515"/>
      <c r="Q587" s="599"/>
      <c r="R587" s="599"/>
      <c r="S587" s="599"/>
      <c r="T587" s="599"/>
      <c r="U587" s="599"/>
      <c r="V587" s="599"/>
      <c r="W587" s="599"/>
      <c r="X587" s="599"/>
      <c r="Y587" s="599"/>
      <c r="Z587" s="599"/>
      <c r="AA587" s="599"/>
      <c r="AB587" s="599"/>
      <c r="AC587" s="599"/>
      <c r="AD587" s="599"/>
      <c r="AE587" s="599"/>
      <c r="AF587" s="599"/>
      <c r="AG587" s="599"/>
      <c r="AH587" s="599"/>
      <c r="AI587" s="599"/>
      <c r="AJ587" s="599"/>
      <c r="AK587" s="599"/>
      <c r="AL587" s="599"/>
      <c r="AM587" s="599"/>
      <c r="AN587" s="599"/>
      <c r="AO587" s="599"/>
      <c r="AP587" s="599"/>
      <c r="AQ587" s="599"/>
      <c r="AR587" s="599"/>
      <c r="AS587" s="599"/>
      <c r="AT587" s="599"/>
      <c r="AU587" s="599"/>
      <c r="AV587" s="599"/>
      <c r="AW587" s="599"/>
      <c r="AX587" s="599"/>
      <c r="AY587" s="599"/>
      <c r="AZ587" s="599"/>
      <c r="BA587" s="599"/>
      <c r="BB587" s="599"/>
      <c r="BC587" s="599"/>
      <c r="BD587" s="599"/>
      <c r="BE587" s="599"/>
      <c r="BF587" s="599"/>
      <c r="BG587" s="599"/>
      <c r="BH587" s="599"/>
      <c r="BI587" s="599"/>
      <c r="BJ587" s="599"/>
      <c r="BK587" s="599"/>
      <c r="BL587" s="599"/>
      <c r="BM587" s="599"/>
      <c r="BN587" s="599"/>
      <c r="BO587" s="599"/>
      <c r="BP587" s="599"/>
      <c r="BQ587" s="599"/>
      <c r="BR587" s="599"/>
      <c r="BS587" s="599"/>
      <c r="BT587" s="599"/>
      <c r="BU587" s="599"/>
      <c r="BV587" s="599"/>
      <c r="BW587" s="599"/>
      <c r="BX587" s="599"/>
      <c r="BY587" s="599"/>
      <c r="BZ587" s="599"/>
      <c r="CA587" s="599"/>
      <c r="CB587" s="599"/>
      <c r="CC587" s="599"/>
      <c r="CD587" s="599"/>
      <c r="CE587" s="599"/>
      <c r="CF587" s="599"/>
      <c r="CG587" s="599"/>
      <c r="CH587" s="599"/>
      <c r="CI587" s="599"/>
      <c r="CJ587" s="599"/>
      <c r="CK587" s="599"/>
      <c r="CL587" s="599"/>
      <c r="CM587" s="599"/>
      <c r="CN587" s="599"/>
      <c r="CO587" s="599"/>
      <c r="CP587" s="599"/>
      <c r="CQ587" s="599"/>
      <c r="CR587" s="599"/>
      <c r="CS587" s="599"/>
      <c r="CT587" s="599"/>
      <c r="CU587" s="599"/>
      <c r="CV587" s="599"/>
      <c r="CW587" s="599"/>
      <c r="CX587" s="599"/>
      <c r="CY587" s="599"/>
      <c r="CZ587" s="599"/>
      <c r="DA587" s="599"/>
      <c r="DB587" s="599"/>
      <c r="DC587" s="599"/>
      <c r="DD587" s="599"/>
      <c r="DE587" s="599"/>
      <c r="DF587" s="599"/>
      <c r="DG587" s="599"/>
      <c r="DH587" s="599"/>
      <c r="DI587" s="599"/>
      <c r="DJ587" s="599"/>
      <c r="DK587" s="599"/>
      <c r="DL587" s="599"/>
      <c r="DM587" s="599"/>
      <c r="DN587" s="599"/>
      <c r="DO587" s="599"/>
      <c r="DP587" s="599"/>
      <c r="DQ587" s="599"/>
      <c r="DR587" s="599"/>
      <c r="DS587" s="599"/>
      <c r="DT587" s="599"/>
      <c r="DU587" s="599"/>
      <c r="DV587" s="599"/>
      <c r="DW587" s="599"/>
      <c r="DX587" s="599"/>
      <c r="DY587" s="599"/>
      <c r="DZ587" s="599"/>
      <c r="EA587" s="599"/>
      <c r="EB587" s="599"/>
      <c r="EC587" s="599"/>
      <c r="ED587" s="599"/>
      <c r="EE587" s="599"/>
      <c r="EF587" s="599"/>
      <c r="EG587" s="599"/>
      <c r="EH587" s="599"/>
      <c r="EI587" s="599"/>
      <c r="EJ587" s="599"/>
      <c r="EK587" s="599"/>
      <c r="EL587" s="599"/>
      <c r="EM587" s="599"/>
      <c r="EN587" s="599"/>
      <c r="EO587" s="599"/>
      <c r="EP587" s="599"/>
      <c r="EQ587" s="599"/>
      <c r="ER587" s="599"/>
      <c r="ES587" s="599"/>
      <c r="ET587" s="599"/>
      <c r="EU587" s="599"/>
      <c r="EV587" s="599"/>
      <c r="EW587" s="599"/>
      <c r="EX587" s="599"/>
      <c r="EY587" s="599"/>
      <c r="EZ587" s="599"/>
      <c r="FA587" s="599"/>
      <c r="FB587" s="599"/>
      <c r="FC587" s="599"/>
      <c r="FD587" s="599"/>
      <c r="FE587" s="599"/>
      <c r="FF587" s="599"/>
      <c r="FG587" s="599"/>
      <c r="FH587" s="599"/>
      <c r="FI587" s="599"/>
      <c r="FJ587" s="599"/>
      <c r="FK587" s="599"/>
      <c r="FL587" s="599"/>
      <c r="FM587" s="599"/>
      <c r="FN587" s="599"/>
      <c r="FO587" s="599"/>
      <c r="FP587" s="599"/>
      <c r="FQ587" s="599"/>
      <c r="FR587" s="599"/>
      <c r="FS587" s="599"/>
      <c r="FT587" s="599"/>
      <c r="FU587" s="599"/>
      <c r="FV587" s="599"/>
      <c r="FW587" s="599"/>
      <c r="FX587" s="599"/>
      <c r="FY587" s="599"/>
      <c r="FZ587" s="599"/>
      <c r="GA587" s="599"/>
      <c r="GB587" s="599"/>
      <c r="GC587" s="599"/>
      <c r="GD587" s="599"/>
      <c r="GE587" s="599"/>
      <c r="GF587" s="599"/>
      <c r="GG587" s="599"/>
      <c r="GH587" s="599"/>
      <c r="GI587" s="599"/>
      <c r="GJ587" s="599"/>
      <c r="GK587" s="599"/>
      <c r="GL587" s="599"/>
      <c r="GM587" s="599"/>
      <c r="GN587" s="599"/>
      <c r="GO587" s="599"/>
      <c r="GP587" s="599"/>
      <c r="GQ587" s="599"/>
      <c r="GR587" s="599"/>
      <c r="GS587" s="599"/>
      <c r="GT587" s="599"/>
      <c r="GU587" s="599"/>
      <c r="GV587" s="599"/>
      <c r="GW587" s="599"/>
      <c r="GX587" s="599"/>
      <c r="GY587" s="599"/>
      <c r="GZ587" s="599"/>
      <c r="HA587" s="599"/>
      <c r="HB587" s="599"/>
      <c r="HC587" s="599"/>
      <c r="HD587" s="599"/>
      <c r="HE587" s="599"/>
      <c r="HF587" s="599"/>
      <c r="HG587" s="599"/>
      <c r="HH587" s="599"/>
      <c r="HI587" s="599"/>
      <c r="HJ587" s="599"/>
      <c r="HK587" s="599"/>
      <c r="HL587" s="599"/>
      <c r="HM587" s="599"/>
      <c r="HN587" s="599"/>
      <c r="HO587" s="599"/>
      <c r="HP587" s="599"/>
      <c r="HQ587" s="599"/>
      <c r="HR587" s="599"/>
      <c r="HS587" s="599"/>
      <c r="HT587" s="599"/>
      <c r="HU587" s="599"/>
      <c r="HV587" s="599"/>
      <c r="HW587" s="599"/>
      <c r="HX587" s="599"/>
      <c r="HY587" s="599"/>
      <c r="HZ587" s="599"/>
      <c r="IA587" s="599"/>
      <c r="IB587" s="599"/>
      <c r="IC587" s="599"/>
      <c r="ID587" s="599"/>
      <c r="IE587" s="599"/>
      <c r="IF587" s="599"/>
      <c r="IG587" s="599"/>
      <c r="IH587" s="599"/>
      <c r="II587" s="599"/>
      <c r="IJ587" s="599"/>
      <c r="IK587" s="599"/>
      <c r="IL587" s="599"/>
      <c r="IM587" s="599"/>
      <c r="IN587" s="599"/>
      <c r="IO587" s="599"/>
      <c r="IP587" s="599"/>
      <c r="IQ587" s="599"/>
      <c r="IR587" s="599"/>
      <c r="IS587" s="599"/>
      <c r="IT587" s="599"/>
      <c r="IU587" s="599"/>
      <c r="IV587" s="599"/>
    </row>
    <row r="588" spans="1:256" s="1722" customFormat="1" ht="63" customHeight="1">
      <c r="A588" s="599"/>
      <c r="B588" s="446" t="s">
        <v>3296</v>
      </c>
      <c r="C588" s="502" t="s">
        <v>4659</v>
      </c>
      <c r="D588" s="599" t="s">
        <v>4689</v>
      </c>
      <c r="E588" s="599"/>
      <c r="F588" s="1341">
        <v>406810</v>
      </c>
      <c r="G588" s="599"/>
      <c r="H588" s="599"/>
      <c r="I588" s="599"/>
      <c r="J588" s="599">
        <v>406810</v>
      </c>
      <c r="K588" s="1094" t="s">
        <v>5071</v>
      </c>
      <c r="L588" s="599"/>
      <c r="M588" s="599"/>
      <c r="N588" s="599"/>
      <c r="O588" s="599"/>
      <c r="P588" s="1515"/>
      <c r="Q588" s="599"/>
      <c r="R588" s="599"/>
      <c r="S588" s="599"/>
      <c r="T588" s="599"/>
      <c r="U588" s="599"/>
      <c r="V588" s="599"/>
      <c r="W588" s="599"/>
      <c r="X588" s="599"/>
      <c r="Y588" s="599"/>
      <c r="Z588" s="599"/>
      <c r="AA588" s="599"/>
      <c r="AB588" s="599"/>
      <c r="AC588" s="599"/>
      <c r="AD588" s="599"/>
      <c r="AE588" s="599"/>
      <c r="AF588" s="599"/>
      <c r="AG588" s="599"/>
      <c r="AH588" s="599"/>
      <c r="AI588" s="599"/>
      <c r="AJ588" s="599"/>
      <c r="AK588" s="599"/>
      <c r="AL588" s="599"/>
      <c r="AM588" s="599"/>
      <c r="AN588" s="599"/>
      <c r="AO588" s="599"/>
      <c r="AP588" s="599"/>
      <c r="AQ588" s="599"/>
      <c r="AR588" s="599"/>
      <c r="AS588" s="599"/>
      <c r="AT588" s="599"/>
      <c r="AU588" s="599"/>
      <c r="AV588" s="599"/>
      <c r="AW588" s="599"/>
      <c r="AX588" s="599"/>
      <c r="AY588" s="599"/>
      <c r="AZ588" s="599"/>
      <c r="BA588" s="599"/>
      <c r="BB588" s="599"/>
      <c r="BC588" s="599"/>
      <c r="BD588" s="599"/>
      <c r="BE588" s="599"/>
      <c r="BF588" s="599"/>
      <c r="BG588" s="599"/>
      <c r="BH588" s="599"/>
      <c r="BI588" s="599"/>
      <c r="BJ588" s="599"/>
      <c r="BK588" s="599"/>
      <c r="BL588" s="599"/>
      <c r="BM588" s="599"/>
      <c r="BN588" s="599"/>
      <c r="BO588" s="599"/>
      <c r="BP588" s="599"/>
      <c r="BQ588" s="599"/>
      <c r="BR588" s="599"/>
      <c r="BS588" s="599"/>
      <c r="BT588" s="599"/>
      <c r="BU588" s="599"/>
      <c r="BV588" s="599"/>
      <c r="BW588" s="599"/>
      <c r="BX588" s="599"/>
      <c r="BY588" s="599"/>
      <c r="BZ588" s="599"/>
      <c r="CA588" s="599"/>
      <c r="CB588" s="599"/>
      <c r="CC588" s="599"/>
      <c r="CD588" s="599"/>
      <c r="CE588" s="599"/>
      <c r="CF588" s="599"/>
      <c r="CG588" s="599"/>
      <c r="CH588" s="599"/>
      <c r="CI588" s="599"/>
      <c r="CJ588" s="599"/>
      <c r="CK588" s="599"/>
      <c r="CL588" s="599"/>
      <c r="CM588" s="599"/>
      <c r="CN588" s="599"/>
      <c r="CO588" s="599"/>
      <c r="CP588" s="599"/>
      <c r="CQ588" s="599"/>
      <c r="CR588" s="599"/>
      <c r="CS588" s="599"/>
      <c r="CT588" s="599"/>
      <c r="CU588" s="599"/>
      <c r="CV588" s="599"/>
      <c r="CW588" s="599"/>
      <c r="CX588" s="599"/>
      <c r="CY588" s="599"/>
      <c r="CZ588" s="599"/>
      <c r="DA588" s="599"/>
      <c r="DB588" s="599"/>
      <c r="DC588" s="599"/>
      <c r="DD588" s="599"/>
      <c r="DE588" s="599"/>
      <c r="DF588" s="599"/>
      <c r="DG588" s="599"/>
      <c r="DH588" s="599"/>
      <c r="DI588" s="599"/>
      <c r="DJ588" s="599"/>
      <c r="DK588" s="599"/>
      <c r="DL588" s="599"/>
      <c r="DM588" s="599"/>
      <c r="DN588" s="599"/>
      <c r="DO588" s="599"/>
      <c r="DP588" s="599"/>
      <c r="DQ588" s="599"/>
      <c r="DR588" s="599"/>
      <c r="DS588" s="599"/>
      <c r="DT588" s="599"/>
      <c r="DU588" s="599"/>
      <c r="DV588" s="599"/>
      <c r="DW588" s="599"/>
      <c r="DX588" s="599"/>
      <c r="DY588" s="599"/>
      <c r="DZ588" s="599"/>
      <c r="EA588" s="599"/>
      <c r="EB588" s="599"/>
      <c r="EC588" s="599"/>
      <c r="ED588" s="599"/>
      <c r="EE588" s="599"/>
      <c r="EF588" s="599"/>
      <c r="EG588" s="599"/>
      <c r="EH588" s="599"/>
      <c r="EI588" s="599"/>
      <c r="EJ588" s="599"/>
      <c r="EK588" s="599"/>
      <c r="EL588" s="599"/>
      <c r="EM588" s="599"/>
      <c r="EN588" s="599"/>
      <c r="EO588" s="599"/>
      <c r="EP588" s="599"/>
      <c r="EQ588" s="599"/>
      <c r="ER588" s="599"/>
      <c r="ES588" s="599"/>
      <c r="ET588" s="599"/>
      <c r="EU588" s="599"/>
      <c r="EV588" s="599"/>
      <c r="EW588" s="599"/>
      <c r="EX588" s="599"/>
      <c r="EY588" s="599"/>
      <c r="EZ588" s="599"/>
      <c r="FA588" s="599"/>
      <c r="FB588" s="599"/>
      <c r="FC588" s="599"/>
      <c r="FD588" s="599"/>
      <c r="FE588" s="599"/>
      <c r="FF588" s="599"/>
      <c r="FG588" s="599"/>
      <c r="FH588" s="599"/>
      <c r="FI588" s="599"/>
      <c r="FJ588" s="599"/>
      <c r="FK588" s="599"/>
      <c r="FL588" s="599"/>
      <c r="FM588" s="599"/>
      <c r="FN588" s="599"/>
      <c r="FO588" s="599"/>
      <c r="FP588" s="599"/>
      <c r="FQ588" s="599"/>
      <c r="FR588" s="599"/>
      <c r="FS588" s="599"/>
      <c r="FT588" s="599"/>
      <c r="FU588" s="599"/>
      <c r="FV588" s="599"/>
      <c r="FW588" s="599"/>
      <c r="FX588" s="599"/>
      <c r="FY588" s="599"/>
      <c r="FZ588" s="599"/>
      <c r="GA588" s="599"/>
      <c r="GB588" s="599"/>
      <c r="GC588" s="599"/>
      <c r="GD588" s="599"/>
      <c r="GE588" s="599"/>
      <c r="GF588" s="599"/>
      <c r="GG588" s="599"/>
      <c r="GH588" s="599"/>
      <c r="GI588" s="599"/>
      <c r="GJ588" s="599"/>
      <c r="GK588" s="599"/>
      <c r="GL588" s="599"/>
      <c r="GM588" s="599"/>
      <c r="GN588" s="599"/>
      <c r="GO588" s="599"/>
      <c r="GP588" s="599"/>
      <c r="GQ588" s="599"/>
      <c r="GR588" s="599"/>
      <c r="GS588" s="599"/>
      <c r="GT588" s="599"/>
      <c r="GU588" s="599"/>
      <c r="GV588" s="599"/>
      <c r="GW588" s="599"/>
      <c r="GX588" s="599"/>
      <c r="GY588" s="599"/>
      <c r="GZ588" s="599"/>
      <c r="HA588" s="599"/>
      <c r="HB588" s="599"/>
      <c r="HC588" s="599"/>
      <c r="HD588" s="599"/>
      <c r="HE588" s="599"/>
      <c r="HF588" s="599"/>
      <c r="HG588" s="599"/>
      <c r="HH588" s="599"/>
      <c r="HI588" s="599"/>
      <c r="HJ588" s="599"/>
      <c r="HK588" s="599"/>
      <c r="HL588" s="599"/>
      <c r="HM588" s="599"/>
      <c r="HN588" s="599"/>
      <c r="HO588" s="599"/>
      <c r="HP588" s="599"/>
      <c r="HQ588" s="599"/>
      <c r="HR588" s="599"/>
      <c r="HS588" s="599"/>
      <c r="HT588" s="599"/>
      <c r="HU588" s="599"/>
      <c r="HV588" s="599"/>
      <c r="HW588" s="599"/>
      <c r="HX588" s="599"/>
      <c r="HY588" s="599"/>
      <c r="HZ588" s="599"/>
      <c r="IA588" s="599"/>
      <c r="IB588" s="599"/>
      <c r="IC588" s="599"/>
      <c r="ID588" s="599"/>
      <c r="IE588" s="599"/>
      <c r="IF588" s="599"/>
      <c r="IG588" s="599"/>
      <c r="IH588" s="599"/>
      <c r="II588" s="599"/>
      <c r="IJ588" s="599"/>
      <c r="IK588" s="599"/>
      <c r="IL588" s="599"/>
      <c r="IM588" s="599"/>
      <c r="IN588" s="599"/>
      <c r="IO588" s="599"/>
      <c r="IP588" s="599"/>
      <c r="IQ588" s="599"/>
      <c r="IR588" s="599"/>
      <c r="IS588" s="599"/>
      <c r="IT588" s="599"/>
      <c r="IU588" s="599"/>
      <c r="IV588" s="599"/>
    </row>
    <row r="589" spans="1:256" s="1722" customFormat="1" ht="55.5" customHeight="1">
      <c r="A589" s="599"/>
      <c r="B589" s="446" t="s">
        <v>3296</v>
      </c>
      <c r="C589" s="502" t="s">
        <v>4679</v>
      </c>
      <c r="D589" s="599" t="s">
        <v>4681</v>
      </c>
      <c r="E589" s="599" t="s">
        <v>4678</v>
      </c>
      <c r="F589" s="2500" t="s">
        <v>4680</v>
      </c>
      <c r="G589" s="2501"/>
      <c r="H589" s="2501"/>
      <c r="I589" s="2502"/>
      <c r="J589" s="599"/>
      <c r="K589" s="1857">
        <v>45461</v>
      </c>
      <c r="L589" s="599"/>
      <c r="M589" s="599"/>
      <c r="N589" s="599"/>
      <c r="O589" s="599"/>
      <c r="P589" s="1515"/>
      <c r="Q589" s="599"/>
      <c r="R589" s="599"/>
      <c r="S589" s="599"/>
      <c r="T589" s="599"/>
      <c r="U589" s="599"/>
      <c r="V589" s="599"/>
      <c r="W589" s="599"/>
      <c r="X589" s="599"/>
      <c r="Y589" s="599"/>
      <c r="Z589" s="599"/>
      <c r="AA589" s="599"/>
      <c r="AB589" s="599"/>
      <c r="AC589" s="599"/>
      <c r="AD589" s="599"/>
      <c r="AE589" s="599"/>
      <c r="AF589" s="599"/>
      <c r="AG589" s="599"/>
      <c r="AH589" s="599"/>
      <c r="AI589" s="599"/>
      <c r="AJ589" s="599"/>
      <c r="AK589" s="599"/>
      <c r="AL589" s="599"/>
      <c r="AM589" s="599"/>
      <c r="AN589" s="599"/>
      <c r="AO589" s="599"/>
      <c r="AP589" s="599"/>
      <c r="AQ589" s="599"/>
      <c r="AR589" s="599"/>
      <c r="AS589" s="599"/>
      <c r="AT589" s="599"/>
      <c r="AU589" s="599"/>
      <c r="AV589" s="599"/>
      <c r="AW589" s="599"/>
      <c r="AX589" s="599"/>
      <c r="AY589" s="599"/>
      <c r="AZ589" s="599"/>
      <c r="BA589" s="599"/>
      <c r="BB589" s="599"/>
      <c r="BC589" s="599"/>
      <c r="BD589" s="599"/>
      <c r="BE589" s="599"/>
      <c r="BF589" s="599"/>
      <c r="BG589" s="599"/>
      <c r="BH589" s="599"/>
      <c r="BI589" s="599"/>
      <c r="BJ589" s="599"/>
      <c r="BK589" s="599"/>
      <c r="BL589" s="599"/>
      <c r="BM589" s="599"/>
      <c r="BN589" s="599"/>
      <c r="BO589" s="599"/>
      <c r="BP589" s="599"/>
      <c r="BQ589" s="599"/>
      <c r="BR589" s="599"/>
      <c r="BS589" s="599"/>
      <c r="BT589" s="599"/>
      <c r="BU589" s="599"/>
      <c r="BV589" s="599"/>
      <c r="BW589" s="599"/>
      <c r="BX589" s="599"/>
      <c r="BY589" s="599"/>
      <c r="BZ589" s="599"/>
      <c r="CA589" s="599"/>
      <c r="CB589" s="599"/>
      <c r="CC589" s="599"/>
      <c r="CD589" s="599"/>
      <c r="CE589" s="599"/>
      <c r="CF589" s="599"/>
      <c r="CG589" s="599"/>
      <c r="CH589" s="599"/>
      <c r="CI589" s="599"/>
      <c r="CJ589" s="599"/>
      <c r="CK589" s="599"/>
      <c r="CL589" s="599"/>
      <c r="CM589" s="599"/>
      <c r="CN589" s="599"/>
      <c r="CO589" s="599"/>
      <c r="CP589" s="599"/>
      <c r="CQ589" s="599"/>
      <c r="CR589" s="599"/>
      <c r="CS589" s="599"/>
      <c r="CT589" s="599"/>
      <c r="CU589" s="599"/>
      <c r="CV589" s="599"/>
      <c r="CW589" s="599"/>
      <c r="CX589" s="599"/>
      <c r="CY589" s="599"/>
      <c r="CZ589" s="599"/>
      <c r="DA589" s="599"/>
      <c r="DB589" s="599"/>
      <c r="DC589" s="599"/>
      <c r="DD589" s="599"/>
      <c r="DE589" s="599"/>
      <c r="DF589" s="599"/>
      <c r="DG589" s="599"/>
      <c r="DH589" s="599"/>
      <c r="DI589" s="599"/>
      <c r="DJ589" s="599"/>
      <c r="DK589" s="599"/>
      <c r="DL589" s="599"/>
      <c r="DM589" s="599"/>
      <c r="DN589" s="599"/>
      <c r="DO589" s="599"/>
      <c r="DP589" s="599"/>
      <c r="DQ589" s="599"/>
      <c r="DR589" s="599"/>
      <c r="DS589" s="599"/>
      <c r="DT589" s="599"/>
      <c r="DU589" s="599"/>
      <c r="DV589" s="599"/>
      <c r="DW589" s="599"/>
      <c r="DX589" s="599"/>
      <c r="DY589" s="599"/>
      <c r="DZ589" s="599"/>
      <c r="EA589" s="599"/>
      <c r="EB589" s="599"/>
      <c r="EC589" s="599"/>
      <c r="ED589" s="599"/>
      <c r="EE589" s="599"/>
      <c r="EF589" s="599"/>
      <c r="EG589" s="599"/>
      <c r="EH589" s="599"/>
      <c r="EI589" s="599"/>
      <c r="EJ589" s="599"/>
      <c r="EK589" s="599"/>
      <c r="EL589" s="599"/>
      <c r="EM589" s="599"/>
      <c r="EN589" s="599"/>
      <c r="EO589" s="599"/>
      <c r="EP589" s="599"/>
      <c r="EQ589" s="599"/>
      <c r="ER589" s="599"/>
      <c r="ES589" s="599"/>
      <c r="ET589" s="599"/>
      <c r="EU589" s="599"/>
      <c r="EV589" s="599"/>
      <c r="EW589" s="599"/>
      <c r="EX589" s="599"/>
      <c r="EY589" s="599"/>
      <c r="EZ589" s="599"/>
      <c r="FA589" s="599"/>
      <c r="FB589" s="599"/>
      <c r="FC589" s="599"/>
      <c r="FD589" s="599"/>
      <c r="FE589" s="599"/>
      <c r="FF589" s="599"/>
      <c r="FG589" s="599"/>
      <c r="FH589" s="599"/>
      <c r="FI589" s="599"/>
      <c r="FJ589" s="599"/>
      <c r="FK589" s="599"/>
      <c r="FL589" s="599"/>
      <c r="FM589" s="599"/>
      <c r="FN589" s="599"/>
      <c r="FO589" s="599"/>
      <c r="FP589" s="599"/>
      <c r="FQ589" s="599"/>
      <c r="FR589" s="599"/>
      <c r="FS589" s="599"/>
      <c r="FT589" s="599"/>
      <c r="FU589" s="599"/>
      <c r="FV589" s="599"/>
      <c r="FW589" s="599"/>
      <c r="FX589" s="599"/>
      <c r="FY589" s="599"/>
      <c r="FZ589" s="599"/>
      <c r="GA589" s="599"/>
      <c r="GB589" s="599"/>
      <c r="GC589" s="599"/>
      <c r="GD589" s="599"/>
      <c r="GE589" s="599"/>
      <c r="GF589" s="599"/>
      <c r="GG589" s="599"/>
      <c r="GH589" s="599"/>
      <c r="GI589" s="599"/>
      <c r="GJ589" s="599"/>
      <c r="GK589" s="599"/>
      <c r="GL589" s="599"/>
      <c r="GM589" s="599"/>
      <c r="GN589" s="599"/>
      <c r="GO589" s="599"/>
      <c r="GP589" s="599"/>
      <c r="GQ589" s="599"/>
      <c r="GR589" s="599"/>
      <c r="GS589" s="599"/>
      <c r="GT589" s="599"/>
      <c r="GU589" s="599"/>
      <c r="GV589" s="599"/>
      <c r="GW589" s="599"/>
      <c r="GX589" s="599"/>
      <c r="GY589" s="599"/>
      <c r="GZ589" s="599"/>
      <c r="HA589" s="599"/>
      <c r="HB589" s="599"/>
      <c r="HC589" s="599"/>
      <c r="HD589" s="599"/>
      <c r="HE589" s="599"/>
      <c r="HF589" s="599"/>
      <c r="HG589" s="599"/>
      <c r="HH589" s="599"/>
      <c r="HI589" s="599"/>
      <c r="HJ589" s="599"/>
      <c r="HK589" s="599"/>
      <c r="HL589" s="599"/>
      <c r="HM589" s="599"/>
      <c r="HN589" s="599"/>
      <c r="HO589" s="599"/>
      <c r="HP589" s="599"/>
      <c r="HQ589" s="599"/>
      <c r="HR589" s="599"/>
      <c r="HS589" s="599"/>
      <c r="HT589" s="599"/>
      <c r="HU589" s="599"/>
      <c r="HV589" s="599"/>
      <c r="HW589" s="599"/>
      <c r="HX589" s="599"/>
      <c r="HY589" s="599"/>
      <c r="HZ589" s="599"/>
      <c r="IA589" s="599"/>
      <c r="IB589" s="599"/>
      <c r="IC589" s="599"/>
      <c r="ID589" s="599"/>
      <c r="IE589" s="599"/>
      <c r="IF589" s="599"/>
      <c r="IG589" s="599"/>
      <c r="IH589" s="599"/>
      <c r="II589" s="599"/>
      <c r="IJ589" s="599"/>
      <c r="IK589" s="599"/>
      <c r="IL589" s="599"/>
      <c r="IM589" s="599"/>
      <c r="IN589" s="599"/>
      <c r="IO589" s="599"/>
      <c r="IP589" s="599"/>
      <c r="IQ589" s="599"/>
      <c r="IR589" s="599"/>
      <c r="IS589" s="599"/>
      <c r="IT589" s="599"/>
      <c r="IU589" s="599"/>
      <c r="IV589" s="599"/>
    </row>
    <row r="590" spans="1:256" s="1722" customFormat="1" ht="151.5" customHeight="1">
      <c r="A590" s="599">
        <v>8</v>
      </c>
      <c r="B590" s="442" t="s">
        <v>4948</v>
      </c>
      <c r="C590" s="599" t="s">
        <v>4364</v>
      </c>
      <c r="D590" s="599" t="s">
        <v>4617</v>
      </c>
      <c r="E590" s="599"/>
      <c r="F590" s="337">
        <v>65835000</v>
      </c>
      <c r="G590" s="599"/>
      <c r="H590" s="599"/>
      <c r="I590" s="599"/>
      <c r="J590" s="599" t="s">
        <v>4612</v>
      </c>
      <c r="K590" s="599"/>
      <c r="L590" s="446" t="s">
        <v>4523</v>
      </c>
      <c r="M590" s="446" t="s">
        <v>4514</v>
      </c>
      <c r="N590" s="599" t="s">
        <v>4515</v>
      </c>
      <c r="O590" s="599"/>
      <c r="P590" s="599"/>
      <c r="Q590" s="890"/>
      <c r="R590" s="890">
        <v>248600</v>
      </c>
      <c r="S590" s="890" t="s">
        <v>4516</v>
      </c>
      <c r="T590" s="599"/>
      <c r="U590" s="599"/>
      <c r="V590" s="599"/>
      <c r="W590" s="599"/>
      <c r="X590" s="599"/>
      <c r="Y590" s="599"/>
      <c r="Z590" s="599"/>
      <c r="AA590" s="599"/>
      <c r="AB590" s="599"/>
      <c r="AC590" s="599"/>
      <c r="AD590" s="599"/>
      <c r="AE590" s="599"/>
      <c r="AF590" s="599"/>
      <c r="AG590" s="599"/>
      <c r="AH590" s="599"/>
      <c r="AI590" s="599"/>
      <c r="AJ590" s="599"/>
      <c r="AK590" s="599"/>
      <c r="AL590" s="599"/>
      <c r="AM590" s="599"/>
      <c r="AN590" s="599"/>
      <c r="AO590" s="599"/>
      <c r="AP590" s="599"/>
      <c r="AQ590" s="599"/>
      <c r="AR590" s="599"/>
      <c r="AS590" s="599"/>
      <c r="AT590" s="599"/>
      <c r="AU590" s="599"/>
      <c r="AV590" s="599"/>
      <c r="AW590" s="599"/>
      <c r="AX590" s="599"/>
      <c r="AY590" s="599"/>
      <c r="AZ590" s="599"/>
      <c r="BA590" s="599"/>
      <c r="BB590" s="599"/>
      <c r="BC590" s="599"/>
      <c r="BD590" s="599"/>
      <c r="BE590" s="599"/>
      <c r="BF590" s="599"/>
      <c r="BG590" s="599"/>
      <c r="BH590" s="599"/>
      <c r="BI590" s="599"/>
      <c r="BJ590" s="599"/>
      <c r="BK590" s="599"/>
      <c r="BL590" s="599"/>
      <c r="BM590" s="599"/>
      <c r="BN590" s="599"/>
      <c r="BO590" s="599"/>
      <c r="BP590" s="599"/>
      <c r="BQ590" s="599"/>
      <c r="BR590" s="599"/>
      <c r="BS590" s="599"/>
      <c r="BT590" s="599"/>
      <c r="BU590" s="599"/>
      <c r="BV590" s="599"/>
      <c r="BW590" s="599"/>
      <c r="BX590" s="599"/>
      <c r="BY590" s="599"/>
      <c r="BZ590" s="599"/>
      <c r="CA590" s="599"/>
      <c r="CB590" s="599"/>
      <c r="CC590" s="599"/>
      <c r="CD590" s="599"/>
      <c r="CE590" s="599"/>
      <c r="CF590" s="599"/>
      <c r="CG590" s="599"/>
      <c r="CH590" s="599"/>
      <c r="CI590" s="599"/>
      <c r="CJ590" s="599"/>
      <c r="CK590" s="599"/>
      <c r="CL590" s="599"/>
      <c r="CM590" s="599"/>
      <c r="CN590" s="599"/>
      <c r="CO590" s="599"/>
      <c r="CP590" s="599"/>
      <c r="CQ590" s="599"/>
      <c r="CR590" s="599"/>
      <c r="CS590" s="599"/>
      <c r="CT590" s="599"/>
      <c r="CU590" s="599"/>
      <c r="CV590" s="599"/>
      <c r="CW590" s="599"/>
      <c r="CX590" s="599"/>
      <c r="CY590" s="599"/>
      <c r="CZ590" s="599"/>
      <c r="DA590" s="599"/>
      <c r="DB590" s="599"/>
      <c r="DC590" s="599"/>
      <c r="DD590" s="599"/>
      <c r="DE590" s="599"/>
      <c r="DF590" s="599"/>
      <c r="DG590" s="599"/>
      <c r="DH590" s="599"/>
      <c r="DI590" s="599"/>
      <c r="DJ590" s="599"/>
      <c r="DK590" s="599"/>
      <c r="DL590" s="599"/>
      <c r="DM590" s="599"/>
      <c r="DN590" s="599"/>
      <c r="DO590" s="599"/>
      <c r="DP590" s="599"/>
      <c r="DQ590" s="599"/>
      <c r="DR590" s="599"/>
      <c r="DS590" s="599"/>
      <c r="DT590" s="599"/>
      <c r="DU590" s="599"/>
      <c r="DV590" s="599"/>
      <c r="DW590" s="599"/>
      <c r="DX590" s="599"/>
      <c r="DY590" s="599"/>
      <c r="DZ590" s="599"/>
      <c r="EA590" s="599"/>
      <c r="EB590" s="599"/>
      <c r="EC590" s="599"/>
      <c r="ED590" s="599"/>
      <c r="EE590" s="599"/>
      <c r="EF590" s="599"/>
      <c r="EG590" s="599"/>
      <c r="EH590" s="599"/>
      <c r="EI590" s="599"/>
      <c r="EJ590" s="599"/>
      <c r="EK590" s="599"/>
      <c r="EL590" s="599"/>
      <c r="EM590" s="599"/>
      <c r="EN590" s="599"/>
      <c r="EO590" s="599"/>
      <c r="EP590" s="599"/>
      <c r="EQ590" s="599"/>
      <c r="ER590" s="599"/>
      <c r="ES590" s="599"/>
      <c r="ET590" s="599"/>
      <c r="EU590" s="599"/>
      <c r="EV590" s="599"/>
      <c r="EW590" s="599"/>
      <c r="EX590" s="599"/>
      <c r="EY590" s="599"/>
      <c r="EZ590" s="599"/>
      <c r="FA590" s="599"/>
      <c r="FB590" s="599"/>
      <c r="FC590" s="599"/>
      <c r="FD590" s="599"/>
      <c r="FE590" s="599"/>
      <c r="FF590" s="599"/>
      <c r="FG590" s="599"/>
      <c r="FH590" s="599"/>
      <c r="FI590" s="599"/>
      <c r="FJ590" s="599"/>
      <c r="FK590" s="599"/>
      <c r="FL590" s="599"/>
      <c r="FM590" s="599"/>
      <c r="FN590" s="599"/>
      <c r="FO590" s="599"/>
      <c r="FP590" s="599"/>
      <c r="FQ590" s="599"/>
      <c r="FR590" s="599"/>
      <c r="FS590" s="599"/>
      <c r="FT590" s="599"/>
      <c r="FU590" s="599"/>
      <c r="FV590" s="599"/>
      <c r="FW590" s="599"/>
      <c r="FX590" s="599"/>
      <c r="FY590" s="599"/>
      <c r="FZ590" s="599"/>
      <c r="GA590" s="599"/>
      <c r="GB590" s="599"/>
      <c r="GC590" s="599"/>
      <c r="GD590" s="599"/>
      <c r="GE590" s="599"/>
      <c r="GF590" s="599"/>
      <c r="GG590" s="599"/>
      <c r="GH590" s="599"/>
      <c r="GI590" s="599"/>
      <c r="GJ590" s="599"/>
      <c r="GK590" s="599"/>
      <c r="GL590" s="599"/>
      <c r="GM590" s="599"/>
      <c r="GN590" s="599"/>
      <c r="GO590" s="599"/>
      <c r="GP590" s="599"/>
      <c r="GQ590" s="599"/>
      <c r="GR590" s="599"/>
      <c r="GS590" s="599"/>
      <c r="GT590" s="599"/>
      <c r="GU590" s="599"/>
      <c r="GV590" s="599"/>
      <c r="GW590" s="599"/>
      <c r="GX590" s="599"/>
      <c r="GY590" s="599"/>
      <c r="GZ590" s="599"/>
      <c r="HA590" s="599"/>
      <c r="HB590" s="599"/>
      <c r="HC590" s="599"/>
      <c r="HD590" s="599"/>
      <c r="HE590" s="599"/>
      <c r="HF590" s="599"/>
      <c r="HG590" s="599"/>
      <c r="HH590" s="599"/>
      <c r="HI590" s="599"/>
      <c r="HJ590" s="599"/>
      <c r="HK590" s="599"/>
      <c r="HL590" s="599"/>
      <c r="HM590" s="599"/>
      <c r="HN590" s="599"/>
      <c r="HO590" s="599"/>
      <c r="HP590" s="599"/>
      <c r="HQ590" s="599"/>
      <c r="HR590" s="599"/>
      <c r="HS590" s="599"/>
      <c r="HT590" s="599"/>
      <c r="HU590" s="599"/>
      <c r="HV590" s="599"/>
      <c r="HW590" s="599"/>
      <c r="HX590" s="599"/>
      <c r="HY590" s="599"/>
      <c r="HZ590" s="599"/>
      <c r="IA590" s="599"/>
      <c r="IB590" s="599"/>
      <c r="IC590" s="599"/>
      <c r="ID590" s="599"/>
      <c r="IE590" s="599"/>
      <c r="IF590" s="599"/>
      <c r="IG590" s="599"/>
      <c r="IH590" s="599"/>
      <c r="II590" s="599"/>
      <c r="IJ590" s="599"/>
      <c r="IK590" s="599"/>
      <c r="IL590" s="599"/>
      <c r="IM590" s="599"/>
      <c r="IN590" s="599"/>
      <c r="IO590" s="599"/>
      <c r="IP590" s="599"/>
      <c r="IQ590" s="599"/>
      <c r="IR590" s="599"/>
      <c r="IS590" s="599"/>
      <c r="IT590" s="599"/>
      <c r="IU590" s="599"/>
      <c r="IV590" s="599"/>
    </row>
    <row r="591" spans="1:256" s="1722" customFormat="1" ht="141" customHeight="1">
      <c r="A591" s="2483">
        <v>9</v>
      </c>
      <c r="B591" s="474" t="s">
        <v>3196</v>
      </c>
      <c r="C591" s="741" t="s">
        <v>4536</v>
      </c>
      <c r="D591" s="741" t="s">
        <v>4538</v>
      </c>
      <c r="E591" s="741" t="s">
        <v>5042</v>
      </c>
      <c r="F591" s="1142">
        <v>22703327</v>
      </c>
      <c r="G591" s="2483"/>
      <c r="H591" s="2483"/>
      <c r="I591" s="2483"/>
      <c r="J591" s="891" t="s">
        <v>4803</v>
      </c>
      <c r="K591" s="599" t="s">
        <v>4690</v>
      </c>
      <c r="L591" s="446" t="s">
        <v>4749</v>
      </c>
      <c r="M591" s="446" t="s">
        <v>4602</v>
      </c>
      <c r="N591" s="599" t="s">
        <v>4605</v>
      </c>
      <c r="O591" s="599">
        <v>665000</v>
      </c>
      <c r="P591" s="599"/>
      <c r="Q591" s="890"/>
      <c r="R591" s="599" t="s">
        <v>4603</v>
      </c>
      <c r="S591" s="599" t="s">
        <v>4892</v>
      </c>
      <c r="T591" s="599"/>
      <c r="U591" s="599"/>
      <c r="V591" s="599"/>
      <c r="W591" s="599"/>
      <c r="X591" s="599"/>
      <c r="Y591" s="599"/>
      <c r="Z591" s="599"/>
      <c r="AA591" s="599"/>
      <c r="AB591" s="599"/>
      <c r="AC591" s="599"/>
      <c r="AD591" s="599"/>
      <c r="AE591" s="599"/>
      <c r="AF591" s="599"/>
      <c r="AG591" s="599"/>
      <c r="AH591" s="599"/>
      <c r="AI591" s="599"/>
      <c r="AJ591" s="599"/>
      <c r="AK591" s="599"/>
      <c r="AL591" s="599"/>
      <c r="AM591" s="599"/>
      <c r="AN591" s="599"/>
      <c r="AO591" s="599"/>
      <c r="AP591" s="599"/>
      <c r="AQ591" s="599"/>
      <c r="AR591" s="599"/>
      <c r="AS591" s="599"/>
      <c r="AT591" s="599"/>
      <c r="AU591" s="599"/>
      <c r="AV591" s="599"/>
      <c r="AW591" s="599"/>
      <c r="AX591" s="599"/>
      <c r="AY591" s="599"/>
      <c r="AZ591" s="599"/>
      <c r="BA591" s="599"/>
      <c r="BB591" s="599"/>
      <c r="BC591" s="599"/>
      <c r="BD591" s="599"/>
      <c r="BE591" s="599"/>
      <c r="BF591" s="599"/>
      <c r="BG591" s="599"/>
      <c r="BH591" s="599"/>
      <c r="BI591" s="599"/>
      <c r="BJ591" s="599"/>
      <c r="BK591" s="599"/>
      <c r="BL591" s="599"/>
      <c r="BM591" s="599"/>
      <c r="BN591" s="599"/>
      <c r="BO591" s="599"/>
      <c r="BP591" s="599"/>
      <c r="BQ591" s="599"/>
      <c r="BR591" s="599"/>
      <c r="BS591" s="599"/>
      <c r="BT591" s="599"/>
      <c r="BU591" s="599"/>
      <c r="BV591" s="599"/>
      <c r="BW591" s="599"/>
      <c r="BX591" s="599"/>
      <c r="BY591" s="599"/>
      <c r="BZ591" s="599"/>
      <c r="CA591" s="599"/>
      <c r="CB591" s="599"/>
      <c r="CC591" s="599"/>
      <c r="CD591" s="599"/>
      <c r="CE591" s="599"/>
      <c r="CF591" s="599"/>
      <c r="CG591" s="599"/>
      <c r="CH591" s="599"/>
      <c r="CI591" s="599"/>
      <c r="CJ591" s="599"/>
      <c r="CK591" s="599"/>
      <c r="CL591" s="599"/>
      <c r="CM591" s="599"/>
      <c r="CN591" s="599"/>
      <c r="CO591" s="599"/>
      <c r="CP591" s="599"/>
      <c r="CQ591" s="599"/>
      <c r="CR591" s="599"/>
      <c r="CS591" s="599"/>
      <c r="CT591" s="599"/>
      <c r="CU591" s="599"/>
      <c r="CV591" s="599"/>
      <c r="CW591" s="599"/>
      <c r="CX591" s="599"/>
      <c r="CY591" s="599"/>
      <c r="CZ591" s="599"/>
      <c r="DA591" s="599"/>
      <c r="DB591" s="599"/>
      <c r="DC591" s="599"/>
      <c r="DD591" s="599"/>
      <c r="DE591" s="599"/>
      <c r="DF591" s="599"/>
      <c r="DG591" s="599"/>
      <c r="DH591" s="599"/>
      <c r="DI591" s="599"/>
      <c r="DJ591" s="599"/>
      <c r="DK591" s="599"/>
      <c r="DL591" s="599"/>
      <c r="DM591" s="599"/>
      <c r="DN591" s="599"/>
      <c r="DO591" s="599"/>
      <c r="DP591" s="599"/>
      <c r="DQ591" s="599"/>
      <c r="DR591" s="599"/>
      <c r="DS591" s="599"/>
      <c r="DT591" s="599"/>
      <c r="DU591" s="599"/>
      <c r="DV591" s="599"/>
      <c r="DW591" s="599"/>
      <c r="DX591" s="599"/>
      <c r="DY591" s="599"/>
      <c r="DZ591" s="599"/>
      <c r="EA591" s="599"/>
      <c r="EB591" s="599"/>
      <c r="EC591" s="599"/>
      <c r="ED591" s="599"/>
      <c r="EE591" s="599"/>
      <c r="EF591" s="599"/>
      <c r="EG591" s="599"/>
      <c r="EH591" s="599"/>
      <c r="EI591" s="599"/>
      <c r="EJ591" s="599"/>
      <c r="EK591" s="599"/>
      <c r="EL591" s="599"/>
      <c r="EM591" s="599"/>
      <c r="EN591" s="599"/>
      <c r="EO591" s="599"/>
      <c r="EP591" s="599"/>
      <c r="EQ591" s="599"/>
      <c r="ER591" s="599"/>
      <c r="ES591" s="599"/>
      <c r="ET591" s="599"/>
      <c r="EU591" s="599"/>
      <c r="EV591" s="599"/>
      <c r="EW591" s="599"/>
      <c r="EX591" s="599"/>
      <c r="EY591" s="599"/>
      <c r="EZ591" s="599"/>
      <c r="FA591" s="599"/>
      <c r="FB591" s="599"/>
      <c r="FC591" s="599"/>
      <c r="FD591" s="599"/>
      <c r="FE591" s="599"/>
      <c r="FF591" s="599"/>
      <c r="FG591" s="599"/>
      <c r="FH591" s="599"/>
      <c r="FI591" s="599"/>
      <c r="FJ591" s="599"/>
      <c r="FK591" s="599"/>
      <c r="FL591" s="599"/>
      <c r="FM591" s="599"/>
      <c r="FN591" s="599"/>
      <c r="FO591" s="599"/>
      <c r="FP591" s="599"/>
      <c r="FQ591" s="599"/>
      <c r="FR591" s="599"/>
      <c r="FS591" s="599"/>
      <c r="FT591" s="599"/>
      <c r="FU591" s="599"/>
      <c r="FV591" s="599"/>
      <c r="FW591" s="599"/>
      <c r="FX591" s="599"/>
      <c r="FY591" s="599"/>
      <c r="FZ591" s="599"/>
      <c r="GA591" s="599"/>
      <c r="GB591" s="599"/>
      <c r="GC591" s="599"/>
      <c r="GD591" s="599"/>
      <c r="GE591" s="599"/>
      <c r="GF591" s="599"/>
      <c r="GG591" s="599"/>
      <c r="GH591" s="599"/>
      <c r="GI591" s="599"/>
      <c r="GJ591" s="599"/>
      <c r="GK591" s="599"/>
      <c r="GL591" s="599"/>
      <c r="GM591" s="599"/>
      <c r="GN591" s="599"/>
      <c r="GO591" s="599"/>
      <c r="GP591" s="599"/>
      <c r="GQ591" s="599"/>
      <c r="GR591" s="599"/>
      <c r="GS591" s="599"/>
      <c r="GT591" s="599"/>
      <c r="GU591" s="599"/>
      <c r="GV591" s="599"/>
      <c r="GW591" s="599"/>
      <c r="GX591" s="599"/>
      <c r="GY591" s="599"/>
      <c r="GZ591" s="599"/>
      <c r="HA591" s="599"/>
      <c r="HB591" s="599"/>
      <c r="HC591" s="599"/>
      <c r="HD591" s="599"/>
      <c r="HE591" s="599"/>
      <c r="HF591" s="599"/>
      <c r="HG591" s="599"/>
      <c r="HH591" s="599"/>
      <c r="HI591" s="599"/>
      <c r="HJ591" s="599"/>
      <c r="HK591" s="599"/>
      <c r="HL591" s="599"/>
      <c r="HM591" s="599"/>
      <c r="HN591" s="599"/>
      <c r="HO591" s="599"/>
      <c r="HP591" s="599"/>
      <c r="HQ591" s="599"/>
      <c r="HR591" s="599"/>
      <c r="HS591" s="599"/>
      <c r="HT591" s="599"/>
      <c r="HU591" s="599"/>
      <c r="HV591" s="599"/>
      <c r="HW591" s="599"/>
      <c r="HX591" s="599"/>
      <c r="HY591" s="599"/>
      <c r="HZ591" s="599"/>
      <c r="IA591" s="599"/>
      <c r="IB591" s="599"/>
      <c r="IC591" s="599"/>
      <c r="ID591" s="599"/>
      <c r="IE591" s="599"/>
      <c r="IF591" s="599"/>
      <c r="IG591" s="599"/>
      <c r="IH591" s="599"/>
      <c r="II591" s="599"/>
      <c r="IJ591" s="599"/>
      <c r="IK591" s="599"/>
      <c r="IL591" s="599"/>
      <c r="IM591" s="599"/>
      <c r="IN591" s="599"/>
      <c r="IO591" s="599"/>
      <c r="IP591" s="599"/>
      <c r="IQ591" s="599"/>
      <c r="IR591" s="599"/>
      <c r="IS591" s="599"/>
      <c r="IT591" s="599"/>
      <c r="IU591" s="599"/>
      <c r="IV591" s="599"/>
    </row>
    <row r="592" spans="1:256" s="1722" customFormat="1" ht="49.5" customHeight="1">
      <c r="A592" s="2476"/>
      <c r="B592" s="823"/>
      <c r="C592" s="607"/>
      <c r="D592" s="607"/>
      <c r="E592" s="607"/>
      <c r="F592" s="1105"/>
      <c r="G592" s="2476"/>
      <c r="H592" s="2476"/>
      <c r="I592" s="2476"/>
      <c r="J592" s="2018" t="s">
        <v>4893</v>
      </c>
      <c r="K592" s="599" t="s">
        <v>4802</v>
      </c>
      <c r="L592" s="2020" t="s">
        <v>4663</v>
      </c>
      <c r="M592" s="1998" t="s">
        <v>4553</v>
      </c>
      <c r="N592" s="599" t="s">
        <v>4554</v>
      </c>
      <c r="O592" s="1141">
        <v>6423000</v>
      </c>
      <c r="P592" s="599"/>
      <c r="Q592" s="599"/>
      <c r="R592" s="599"/>
      <c r="S592" s="599"/>
      <c r="T592" s="599"/>
      <c r="U592" s="599"/>
      <c r="V592" s="599"/>
      <c r="W592" s="599"/>
      <c r="X592" s="599"/>
      <c r="Y592" s="599"/>
      <c r="Z592" s="599"/>
      <c r="AA592" s="599"/>
      <c r="AB592" s="599"/>
      <c r="AC592" s="599"/>
      <c r="AD592" s="599"/>
      <c r="AE592" s="599"/>
      <c r="AF592" s="599"/>
      <c r="AG592" s="599"/>
      <c r="AH592" s="599"/>
      <c r="AI592" s="599"/>
      <c r="AJ592" s="599"/>
      <c r="AK592" s="599"/>
      <c r="AL592" s="599"/>
      <c r="AM592" s="599"/>
      <c r="AN592" s="599"/>
      <c r="AO592" s="599"/>
      <c r="AP592" s="599"/>
      <c r="AQ592" s="599"/>
      <c r="AR592" s="599"/>
      <c r="AS592" s="599"/>
      <c r="AT592" s="599"/>
      <c r="AU592" s="599"/>
      <c r="AV592" s="599"/>
      <c r="AW592" s="599"/>
      <c r="AX592" s="599"/>
      <c r="AY592" s="599"/>
      <c r="AZ592" s="599"/>
      <c r="BA592" s="599"/>
      <c r="BB592" s="599"/>
      <c r="BC592" s="599"/>
      <c r="BD592" s="599"/>
      <c r="BE592" s="599"/>
      <c r="BF592" s="599"/>
      <c r="BG592" s="599"/>
      <c r="BH592" s="599"/>
      <c r="BI592" s="599"/>
      <c r="BJ592" s="599"/>
      <c r="BK592" s="599"/>
      <c r="BL592" s="599"/>
      <c r="BM592" s="599"/>
      <c r="BN592" s="599"/>
      <c r="BO592" s="599"/>
      <c r="BP592" s="599"/>
      <c r="BQ592" s="599"/>
      <c r="BR592" s="599"/>
      <c r="BS592" s="599"/>
      <c r="BT592" s="599"/>
      <c r="BU592" s="599"/>
      <c r="BV592" s="599"/>
      <c r="BW592" s="599"/>
      <c r="BX592" s="599"/>
      <c r="BY592" s="599"/>
      <c r="BZ592" s="599"/>
      <c r="CA592" s="599"/>
      <c r="CB592" s="599"/>
      <c r="CC592" s="599"/>
      <c r="CD592" s="599"/>
      <c r="CE592" s="599"/>
      <c r="CF592" s="599"/>
      <c r="CG592" s="599"/>
      <c r="CH592" s="599"/>
      <c r="CI592" s="599"/>
      <c r="CJ592" s="599"/>
      <c r="CK592" s="599"/>
      <c r="CL592" s="599"/>
      <c r="CM592" s="599"/>
      <c r="CN592" s="599"/>
      <c r="CO592" s="599"/>
      <c r="CP592" s="599"/>
      <c r="CQ592" s="599"/>
      <c r="CR592" s="599"/>
      <c r="CS592" s="599"/>
      <c r="CT592" s="599"/>
      <c r="CU592" s="599"/>
      <c r="CV592" s="599"/>
      <c r="CW592" s="599"/>
      <c r="CX592" s="599"/>
      <c r="CY592" s="599"/>
      <c r="CZ592" s="599"/>
      <c r="DA592" s="599"/>
      <c r="DB592" s="599"/>
      <c r="DC592" s="599"/>
      <c r="DD592" s="599"/>
      <c r="DE592" s="599"/>
      <c r="DF592" s="599"/>
      <c r="DG592" s="599"/>
      <c r="DH592" s="599"/>
      <c r="DI592" s="599"/>
      <c r="DJ592" s="599"/>
      <c r="DK592" s="599"/>
      <c r="DL592" s="599"/>
      <c r="DM592" s="599"/>
      <c r="DN592" s="599"/>
      <c r="DO592" s="599"/>
      <c r="DP592" s="599"/>
      <c r="DQ592" s="599"/>
      <c r="DR592" s="599"/>
      <c r="DS592" s="599"/>
      <c r="DT592" s="599"/>
      <c r="DU592" s="599"/>
      <c r="DV592" s="599"/>
      <c r="DW592" s="599"/>
      <c r="DX592" s="599"/>
      <c r="DY592" s="599"/>
      <c r="DZ592" s="599"/>
      <c r="EA592" s="599"/>
      <c r="EB592" s="599"/>
      <c r="EC592" s="599"/>
      <c r="ED592" s="599"/>
      <c r="EE592" s="599"/>
      <c r="EF592" s="599"/>
      <c r="EG592" s="599"/>
      <c r="EH592" s="599"/>
      <c r="EI592" s="599"/>
      <c r="EJ592" s="599"/>
      <c r="EK592" s="599"/>
      <c r="EL592" s="599"/>
      <c r="EM592" s="599"/>
      <c r="EN592" s="599"/>
      <c r="EO592" s="599"/>
      <c r="EP592" s="599"/>
      <c r="EQ592" s="599"/>
      <c r="ER592" s="599"/>
      <c r="ES592" s="599"/>
      <c r="ET592" s="599"/>
      <c r="EU592" s="599"/>
      <c r="EV592" s="599"/>
      <c r="EW592" s="599"/>
      <c r="EX592" s="599"/>
      <c r="EY592" s="599"/>
      <c r="EZ592" s="599"/>
      <c r="FA592" s="599"/>
      <c r="FB592" s="599"/>
      <c r="FC592" s="599"/>
      <c r="FD592" s="599"/>
      <c r="FE592" s="599"/>
      <c r="FF592" s="599"/>
      <c r="FG592" s="599"/>
      <c r="FH592" s="599"/>
      <c r="FI592" s="599"/>
      <c r="FJ592" s="599"/>
      <c r="FK592" s="599"/>
      <c r="FL592" s="599"/>
      <c r="FM592" s="599"/>
      <c r="FN592" s="599"/>
      <c r="FO592" s="599"/>
      <c r="FP592" s="599"/>
      <c r="FQ592" s="599"/>
      <c r="FR592" s="599"/>
      <c r="FS592" s="599"/>
      <c r="FT592" s="599"/>
      <c r="FU592" s="599"/>
      <c r="FV592" s="599"/>
      <c r="FW592" s="599"/>
      <c r="FX592" s="599"/>
      <c r="FY592" s="599"/>
      <c r="FZ592" s="599"/>
      <c r="GA592" s="599"/>
      <c r="GB592" s="599"/>
      <c r="GC592" s="599"/>
      <c r="GD592" s="599"/>
      <c r="GE592" s="599"/>
      <c r="GF592" s="599"/>
      <c r="GG592" s="599"/>
      <c r="GH592" s="599"/>
      <c r="GI592" s="599"/>
      <c r="GJ592" s="599"/>
      <c r="GK592" s="599"/>
      <c r="GL592" s="599"/>
      <c r="GM592" s="599"/>
      <c r="GN592" s="599"/>
      <c r="GO592" s="599"/>
      <c r="GP592" s="599"/>
      <c r="GQ592" s="599"/>
      <c r="GR592" s="599"/>
      <c r="GS592" s="599"/>
      <c r="GT592" s="599"/>
      <c r="GU592" s="599"/>
      <c r="GV592" s="599"/>
      <c r="GW592" s="599"/>
      <c r="GX592" s="599"/>
      <c r="GY592" s="599"/>
      <c r="GZ592" s="599"/>
      <c r="HA592" s="599"/>
      <c r="HB592" s="599"/>
      <c r="HC592" s="599"/>
      <c r="HD592" s="599"/>
      <c r="HE592" s="599"/>
      <c r="HF592" s="599"/>
      <c r="HG592" s="599"/>
      <c r="HH592" s="599"/>
      <c r="HI592" s="599"/>
      <c r="HJ592" s="599"/>
      <c r="HK592" s="599"/>
      <c r="HL592" s="599"/>
      <c r="HM592" s="599"/>
      <c r="HN592" s="599"/>
      <c r="HO592" s="599"/>
      <c r="HP592" s="599"/>
      <c r="HQ592" s="599"/>
      <c r="HR592" s="599"/>
      <c r="HS592" s="599"/>
      <c r="HT592" s="599"/>
      <c r="HU592" s="599"/>
      <c r="HV592" s="599"/>
      <c r="HW592" s="599"/>
      <c r="HX592" s="599"/>
      <c r="HY592" s="599"/>
      <c r="HZ592" s="599"/>
      <c r="IA592" s="599"/>
      <c r="IB592" s="599"/>
      <c r="IC592" s="599"/>
      <c r="ID592" s="599"/>
      <c r="IE592" s="599"/>
      <c r="IF592" s="599"/>
      <c r="IG592" s="599"/>
      <c r="IH592" s="599"/>
      <c r="II592" s="599"/>
      <c r="IJ592" s="599"/>
      <c r="IK592" s="599"/>
      <c r="IL592" s="599"/>
      <c r="IM592" s="599"/>
      <c r="IN592" s="599"/>
      <c r="IO592" s="599"/>
      <c r="IP592" s="599"/>
      <c r="IQ592" s="599"/>
      <c r="IR592" s="599"/>
      <c r="IS592" s="599"/>
      <c r="IT592" s="599"/>
      <c r="IU592" s="599"/>
      <c r="IV592" s="599"/>
    </row>
    <row r="593" spans="1:256" ht="48.75" customHeight="1">
      <c r="A593" s="2483">
        <v>10</v>
      </c>
      <c r="B593" s="2364" t="s">
        <v>3089</v>
      </c>
      <c r="C593" s="2483" t="s">
        <v>4555</v>
      </c>
      <c r="D593" s="2485" t="s">
        <v>4698</v>
      </c>
      <c r="E593" s="2483" t="s">
        <v>4556</v>
      </c>
      <c r="F593" s="2488">
        <v>34500000</v>
      </c>
      <c r="G593" s="599"/>
      <c r="H593" s="599"/>
      <c r="I593" s="599"/>
      <c r="J593" s="599"/>
      <c r="K593" s="2017"/>
      <c r="L593" s="599"/>
      <c r="M593" s="1990" t="s">
        <v>4816</v>
      </c>
      <c r="N593" s="599" t="s">
        <v>4818</v>
      </c>
      <c r="O593" s="599">
        <v>20614140</v>
      </c>
      <c r="P593" s="599" t="s">
        <v>4611</v>
      </c>
      <c r="Q593" s="599"/>
      <c r="R593" s="599"/>
      <c r="S593" s="599"/>
      <c r="T593" s="599"/>
      <c r="U593" s="599"/>
      <c r="V593" s="599"/>
      <c r="W593" s="599"/>
      <c r="X593" s="599"/>
    </row>
    <row r="594" spans="1:256" ht="44.25" customHeight="1">
      <c r="A594" s="2484"/>
      <c r="B594" s="2365"/>
      <c r="C594" s="2484"/>
      <c r="D594" s="2486"/>
      <c r="E594" s="2484"/>
      <c r="F594" s="2489"/>
      <c r="G594" s="599"/>
      <c r="H594" s="599"/>
      <c r="I594" s="599"/>
      <c r="J594" s="599"/>
      <c r="K594" s="599"/>
      <c r="L594" s="599"/>
      <c r="M594" s="1990" t="s">
        <v>4752</v>
      </c>
      <c r="N594" s="2035" t="s">
        <v>4751</v>
      </c>
      <c r="O594" s="599"/>
      <c r="P594" s="599"/>
      <c r="Q594" s="599"/>
      <c r="R594" s="1809" t="s">
        <v>4817</v>
      </c>
      <c r="S594" s="599"/>
      <c r="T594" s="599"/>
      <c r="U594" s="599"/>
      <c r="V594" s="599"/>
      <c r="W594" s="599"/>
      <c r="X594" s="599"/>
    </row>
    <row r="595" spans="1:256" ht="63" customHeight="1">
      <c r="A595" s="2476"/>
      <c r="B595" s="2366"/>
      <c r="C595" s="2476"/>
      <c r="D595" s="2487"/>
      <c r="E595" s="2476"/>
      <c r="F595" s="2490"/>
      <c r="G595" s="599"/>
      <c r="H595" s="502"/>
      <c r="I595" s="599"/>
      <c r="J595" s="599"/>
      <c r="K595" s="599"/>
      <c r="L595" s="599"/>
      <c r="M595" s="446" t="s">
        <v>4585</v>
      </c>
      <c r="N595" s="599"/>
      <c r="O595" s="890">
        <f>383600                           +345500                               +445000</f>
        <v>1174100</v>
      </c>
      <c r="P595" s="599"/>
      <c r="Q595" s="599"/>
      <c r="R595" s="890" t="s">
        <v>4700</v>
      </c>
      <c r="S595" s="1337" t="s">
        <v>4701</v>
      </c>
      <c r="T595" s="599"/>
      <c r="U595" s="599"/>
      <c r="V595" s="599"/>
      <c r="W595" s="599"/>
      <c r="X595" s="599"/>
    </row>
    <row r="596" spans="1:256" ht="61.5" customHeight="1">
      <c r="A596" s="599">
        <v>11</v>
      </c>
      <c r="B596" s="1919" t="s">
        <v>4557</v>
      </c>
      <c r="C596" s="599" t="s">
        <v>4558</v>
      </c>
      <c r="D596" s="599" t="s">
        <v>4799</v>
      </c>
      <c r="E596" s="607" t="s">
        <v>4559</v>
      </c>
      <c r="F596" s="1141" t="s">
        <v>4560</v>
      </c>
      <c r="G596" s="599"/>
      <c r="H596" s="599"/>
      <c r="I596" s="599"/>
      <c r="J596" s="1791" t="s">
        <v>5072</v>
      </c>
      <c r="K596" s="599" t="s">
        <v>4725</v>
      </c>
      <c r="L596" s="599" t="s">
        <v>4750</v>
      </c>
      <c r="M596" s="1998" t="s">
        <v>4553</v>
      </c>
      <c r="N596" s="599" t="s">
        <v>4554</v>
      </c>
      <c r="O596" s="599">
        <v>1825000</v>
      </c>
      <c r="P596" s="599" t="s">
        <v>4631</v>
      </c>
      <c r="Q596" s="599"/>
      <c r="R596" s="599"/>
      <c r="S596" s="599"/>
      <c r="T596" s="599"/>
      <c r="U596" s="599"/>
      <c r="V596" s="599"/>
      <c r="W596" s="599"/>
      <c r="X596" s="599"/>
    </row>
    <row r="597" spans="1:256" ht="82.5" customHeight="1">
      <c r="A597" s="599">
        <v>11</v>
      </c>
      <c r="B597" s="1919" t="s">
        <v>4557</v>
      </c>
      <c r="C597" s="502" t="s">
        <v>4719</v>
      </c>
      <c r="D597" s="599" t="s">
        <v>4800</v>
      </c>
      <c r="E597" s="607"/>
      <c r="F597" s="1141">
        <v>1356000</v>
      </c>
      <c r="G597" s="599"/>
      <c r="H597" s="599"/>
      <c r="I597" s="599"/>
      <c r="J597" s="599">
        <v>1356000</v>
      </c>
      <c r="K597" s="1789">
        <v>45272</v>
      </c>
      <c r="L597" s="1880" t="s">
        <v>567</v>
      </c>
      <c r="M597" s="1998"/>
      <c r="N597" s="2035" t="s">
        <v>4751</v>
      </c>
      <c r="O597" s="599"/>
      <c r="P597" s="599"/>
      <c r="Q597" s="599"/>
      <c r="R597" s="599"/>
      <c r="S597" s="599"/>
      <c r="T597" s="599"/>
      <c r="U597" s="599"/>
      <c r="V597" s="599"/>
      <c r="W597" s="599"/>
      <c r="X597" s="599"/>
    </row>
    <row r="598" spans="1:256" ht="142.5" customHeight="1">
      <c r="A598" s="599">
        <v>12</v>
      </c>
      <c r="B598" s="1919" t="s">
        <v>4561</v>
      </c>
      <c r="C598" s="599" t="s">
        <v>4645</v>
      </c>
      <c r="D598" s="1791" t="s">
        <v>4562</v>
      </c>
      <c r="E598" s="607"/>
      <c r="F598" s="1341">
        <v>4000000</v>
      </c>
      <c r="G598" s="599"/>
      <c r="H598" s="599"/>
      <c r="I598" s="599"/>
      <c r="J598" s="973">
        <v>4000000</v>
      </c>
      <c r="K598" s="1789">
        <v>45274</v>
      </c>
      <c r="L598" s="1880" t="s">
        <v>567</v>
      </c>
      <c r="M598" s="1807"/>
      <c r="N598" s="599"/>
      <c r="O598" s="599"/>
      <c r="P598" s="599"/>
      <c r="Q598" s="599"/>
      <c r="R598" s="599"/>
      <c r="S598" s="599"/>
      <c r="T598" s="599"/>
      <c r="U598" s="599"/>
      <c r="V598" s="599"/>
      <c r="W598" s="599"/>
      <c r="X598" s="599"/>
    </row>
    <row r="599" spans="1:256" ht="32.25" customHeight="1">
      <c r="A599" s="599">
        <v>13</v>
      </c>
      <c r="B599" s="446" t="s">
        <v>4570</v>
      </c>
      <c r="C599" s="599" t="s">
        <v>4571</v>
      </c>
      <c r="D599" s="599" t="s">
        <v>4569</v>
      </c>
      <c r="E599" s="607" t="s">
        <v>2757</v>
      </c>
      <c r="F599" s="602">
        <v>252000</v>
      </c>
      <c r="G599" s="599"/>
      <c r="H599" s="599"/>
      <c r="I599" s="599"/>
      <c r="J599" s="599">
        <v>252000</v>
      </c>
      <c r="K599" s="1789">
        <v>45037</v>
      </c>
      <c r="L599" s="1880" t="s">
        <v>567</v>
      </c>
      <c r="M599" s="599"/>
      <c r="N599" s="599"/>
      <c r="O599" s="599"/>
      <c r="P599" s="599"/>
      <c r="Q599" s="599"/>
      <c r="R599" s="599"/>
      <c r="S599" s="599"/>
      <c r="T599" s="599"/>
      <c r="U599" s="599"/>
      <c r="V599" s="599"/>
      <c r="W599" s="599"/>
      <c r="X599" s="599"/>
    </row>
    <row r="600" spans="1:256" s="13" customFormat="1" ht="63.75">
      <c r="A600" s="610"/>
      <c r="B600" s="610" t="s">
        <v>4666</v>
      </c>
      <c r="C600" s="610" t="s">
        <v>4668</v>
      </c>
      <c r="D600" s="610" t="s">
        <v>4667</v>
      </c>
      <c r="E600" s="610" t="s">
        <v>4669</v>
      </c>
      <c r="F600" s="610">
        <v>490000</v>
      </c>
      <c r="G600" s="610"/>
      <c r="H600" s="610"/>
      <c r="I600" s="610"/>
      <c r="J600" s="610">
        <v>490000</v>
      </c>
      <c r="K600" s="1789">
        <v>45266</v>
      </c>
      <c r="L600" s="1880" t="s">
        <v>567</v>
      </c>
      <c r="M600" s="1977" t="s">
        <v>4670</v>
      </c>
      <c r="N600" s="1977" t="s">
        <v>4736</v>
      </c>
      <c r="O600" s="610"/>
      <c r="P600" s="610"/>
      <c r="Q600" s="610"/>
      <c r="R600" s="610"/>
      <c r="S600" s="610"/>
      <c r="T600" s="610"/>
      <c r="U600" s="610"/>
      <c r="V600" s="610"/>
      <c r="W600" s="610"/>
      <c r="X600" s="610"/>
      <c r="Y600" s="610"/>
      <c r="Z600" s="610"/>
      <c r="AA600" s="610"/>
      <c r="AB600" s="610"/>
      <c r="AC600" s="610"/>
      <c r="AD600" s="610"/>
      <c r="AE600" s="610"/>
      <c r="AF600" s="610"/>
      <c r="AG600" s="610"/>
      <c r="AH600" s="610"/>
      <c r="AI600" s="610"/>
      <c r="AJ600" s="610"/>
      <c r="AK600" s="610"/>
      <c r="AL600" s="610"/>
      <c r="AM600" s="610"/>
      <c r="AN600" s="610"/>
      <c r="AO600" s="610"/>
      <c r="AP600" s="610"/>
      <c r="AQ600" s="610"/>
      <c r="AR600" s="610"/>
      <c r="AS600" s="610"/>
      <c r="AT600" s="610"/>
      <c r="AU600" s="610"/>
      <c r="AV600" s="610"/>
      <c r="AW600" s="610"/>
      <c r="AX600" s="610"/>
      <c r="AY600" s="610"/>
      <c r="AZ600" s="610"/>
      <c r="BA600" s="610"/>
      <c r="BB600" s="610"/>
      <c r="BC600" s="610"/>
      <c r="BD600" s="610"/>
      <c r="BE600" s="610"/>
      <c r="BF600" s="610"/>
      <c r="BG600" s="610"/>
      <c r="BH600" s="610"/>
      <c r="BI600" s="610"/>
      <c r="BJ600" s="610"/>
      <c r="BK600" s="610"/>
      <c r="BL600" s="610"/>
      <c r="BM600" s="610"/>
      <c r="BN600" s="610"/>
      <c r="BO600" s="610"/>
      <c r="BP600" s="610"/>
      <c r="BQ600" s="610"/>
      <c r="BR600" s="610"/>
      <c r="BS600" s="610"/>
      <c r="BT600" s="610"/>
      <c r="BU600" s="610"/>
      <c r="BV600" s="610"/>
      <c r="BW600" s="610"/>
      <c r="BX600" s="610"/>
      <c r="BY600" s="610"/>
      <c r="BZ600" s="610"/>
      <c r="CA600" s="610"/>
      <c r="CB600" s="610"/>
      <c r="CC600" s="610"/>
      <c r="CD600" s="610"/>
      <c r="CE600" s="610"/>
      <c r="CF600" s="610"/>
      <c r="CG600" s="610"/>
      <c r="CH600" s="610"/>
      <c r="CI600" s="610"/>
      <c r="CJ600" s="610"/>
      <c r="CK600" s="610"/>
      <c r="CL600" s="610"/>
      <c r="CM600" s="610"/>
      <c r="CN600" s="610"/>
      <c r="CO600" s="610"/>
      <c r="CP600" s="610"/>
      <c r="CQ600" s="610"/>
      <c r="CR600" s="610"/>
      <c r="CS600" s="610"/>
      <c r="CT600" s="610"/>
      <c r="CU600" s="610"/>
      <c r="CV600" s="610"/>
      <c r="CW600" s="610"/>
      <c r="CX600" s="610"/>
      <c r="CY600" s="610"/>
      <c r="CZ600" s="610"/>
      <c r="DA600" s="610"/>
      <c r="DB600" s="610"/>
      <c r="DC600" s="610"/>
      <c r="DD600" s="610"/>
      <c r="DE600" s="610"/>
      <c r="DF600" s="610"/>
      <c r="DG600" s="610"/>
      <c r="DH600" s="610"/>
      <c r="DI600" s="610"/>
      <c r="DJ600" s="610"/>
      <c r="DK600" s="610"/>
      <c r="DL600" s="610"/>
      <c r="DM600" s="610"/>
      <c r="DN600" s="610"/>
      <c r="DO600" s="610"/>
      <c r="DP600" s="610"/>
      <c r="DQ600" s="610"/>
      <c r="DR600" s="610"/>
      <c r="DS600" s="610"/>
      <c r="DT600" s="610"/>
      <c r="DU600" s="610"/>
      <c r="DV600" s="610"/>
      <c r="DW600" s="610"/>
      <c r="DX600" s="610"/>
      <c r="DY600" s="610"/>
      <c r="DZ600" s="610"/>
      <c r="EA600" s="610"/>
      <c r="EB600" s="610"/>
      <c r="EC600" s="610"/>
      <c r="ED600" s="610"/>
      <c r="EE600" s="610"/>
      <c r="EF600" s="610"/>
      <c r="EG600" s="610"/>
      <c r="EH600" s="610"/>
      <c r="EI600" s="610"/>
      <c r="EJ600" s="610"/>
      <c r="EK600" s="610"/>
      <c r="EL600" s="610"/>
      <c r="EM600" s="610"/>
      <c r="EN600" s="610"/>
      <c r="EO600" s="610"/>
      <c r="EP600" s="610"/>
      <c r="EQ600" s="610"/>
      <c r="ER600" s="610"/>
      <c r="ES600" s="610"/>
      <c r="ET600" s="610"/>
      <c r="EU600" s="610"/>
      <c r="EV600" s="610"/>
      <c r="EW600" s="610"/>
      <c r="EX600" s="610"/>
      <c r="EY600" s="610"/>
      <c r="EZ600" s="610"/>
      <c r="FA600" s="610"/>
      <c r="FB600" s="610"/>
      <c r="FC600" s="610"/>
      <c r="FD600" s="610"/>
      <c r="FE600" s="610"/>
      <c r="FF600" s="610"/>
      <c r="FG600" s="610"/>
      <c r="FH600" s="610"/>
      <c r="FI600" s="610"/>
      <c r="FJ600" s="610"/>
      <c r="FK600" s="610"/>
      <c r="FL600" s="610"/>
      <c r="FM600" s="610"/>
      <c r="FN600" s="610"/>
      <c r="FO600" s="610"/>
      <c r="FP600" s="610"/>
      <c r="FQ600" s="610"/>
      <c r="FR600" s="610"/>
      <c r="FS600" s="610"/>
      <c r="FT600" s="610"/>
      <c r="FU600" s="610"/>
      <c r="FV600" s="610"/>
      <c r="FW600" s="610"/>
      <c r="FX600" s="610"/>
      <c r="FY600" s="610"/>
      <c r="FZ600" s="610"/>
      <c r="GA600" s="610"/>
      <c r="GB600" s="610"/>
      <c r="GC600" s="610"/>
      <c r="GD600" s="610"/>
      <c r="GE600" s="610"/>
      <c r="GF600" s="610"/>
      <c r="GG600" s="610"/>
      <c r="GH600" s="610"/>
      <c r="GI600" s="610"/>
      <c r="GJ600" s="610"/>
      <c r="GK600" s="610"/>
      <c r="GL600" s="610"/>
      <c r="GM600" s="610"/>
      <c r="GN600" s="610"/>
      <c r="GO600" s="610"/>
      <c r="GP600" s="610"/>
      <c r="GQ600" s="610"/>
      <c r="GR600" s="610"/>
      <c r="GS600" s="610"/>
      <c r="GT600" s="610"/>
      <c r="GU600" s="610"/>
      <c r="GV600" s="610"/>
      <c r="GW600" s="610"/>
      <c r="GX600" s="610"/>
      <c r="GY600" s="610"/>
      <c r="GZ600" s="610"/>
      <c r="HA600" s="610"/>
      <c r="HB600" s="610"/>
      <c r="HC600" s="610"/>
      <c r="HD600" s="610"/>
      <c r="HE600" s="610"/>
      <c r="HF600" s="610"/>
      <c r="HG600" s="610"/>
      <c r="HH600" s="610"/>
      <c r="HI600" s="610"/>
      <c r="HJ600" s="610"/>
      <c r="HK600" s="610"/>
      <c r="HL600" s="610"/>
      <c r="HM600" s="610"/>
      <c r="HN600" s="610"/>
      <c r="HO600" s="610"/>
      <c r="HP600" s="610"/>
      <c r="HQ600" s="610"/>
      <c r="HR600" s="610"/>
      <c r="HS600" s="610"/>
      <c r="HT600" s="610"/>
      <c r="HU600" s="610"/>
      <c r="HV600" s="610"/>
      <c r="HW600" s="610"/>
      <c r="HX600" s="610"/>
      <c r="HY600" s="610"/>
      <c r="HZ600" s="610"/>
      <c r="IA600" s="610"/>
      <c r="IB600" s="610"/>
      <c r="IC600" s="610"/>
      <c r="ID600" s="610"/>
      <c r="IE600" s="610"/>
      <c r="IF600" s="610"/>
      <c r="IG600" s="610"/>
      <c r="IH600" s="610"/>
      <c r="II600" s="610"/>
      <c r="IJ600" s="610"/>
      <c r="IK600" s="610"/>
      <c r="IL600" s="610"/>
      <c r="IM600" s="610"/>
      <c r="IN600" s="610"/>
      <c r="IO600" s="610"/>
      <c r="IP600" s="610"/>
      <c r="IQ600" s="610"/>
      <c r="IR600" s="610"/>
      <c r="IS600" s="610"/>
      <c r="IT600" s="610"/>
      <c r="IU600" s="610"/>
      <c r="IV600" s="610"/>
    </row>
    <row r="601" spans="1:256" s="14" customFormat="1" ht="66.75" customHeight="1">
      <c r="A601" s="610"/>
      <c r="B601" s="610" t="s">
        <v>4666</v>
      </c>
      <c r="C601" s="610" t="s">
        <v>5249</v>
      </c>
      <c r="D601" s="599" t="s">
        <v>4792</v>
      </c>
      <c r="E601" s="911"/>
      <c r="F601" s="610">
        <v>350000</v>
      </c>
      <c r="G601" s="610"/>
      <c r="H601" s="610"/>
      <c r="I601" s="610"/>
      <c r="J601" s="610">
        <v>350000</v>
      </c>
      <c r="K601" s="610" t="s">
        <v>4735</v>
      </c>
      <c r="L601" s="1882" t="s">
        <v>4880</v>
      </c>
      <c r="M601" s="1977"/>
      <c r="N601" s="1977"/>
      <c r="O601" s="610"/>
      <c r="P601" s="610"/>
      <c r="Q601" s="610"/>
      <c r="R601" s="610"/>
      <c r="S601" s="610"/>
      <c r="T601" s="610"/>
      <c r="U601" s="610"/>
      <c r="V601" s="610"/>
      <c r="W601" s="610"/>
      <c r="X601" s="610"/>
      <c r="Y601" s="775"/>
      <c r="Z601" s="775"/>
      <c r="AA601" s="775"/>
      <c r="AB601" s="775"/>
      <c r="AC601" s="775"/>
      <c r="AD601" s="775"/>
      <c r="AE601" s="775"/>
      <c r="AF601" s="775"/>
      <c r="AG601" s="775"/>
      <c r="AH601" s="775"/>
      <c r="AI601" s="775"/>
      <c r="AJ601" s="775"/>
      <c r="AK601" s="775"/>
      <c r="AL601" s="775"/>
      <c r="AM601" s="775"/>
      <c r="AN601" s="775"/>
      <c r="AO601" s="775"/>
      <c r="AP601" s="775"/>
      <c r="AQ601" s="775"/>
      <c r="AR601" s="775"/>
      <c r="AS601" s="775"/>
      <c r="AT601" s="775"/>
      <c r="AU601" s="775"/>
      <c r="AV601" s="775"/>
      <c r="AW601" s="775"/>
      <c r="AX601" s="775"/>
      <c r="AY601" s="775"/>
      <c r="AZ601" s="775"/>
      <c r="BA601" s="775"/>
      <c r="BB601" s="775"/>
      <c r="BC601" s="775"/>
      <c r="BD601" s="775"/>
      <c r="BE601" s="775"/>
      <c r="BF601" s="775"/>
      <c r="BG601" s="775"/>
      <c r="BH601" s="775"/>
      <c r="BI601" s="775"/>
      <c r="BJ601" s="775"/>
      <c r="BK601" s="775"/>
      <c r="BL601" s="775"/>
      <c r="BM601" s="775"/>
      <c r="BN601" s="775"/>
      <c r="BO601" s="775"/>
      <c r="BP601" s="775"/>
      <c r="BQ601" s="775"/>
      <c r="BR601" s="775"/>
      <c r="BS601" s="775"/>
      <c r="BT601" s="775"/>
      <c r="BU601" s="775"/>
      <c r="BV601" s="775"/>
      <c r="BW601" s="775"/>
      <c r="BX601" s="775"/>
      <c r="BY601" s="775"/>
      <c r="BZ601" s="775"/>
      <c r="CA601" s="775"/>
      <c r="CB601" s="775"/>
      <c r="CC601" s="775"/>
      <c r="CD601" s="775"/>
      <c r="CE601" s="775"/>
      <c r="CF601" s="775"/>
      <c r="CG601" s="775"/>
      <c r="CH601" s="775"/>
      <c r="CI601" s="775"/>
      <c r="CJ601" s="775"/>
      <c r="CK601" s="775"/>
      <c r="CL601" s="775"/>
      <c r="CM601" s="775"/>
      <c r="CN601" s="775"/>
      <c r="CO601" s="775"/>
      <c r="CP601" s="775"/>
      <c r="CQ601" s="775"/>
      <c r="CR601" s="775"/>
      <c r="CS601" s="775"/>
      <c r="CT601" s="775"/>
      <c r="CU601" s="775"/>
      <c r="CV601" s="775"/>
      <c r="CW601" s="775"/>
      <c r="CX601" s="775"/>
      <c r="CY601" s="775"/>
      <c r="CZ601" s="775"/>
      <c r="DA601" s="775"/>
      <c r="DB601" s="775"/>
      <c r="DC601" s="775"/>
      <c r="DD601" s="775"/>
      <c r="DE601" s="775"/>
      <c r="DF601" s="775"/>
      <c r="DG601" s="775"/>
      <c r="DH601" s="775"/>
      <c r="DI601" s="775"/>
      <c r="DJ601" s="775"/>
      <c r="DK601" s="775"/>
      <c r="DL601" s="775"/>
      <c r="DM601" s="775"/>
      <c r="DN601" s="775"/>
      <c r="DO601" s="775"/>
      <c r="DP601" s="775"/>
      <c r="DQ601" s="775"/>
      <c r="DR601" s="775"/>
      <c r="DS601" s="775"/>
      <c r="DT601" s="775"/>
      <c r="DU601" s="775"/>
      <c r="DV601" s="775"/>
      <c r="DW601" s="775"/>
      <c r="DX601" s="775"/>
      <c r="DY601" s="775"/>
      <c r="DZ601" s="775"/>
      <c r="EA601" s="775"/>
      <c r="EB601" s="775"/>
      <c r="EC601" s="775"/>
      <c r="ED601" s="775"/>
      <c r="EE601" s="775"/>
      <c r="EF601" s="775"/>
      <c r="EG601" s="775"/>
      <c r="EH601" s="775"/>
      <c r="EI601" s="775"/>
      <c r="EJ601" s="775"/>
      <c r="EK601" s="775"/>
      <c r="EL601" s="775"/>
      <c r="EM601" s="775"/>
      <c r="EN601" s="775"/>
      <c r="EO601" s="775"/>
      <c r="EP601" s="775"/>
      <c r="EQ601" s="775"/>
      <c r="ER601" s="775"/>
      <c r="ES601" s="775"/>
      <c r="ET601" s="775"/>
      <c r="EU601" s="775"/>
      <c r="EV601" s="775"/>
      <c r="EW601" s="775"/>
      <c r="EX601" s="775"/>
      <c r="EY601" s="775"/>
      <c r="EZ601" s="775"/>
      <c r="FA601" s="775"/>
      <c r="FB601" s="775"/>
      <c r="FC601" s="775"/>
      <c r="FD601" s="775"/>
      <c r="FE601" s="775"/>
      <c r="FF601" s="775"/>
      <c r="FG601" s="775"/>
      <c r="FH601" s="775"/>
      <c r="FI601" s="775"/>
      <c r="FJ601" s="775"/>
      <c r="FK601" s="775"/>
      <c r="FL601" s="775"/>
      <c r="FM601" s="775"/>
      <c r="FN601" s="775"/>
      <c r="FO601" s="775"/>
      <c r="FP601" s="775"/>
      <c r="FQ601" s="775"/>
      <c r="FR601" s="775"/>
      <c r="FS601" s="775"/>
      <c r="FT601" s="775"/>
      <c r="FU601" s="775"/>
      <c r="FV601" s="775"/>
      <c r="FW601" s="775"/>
      <c r="FX601" s="775"/>
      <c r="FY601" s="775"/>
      <c r="FZ601" s="775"/>
      <c r="GA601" s="775"/>
      <c r="GB601" s="775"/>
      <c r="GC601" s="775"/>
      <c r="GD601" s="775"/>
      <c r="GE601" s="775"/>
      <c r="GF601" s="775"/>
      <c r="GG601" s="775"/>
      <c r="GH601" s="775"/>
      <c r="GI601" s="775"/>
      <c r="GJ601" s="775"/>
      <c r="GK601" s="775"/>
      <c r="GL601" s="775"/>
      <c r="GM601" s="775"/>
      <c r="GN601" s="775"/>
      <c r="GO601" s="775"/>
      <c r="GP601" s="775"/>
      <c r="GQ601" s="775"/>
      <c r="GR601" s="775"/>
      <c r="GS601" s="775"/>
      <c r="GT601" s="775"/>
      <c r="GU601" s="775"/>
      <c r="GV601" s="775"/>
      <c r="GW601" s="775"/>
      <c r="GX601" s="775"/>
      <c r="GY601" s="775"/>
      <c r="GZ601" s="775"/>
      <c r="HA601" s="775"/>
      <c r="HB601" s="775"/>
      <c r="HC601" s="775"/>
      <c r="HD601" s="775"/>
      <c r="HE601" s="775"/>
      <c r="HF601" s="775"/>
      <c r="HG601" s="775"/>
      <c r="HH601" s="775"/>
      <c r="HI601" s="775"/>
      <c r="HJ601" s="775"/>
      <c r="HK601" s="775"/>
      <c r="HL601" s="775"/>
      <c r="HM601" s="775"/>
      <c r="HN601" s="775"/>
      <c r="HO601" s="775"/>
      <c r="HP601" s="775"/>
      <c r="HQ601" s="775"/>
      <c r="HR601" s="775"/>
      <c r="HS601" s="775"/>
      <c r="HT601" s="775"/>
      <c r="HU601" s="775"/>
      <c r="HV601" s="775"/>
      <c r="HW601" s="775"/>
      <c r="HX601" s="775"/>
      <c r="HY601" s="775"/>
      <c r="HZ601" s="775"/>
      <c r="IA601" s="775"/>
      <c r="IB601" s="775"/>
      <c r="IC601" s="775"/>
      <c r="ID601" s="775"/>
      <c r="IE601" s="775"/>
      <c r="IF601" s="775"/>
      <c r="IG601" s="775"/>
      <c r="IH601" s="775"/>
      <c r="II601" s="775"/>
      <c r="IJ601" s="775"/>
      <c r="IK601" s="775"/>
      <c r="IL601" s="775"/>
      <c r="IM601" s="775"/>
      <c r="IN601" s="775"/>
      <c r="IO601" s="775"/>
      <c r="IP601" s="775"/>
      <c r="IQ601" s="775"/>
      <c r="IR601" s="775"/>
      <c r="IS601" s="775"/>
      <c r="IT601" s="775"/>
      <c r="IU601" s="775"/>
      <c r="IV601" s="775"/>
    </row>
    <row r="602" spans="1:256" ht="89.25" customHeight="1">
      <c r="A602" s="599"/>
      <c r="B602" s="446" t="s">
        <v>4593</v>
      </c>
      <c r="C602" s="599" t="s">
        <v>4729</v>
      </c>
      <c r="D602" s="599" t="s">
        <v>4730</v>
      </c>
      <c r="E602" s="607"/>
      <c r="F602" s="602">
        <v>150000</v>
      </c>
      <c r="G602" s="599"/>
      <c r="H602" s="599"/>
      <c r="I602" s="599"/>
      <c r="J602" s="891">
        <v>150000</v>
      </c>
      <c r="K602" s="610" t="s">
        <v>4793</v>
      </c>
      <c r="L602" s="1094" t="s">
        <v>4881</v>
      </c>
      <c r="M602" s="599"/>
      <c r="N602" s="599"/>
      <c r="O602" s="599"/>
      <c r="P602" s="599"/>
      <c r="Q602" s="599"/>
      <c r="R602" s="599"/>
      <c r="S602" s="599"/>
      <c r="T602" s="599"/>
      <c r="U602" s="599"/>
      <c r="V602" s="599"/>
      <c r="W602" s="599"/>
      <c r="X602" s="599"/>
    </row>
    <row r="603" spans="1:256" ht="141" customHeight="1">
      <c r="A603" s="2073">
        <v>14</v>
      </c>
      <c r="B603" s="2007" t="s">
        <v>4593</v>
      </c>
      <c r="C603" s="599" t="s">
        <v>4594</v>
      </c>
      <c r="D603" s="1791" t="s">
        <v>4622</v>
      </c>
      <c r="E603" s="599" t="s">
        <v>4595</v>
      </c>
      <c r="F603" s="1119">
        <v>3000000</v>
      </c>
      <c r="G603" s="599">
        <v>900000</v>
      </c>
      <c r="H603" s="599"/>
      <c r="I603" s="599"/>
      <c r="J603" s="599">
        <v>3000000</v>
      </c>
      <c r="K603" s="1094" t="s">
        <v>4790</v>
      </c>
      <c r="L603" s="822" t="s">
        <v>4880</v>
      </c>
      <c r="M603" s="599"/>
      <c r="N603" s="599"/>
      <c r="O603" s="599"/>
      <c r="P603" s="599"/>
      <c r="Q603" s="599"/>
      <c r="R603" s="599"/>
      <c r="S603" s="599"/>
      <c r="T603" s="599"/>
      <c r="U603" s="599"/>
      <c r="V603" s="599"/>
      <c r="W603" s="599"/>
      <c r="X603" s="599"/>
    </row>
    <row r="604" spans="1:256" ht="78" customHeight="1">
      <c r="A604" s="1809"/>
      <c r="B604" s="442" t="s">
        <v>4600</v>
      </c>
      <c r="C604" s="599" t="s">
        <v>4601</v>
      </c>
      <c r="D604" s="599" t="s">
        <v>5252</v>
      </c>
      <c r="E604" s="1118" t="s">
        <v>4708</v>
      </c>
      <c r="F604" s="599">
        <v>42278119.200000003</v>
      </c>
      <c r="G604" s="599"/>
      <c r="H604" s="599"/>
      <c r="I604" s="599"/>
      <c r="J604" s="891" t="s">
        <v>5251</v>
      </c>
      <c r="K604" s="1094" t="s">
        <v>5250</v>
      </c>
      <c r="L604" s="822" t="s">
        <v>4880</v>
      </c>
      <c r="M604" s="1882" t="s">
        <v>4706</v>
      </c>
      <c r="N604" s="1882" t="s">
        <v>4651</v>
      </c>
      <c r="O604" s="2030">
        <v>4704000</v>
      </c>
      <c r="P604" s="741" t="s">
        <v>5089</v>
      </c>
      <c r="Q604" s="599"/>
      <c r="R604" s="599"/>
      <c r="S604" s="599"/>
      <c r="T604" s="599"/>
      <c r="U604" s="599"/>
      <c r="V604" s="599"/>
      <c r="W604" s="599"/>
      <c r="X604" s="599"/>
    </row>
    <row r="605" spans="1:256" ht="83.25" customHeight="1">
      <c r="A605" s="599">
        <v>15</v>
      </c>
      <c r="B605" s="442" t="s">
        <v>4600</v>
      </c>
      <c r="C605" s="599" t="s">
        <v>4673</v>
      </c>
      <c r="D605" s="599" t="s">
        <v>4672</v>
      </c>
      <c r="E605" s="2021" t="s">
        <v>2251</v>
      </c>
      <c r="F605" s="602">
        <v>450000</v>
      </c>
      <c r="G605" s="599"/>
      <c r="H605" s="599"/>
      <c r="I605" s="599"/>
      <c r="J605" s="891" t="s">
        <v>4738</v>
      </c>
      <c r="K605" s="599" t="s">
        <v>4851</v>
      </c>
      <c r="L605" s="822" t="s">
        <v>4880</v>
      </c>
      <c r="M605" s="2037"/>
      <c r="N605" s="2037"/>
      <c r="O605" s="2071"/>
      <c r="P605" s="741"/>
      <c r="Q605" s="741"/>
      <c r="R605" s="599"/>
      <c r="S605" s="599"/>
      <c r="T605" s="599"/>
      <c r="U605" s="599"/>
      <c r="V605" s="599"/>
      <c r="W605" s="599"/>
      <c r="X605" s="599"/>
    </row>
    <row r="606" spans="1:256" ht="81.75" customHeight="1">
      <c r="A606" s="741">
        <v>16</v>
      </c>
      <c r="B606" s="465" t="s">
        <v>4619</v>
      </c>
      <c r="C606" s="741" t="s">
        <v>4726</v>
      </c>
      <c r="D606" s="741" t="s">
        <v>4777</v>
      </c>
      <c r="E606" s="741" t="s">
        <v>1691</v>
      </c>
      <c r="F606" s="964" t="s">
        <v>4728</v>
      </c>
      <c r="G606" s="741"/>
      <c r="H606" s="741"/>
      <c r="I606" s="741"/>
      <c r="J606" s="2039">
        <f>75000      +5251534.37</f>
        <v>5326534.37</v>
      </c>
      <c r="K606" s="1789" t="s">
        <v>4739</v>
      </c>
      <c r="L606" s="822" t="s">
        <v>4880</v>
      </c>
      <c r="M606" s="1863" t="s">
        <v>4727</v>
      </c>
      <c r="N606" s="741"/>
      <c r="O606" s="741"/>
      <c r="P606" s="741"/>
      <c r="Q606" s="741"/>
      <c r="R606" s="741"/>
      <c r="S606" s="741"/>
      <c r="T606" s="741"/>
      <c r="U606" s="741"/>
      <c r="V606" s="741"/>
      <c r="W606" s="741"/>
      <c r="X606" s="741"/>
    </row>
    <row r="607" spans="1:256" s="1722" customFormat="1" ht="65.25" customHeight="1">
      <c r="A607" s="599">
        <v>17</v>
      </c>
      <c r="B607" s="442" t="s">
        <v>4639</v>
      </c>
      <c r="C607" s="599" t="s">
        <v>4640</v>
      </c>
      <c r="D607" s="599" t="s">
        <v>4641</v>
      </c>
      <c r="E607" s="599" t="s">
        <v>3429</v>
      </c>
      <c r="F607" s="602">
        <v>190000</v>
      </c>
      <c r="G607" s="599"/>
      <c r="H607" s="741"/>
      <c r="I607" s="741"/>
      <c r="J607" s="890">
        <v>190000</v>
      </c>
      <c r="K607" s="2038" t="s">
        <v>4778</v>
      </c>
      <c r="L607" s="599" t="s">
        <v>2340</v>
      </c>
      <c r="M607" s="599"/>
      <c r="N607" s="599"/>
      <c r="O607" s="599"/>
      <c r="P607" s="599"/>
      <c r="Q607" s="599"/>
      <c r="R607" s="599"/>
      <c r="S607" s="599"/>
      <c r="T607" s="599"/>
      <c r="U607" s="599"/>
      <c r="V607" s="599"/>
      <c r="W607" s="599"/>
      <c r="X607" s="599"/>
      <c r="Y607" s="599"/>
      <c r="Z607" s="599"/>
      <c r="AA607" s="599"/>
      <c r="AB607" s="599"/>
      <c r="AC607" s="599"/>
      <c r="AD607" s="599"/>
      <c r="AE607" s="599"/>
      <c r="AF607" s="599"/>
      <c r="AG607" s="599"/>
      <c r="AH607" s="599"/>
      <c r="AI607" s="599"/>
      <c r="AJ607" s="599"/>
      <c r="AK607" s="599"/>
      <c r="AL607" s="599"/>
      <c r="AM607" s="599"/>
      <c r="AN607" s="599"/>
      <c r="AO607" s="599"/>
      <c r="AP607" s="599"/>
      <c r="AQ607" s="599"/>
      <c r="AR607" s="599"/>
      <c r="AS607" s="599"/>
      <c r="AT607" s="599"/>
      <c r="AU607" s="599"/>
      <c r="AV607" s="599"/>
      <c r="AW607" s="599"/>
      <c r="AX607" s="599"/>
      <c r="AY607" s="599"/>
      <c r="AZ607" s="599"/>
      <c r="BA607" s="599"/>
      <c r="BB607" s="599"/>
      <c r="BC607" s="599"/>
      <c r="BD607" s="599"/>
      <c r="BE607" s="599"/>
      <c r="BF607" s="599"/>
      <c r="BG607" s="599"/>
      <c r="BH607" s="599"/>
      <c r="BI607" s="599"/>
      <c r="BJ607" s="599"/>
      <c r="BK607" s="599"/>
      <c r="BL607" s="599"/>
      <c r="BM607" s="599"/>
      <c r="BN607" s="599"/>
      <c r="BO607" s="599"/>
      <c r="BP607" s="599"/>
      <c r="BQ607" s="599"/>
      <c r="BR607" s="599"/>
      <c r="BS607" s="599"/>
      <c r="BT607" s="599"/>
      <c r="BU607" s="599"/>
      <c r="BV607" s="599"/>
      <c r="BW607" s="599"/>
      <c r="BX607" s="599"/>
      <c r="BY607" s="599"/>
      <c r="BZ607" s="599"/>
      <c r="CA607" s="599"/>
      <c r="CB607" s="599"/>
      <c r="CC607" s="599"/>
      <c r="CD607" s="599"/>
      <c r="CE607" s="599"/>
      <c r="CF607" s="599"/>
      <c r="CG607" s="599"/>
      <c r="CH607" s="599"/>
      <c r="CI607" s="599"/>
      <c r="CJ607" s="599"/>
      <c r="CK607" s="599"/>
      <c r="CL607" s="599"/>
      <c r="CM607" s="599"/>
      <c r="CN607" s="599"/>
      <c r="CO607" s="599"/>
      <c r="CP607" s="599"/>
      <c r="CQ607" s="599"/>
      <c r="CR607" s="599"/>
      <c r="CS607" s="599"/>
      <c r="CT607" s="599"/>
      <c r="CU607" s="599"/>
      <c r="CV607" s="599"/>
      <c r="CW607" s="599"/>
      <c r="CX607" s="599"/>
      <c r="CY607" s="599"/>
      <c r="CZ607" s="599"/>
      <c r="DA607" s="599"/>
      <c r="DB607" s="599"/>
      <c r="DC607" s="599"/>
      <c r="DD607" s="599"/>
      <c r="DE607" s="599"/>
      <c r="DF607" s="599"/>
      <c r="DG607" s="599"/>
      <c r="DH607" s="599"/>
      <c r="DI607" s="599"/>
      <c r="DJ607" s="599"/>
      <c r="DK607" s="599"/>
      <c r="DL607" s="599"/>
      <c r="DM607" s="599"/>
      <c r="DN607" s="599"/>
      <c r="DO607" s="599"/>
      <c r="DP607" s="599"/>
      <c r="DQ607" s="599"/>
      <c r="DR607" s="599"/>
      <c r="DS607" s="599"/>
      <c r="DT607" s="599"/>
      <c r="DU607" s="599"/>
      <c r="DV607" s="599"/>
      <c r="DW607" s="599"/>
      <c r="DX607" s="599"/>
      <c r="DY607" s="599"/>
      <c r="DZ607" s="599"/>
      <c r="EA607" s="599"/>
      <c r="EB607" s="599"/>
      <c r="EC607" s="599"/>
      <c r="ED607" s="599"/>
      <c r="EE607" s="599"/>
      <c r="EF607" s="599"/>
      <c r="EG607" s="599"/>
      <c r="EH607" s="599"/>
      <c r="EI607" s="599"/>
      <c r="EJ607" s="599"/>
      <c r="EK607" s="599"/>
      <c r="EL607" s="599"/>
      <c r="EM607" s="599"/>
      <c r="EN607" s="599"/>
      <c r="EO607" s="599"/>
      <c r="EP607" s="599"/>
      <c r="EQ607" s="599"/>
      <c r="ER607" s="599"/>
      <c r="ES607" s="599"/>
      <c r="ET607" s="599"/>
      <c r="EU607" s="599"/>
      <c r="EV607" s="599"/>
      <c r="EW607" s="599"/>
      <c r="EX607" s="599"/>
      <c r="EY607" s="599"/>
      <c r="EZ607" s="599"/>
      <c r="FA607" s="599"/>
      <c r="FB607" s="599"/>
      <c r="FC607" s="599"/>
      <c r="FD607" s="599"/>
      <c r="FE607" s="599"/>
      <c r="FF607" s="599"/>
      <c r="FG607" s="599"/>
      <c r="FH607" s="599"/>
      <c r="FI607" s="599"/>
      <c r="FJ607" s="599"/>
      <c r="FK607" s="599"/>
      <c r="FL607" s="599"/>
      <c r="FM607" s="599"/>
      <c r="FN607" s="599"/>
      <c r="FO607" s="599"/>
      <c r="FP607" s="599"/>
      <c r="FQ607" s="599"/>
      <c r="FR607" s="599"/>
      <c r="FS607" s="599"/>
      <c r="FT607" s="599"/>
      <c r="FU607" s="599"/>
      <c r="FV607" s="599"/>
      <c r="FW607" s="599"/>
      <c r="FX607" s="599"/>
      <c r="FY607" s="599"/>
      <c r="FZ607" s="599"/>
      <c r="GA607" s="599"/>
      <c r="GB607" s="599"/>
      <c r="GC607" s="599"/>
      <c r="GD607" s="599"/>
      <c r="GE607" s="599"/>
      <c r="GF607" s="599"/>
      <c r="GG607" s="599"/>
      <c r="GH607" s="599"/>
      <c r="GI607" s="599"/>
      <c r="GJ607" s="599"/>
      <c r="GK607" s="599"/>
      <c r="GL607" s="599"/>
      <c r="GM607" s="599"/>
      <c r="GN607" s="599"/>
      <c r="GO607" s="599"/>
      <c r="GP607" s="599"/>
      <c r="GQ607" s="599"/>
      <c r="GR607" s="599"/>
      <c r="GS607" s="599"/>
      <c r="GT607" s="599"/>
      <c r="GU607" s="599"/>
      <c r="GV607" s="599"/>
      <c r="GW607" s="599"/>
      <c r="GX607" s="599"/>
      <c r="GY607" s="599"/>
      <c r="GZ607" s="599"/>
      <c r="HA607" s="599"/>
      <c r="HB607" s="599"/>
      <c r="HC607" s="599"/>
      <c r="HD607" s="599"/>
      <c r="HE607" s="599"/>
      <c r="HF607" s="599"/>
      <c r="HG607" s="599"/>
      <c r="HH607" s="599"/>
      <c r="HI607" s="599"/>
      <c r="HJ607" s="599"/>
      <c r="HK607" s="599"/>
      <c r="HL607" s="599"/>
      <c r="HM607" s="599"/>
      <c r="HN607" s="599"/>
      <c r="HO607" s="599"/>
      <c r="HP607" s="599"/>
      <c r="HQ607" s="599"/>
      <c r="HR607" s="599"/>
      <c r="HS607" s="599"/>
      <c r="HT607" s="599"/>
      <c r="HU607" s="599"/>
      <c r="HV607" s="599"/>
      <c r="HW607" s="599"/>
      <c r="HX607" s="599"/>
      <c r="HY607" s="599"/>
      <c r="HZ607" s="599"/>
      <c r="IA607" s="599"/>
      <c r="IB607" s="599"/>
      <c r="IC607" s="599"/>
      <c r="ID607" s="599"/>
      <c r="IE607" s="599"/>
      <c r="IF607" s="599"/>
      <c r="IG607" s="599"/>
      <c r="IH607" s="599"/>
      <c r="II607" s="599"/>
      <c r="IJ607" s="599"/>
      <c r="IK607" s="599"/>
      <c r="IL607" s="599"/>
      <c r="IM607" s="599"/>
      <c r="IN607" s="599"/>
      <c r="IO607" s="599"/>
      <c r="IP607" s="599"/>
      <c r="IQ607" s="599"/>
      <c r="IR607" s="599"/>
      <c r="IS607" s="599"/>
      <c r="IT607" s="599"/>
      <c r="IU607" s="599"/>
      <c r="IV607" s="599"/>
    </row>
    <row r="608" spans="1:256" s="13" customFormat="1" ht="135" customHeight="1">
      <c r="A608" s="610">
        <v>18</v>
      </c>
      <c r="B608" s="1882" t="s">
        <v>4646</v>
      </c>
      <c r="C608" s="610" t="s">
        <v>4647</v>
      </c>
      <c r="D608" s="610" t="s">
        <v>4707</v>
      </c>
      <c r="E608" s="610" t="s">
        <v>4649</v>
      </c>
      <c r="F608" s="610"/>
      <c r="G608" s="610"/>
      <c r="H608" s="599"/>
      <c r="I608" s="446" t="s">
        <v>4748</v>
      </c>
      <c r="J608" s="610">
        <v>3599955.77</v>
      </c>
      <c r="K608" s="1789">
        <v>45250</v>
      </c>
      <c r="L608" s="822" t="s">
        <v>4880</v>
      </c>
      <c r="M608" s="1882" t="s">
        <v>4650</v>
      </c>
      <c r="N608" s="1882" t="s">
        <v>4648</v>
      </c>
      <c r="O608" s="2030">
        <v>2100000</v>
      </c>
      <c r="P608" s="610"/>
      <c r="Q608" s="2030">
        <v>2100000</v>
      </c>
      <c r="R608" s="1882" t="s">
        <v>4731</v>
      </c>
      <c r="S608" s="610"/>
      <c r="T608" s="610"/>
      <c r="U608" s="610"/>
      <c r="V608" s="610"/>
      <c r="W608" s="610"/>
      <c r="X608" s="610"/>
      <c r="Y608" s="610"/>
      <c r="Z608" s="610"/>
      <c r="AA608" s="610"/>
      <c r="AB608" s="610"/>
      <c r="AC608" s="610"/>
      <c r="AD608" s="610"/>
      <c r="AE608" s="610"/>
      <c r="AF608" s="610"/>
      <c r="AG608" s="610"/>
      <c r="AH608" s="610"/>
      <c r="AI608" s="610"/>
      <c r="AJ608" s="610"/>
      <c r="AK608" s="610"/>
      <c r="AL608" s="610"/>
      <c r="AM608" s="610"/>
      <c r="AN608" s="610"/>
      <c r="AO608" s="610"/>
      <c r="AP608" s="610"/>
      <c r="AQ608" s="610"/>
      <c r="AR608" s="610"/>
      <c r="AS608" s="610"/>
      <c r="AT608" s="610"/>
      <c r="AU608" s="610"/>
      <c r="AV608" s="610"/>
      <c r="AW608" s="610"/>
      <c r="AX608" s="610"/>
      <c r="AY608" s="610"/>
      <c r="AZ608" s="610"/>
      <c r="BA608" s="610"/>
      <c r="BB608" s="610"/>
      <c r="BC608" s="610"/>
      <c r="BD608" s="610"/>
      <c r="BE608" s="610"/>
      <c r="BF608" s="610"/>
      <c r="BG608" s="610"/>
      <c r="BH608" s="610"/>
      <c r="BI608" s="610"/>
      <c r="BJ608" s="610"/>
      <c r="BK608" s="610"/>
      <c r="BL608" s="610"/>
      <c r="BM608" s="610"/>
      <c r="BN608" s="610"/>
      <c r="BO608" s="610"/>
      <c r="BP608" s="610"/>
      <c r="BQ608" s="610"/>
      <c r="BR608" s="610"/>
      <c r="BS608" s="610"/>
      <c r="BT608" s="610"/>
      <c r="BU608" s="610"/>
      <c r="BV608" s="610"/>
      <c r="BW608" s="610"/>
      <c r="BX608" s="610"/>
      <c r="BY608" s="610"/>
      <c r="BZ608" s="610"/>
      <c r="CA608" s="610"/>
      <c r="CB608" s="610"/>
      <c r="CC608" s="610"/>
      <c r="CD608" s="610"/>
      <c r="CE608" s="610"/>
      <c r="CF608" s="610"/>
      <c r="CG608" s="610"/>
      <c r="CH608" s="610"/>
      <c r="CI608" s="610"/>
      <c r="CJ608" s="610"/>
      <c r="CK608" s="610"/>
      <c r="CL608" s="610"/>
      <c r="CM608" s="610"/>
      <c r="CN608" s="610"/>
      <c r="CO608" s="610"/>
      <c r="CP608" s="610"/>
      <c r="CQ608" s="610"/>
      <c r="CR608" s="610"/>
      <c r="CS608" s="610"/>
      <c r="CT608" s="610"/>
      <c r="CU608" s="610"/>
      <c r="CV608" s="610"/>
      <c r="CW608" s="610"/>
      <c r="CX608" s="610"/>
      <c r="CY608" s="610"/>
      <c r="CZ608" s="610"/>
      <c r="DA608" s="610"/>
      <c r="DB608" s="610"/>
      <c r="DC608" s="610"/>
      <c r="DD608" s="610"/>
      <c r="DE608" s="610"/>
      <c r="DF608" s="610"/>
      <c r="DG608" s="610"/>
      <c r="DH608" s="610"/>
      <c r="DI608" s="610"/>
      <c r="DJ608" s="610"/>
      <c r="DK608" s="610"/>
      <c r="DL608" s="610"/>
      <c r="DM608" s="610"/>
      <c r="DN608" s="610"/>
      <c r="DO608" s="610"/>
      <c r="DP608" s="610"/>
      <c r="DQ608" s="610"/>
      <c r="DR608" s="610"/>
      <c r="DS608" s="610"/>
      <c r="DT608" s="610"/>
      <c r="DU608" s="610"/>
      <c r="DV608" s="610"/>
      <c r="DW608" s="610"/>
      <c r="DX608" s="610"/>
      <c r="DY608" s="610"/>
      <c r="DZ608" s="610"/>
      <c r="EA608" s="610"/>
      <c r="EB608" s="610"/>
      <c r="EC608" s="610"/>
      <c r="ED608" s="610"/>
      <c r="EE608" s="610"/>
      <c r="EF608" s="610"/>
      <c r="EG608" s="610"/>
      <c r="EH608" s="610"/>
      <c r="EI608" s="610"/>
      <c r="EJ608" s="610"/>
      <c r="EK608" s="610"/>
      <c r="EL608" s="610"/>
      <c r="EM608" s="610"/>
      <c r="EN608" s="610"/>
      <c r="EO608" s="610"/>
      <c r="EP608" s="610"/>
      <c r="EQ608" s="610"/>
      <c r="ER608" s="610"/>
      <c r="ES608" s="610"/>
      <c r="ET608" s="610"/>
      <c r="EU608" s="610"/>
      <c r="EV608" s="610"/>
      <c r="EW608" s="610"/>
      <c r="EX608" s="610"/>
      <c r="EY608" s="610"/>
      <c r="EZ608" s="610"/>
      <c r="FA608" s="610"/>
      <c r="FB608" s="610"/>
      <c r="FC608" s="610"/>
      <c r="FD608" s="610"/>
      <c r="FE608" s="610"/>
      <c r="FF608" s="610"/>
      <c r="FG608" s="610"/>
      <c r="FH608" s="610"/>
      <c r="FI608" s="610"/>
      <c r="FJ608" s="610"/>
      <c r="FK608" s="610"/>
      <c r="FL608" s="610"/>
      <c r="FM608" s="610"/>
      <c r="FN608" s="610"/>
      <c r="FO608" s="610"/>
      <c r="FP608" s="610"/>
      <c r="FQ608" s="610"/>
      <c r="FR608" s="610"/>
      <c r="FS608" s="610"/>
      <c r="FT608" s="610"/>
      <c r="FU608" s="610"/>
      <c r="FV608" s="610"/>
      <c r="FW608" s="610"/>
      <c r="FX608" s="610"/>
      <c r="FY608" s="610"/>
      <c r="FZ608" s="610"/>
      <c r="GA608" s="610"/>
      <c r="GB608" s="610"/>
      <c r="GC608" s="610"/>
      <c r="GD608" s="610"/>
      <c r="GE608" s="610"/>
      <c r="GF608" s="610"/>
      <c r="GG608" s="610"/>
      <c r="GH608" s="610"/>
      <c r="GI608" s="610"/>
      <c r="GJ608" s="610"/>
      <c r="GK608" s="610"/>
      <c r="GL608" s="610"/>
      <c r="GM608" s="610"/>
      <c r="GN608" s="610"/>
      <c r="GO608" s="610"/>
      <c r="GP608" s="610"/>
      <c r="GQ608" s="610"/>
      <c r="GR608" s="610"/>
      <c r="GS608" s="610"/>
      <c r="GT608" s="610"/>
      <c r="GU608" s="610"/>
      <c r="GV608" s="610"/>
      <c r="GW608" s="610"/>
      <c r="GX608" s="610"/>
      <c r="GY608" s="610"/>
      <c r="GZ608" s="610"/>
      <c r="HA608" s="610"/>
      <c r="HB608" s="610"/>
      <c r="HC608" s="610"/>
      <c r="HD608" s="610"/>
      <c r="HE608" s="610"/>
      <c r="HF608" s="610"/>
      <c r="HG608" s="610"/>
      <c r="HH608" s="610"/>
      <c r="HI608" s="610"/>
      <c r="HJ608" s="610"/>
      <c r="HK608" s="610"/>
      <c r="HL608" s="610"/>
      <c r="HM608" s="610"/>
      <c r="HN608" s="610"/>
      <c r="HO608" s="610"/>
      <c r="HP608" s="610"/>
      <c r="HQ608" s="610"/>
      <c r="HR608" s="610"/>
      <c r="HS608" s="610"/>
      <c r="HT608" s="610"/>
      <c r="HU608" s="610"/>
      <c r="HV608" s="610"/>
      <c r="HW608" s="610"/>
      <c r="HX608" s="610"/>
      <c r="HY608" s="610"/>
      <c r="HZ608" s="610"/>
      <c r="IA608" s="610"/>
      <c r="IB608" s="610"/>
      <c r="IC608" s="610"/>
      <c r="ID608" s="610"/>
      <c r="IE608" s="610"/>
      <c r="IF608" s="610"/>
      <c r="IG608" s="610"/>
      <c r="IH608" s="610"/>
      <c r="II608" s="610"/>
      <c r="IJ608" s="610"/>
      <c r="IK608" s="610"/>
      <c r="IL608" s="610"/>
      <c r="IM608" s="610"/>
      <c r="IN608" s="610"/>
      <c r="IO608" s="610"/>
      <c r="IP608" s="610"/>
      <c r="IQ608" s="610"/>
      <c r="IR608" s="610"/>
      <c r="IS608" s="610"/>
      <c r="IT608" s="610"/>
      <c r="IU608" s="610"/>
      <c r="IV608" s="610"/>
    </row>
    <row r="609" spans="1:256" s="13" customFormat="1" ht="47.25">
      <c r="A609" s="610"/>
      <c r="B609" s="610" t="s">
        <v>4682</v>
      </c>
      <c r="C609" s="610" t="s">
        <v>4890</v>
      </c>
      <c r="D609" s="640" t="s">
        <v>4685</v>
      </c>
      <c r="E609" s="610" t="s">
        <v>4683</v>
      </c>
      <c r="F609" s="610" t="s">
        <v>4684</v>
      </c>
      <c r="G609" s="610"/>
      <c r="H609" s="610"/>
      <c r="I609" s="610"/>
      <c r="J609" s="2068" t="s">
        <v>4852</v>
      </c>
      <c r="K609" s="610" t="s">
        <v>4720</v>
      </c>
      <c r="L609" s="1977" t="s">
        <v>5017</v>
      </c>
      <c r="M609" s="610"/>
      <c r="N609" s="610"/>
      <c r="O609" s="610"/>
      <c r="P609" s="610"/>
      <c r="Q609" s="610"/>
      <c r="R609" s="610"/>
      <c r="S609" s="610"/>
      <c r="T609" s="610"/>
      <c r="U609" s="610"/>
      <c r="V609" s="610"/>
      <c r="W609" s="610"/>
      <c r="X609" s="610"/>
      <c r="Y609" s="610"/>
      <c r="Z609" s="610"/>
      <c r="AA609" s="610"/>
      <c r="AB609" s="610"/>
      <c r="AC609" s="610"/>
      <c r="AD609" s="610"/>
      <c r="AE609" s="610"/>
      <c r="AF609" s="610"/>
      <c r="AG609" s="610"/>
      <c r="AH609" s="610"/>
      <c r="AI609" s="610"/>
      <c r="AJ609" s="610"/>
      <c r="AK609" s="610"/>
      <c r="AL609" s="610"/>
      <c r="AM609" s="610"/>
      <c r="AN609" s="610"/>
      <c r="AO609" s="610"/>
      <c r="AP609" s="610"/>
      <c r="AQ609" s="610"/>
      <c r="AR609" s="610"/>
      <c r="AS609" s="610"/>
      <c r="AT609" s="610"/>
      <c r="AU609" s="610"/>
      <c r="AV609" s="610"/>
      <c r="AW609" s="610"/>
      <c r="AX609" s="610"/>
      <c r="AY609" s="610"/>
      <c r="AZ609" s="610"/>
      <c r="BA609" s="610"/>
      <c r="BB609" s="610"/>
      <c r="BC609" s="610"/>
      <c r="BD609" s="610"/>
      <c r="BE609" s="610"/>
      <c r="BF609" s="610"/>
      <c r="BG609" s="610"/>
      <c r="BH609" s="610"/>
      <c r="BI609" s="610"/>
      <c r="BJ609" s="610"/>
      <c r="BK609" s="610"/>
      <c r="BL609" s="610"/>
      <c r="BM609" s="610"/>
      <c r="BN609" s="610"/>
      <c r="BO609" s="610"/>
      <c r="BP609" s="610"/>
      <c r="BQ609" s="610"/>
      <c r="BR609" s="610"/>
      <c r="BS609" s="610"/>
      <c r="BT609" s="610"/>
      <c r="BU609" s="610"/>
      <c r="BV609" s="610"/>
      <c r="BW609" s="610"/>
      <c r="BX609" s="610"/>
      <c r="BY609" s="610"/>
      <c r="BZ609" s="610"/>
      <c r="CA609" s="610"/>
      <c r="CB609" s="610"/>
      <c r="CC609" s="610"/>
      <c r="CD609" s="610"/>
      <c r="CE609" s="610"/>
      <c r="CF609" s="610"/>
      <c r="CG609" s="610"/>
      <c r="CH609" s="610"/>
      <c r="CI609" s="610"/>
      <c r="CJ609" s="610"/>
      <c r="CK609" s="610"/>
      <c r="CL609" s="610"/>
      <c r="CM609" s="610"/>
      <c r="CN609" s="610"/>
      <c r="CO609" s="610"/>
      <c r="CP609" s="610"/>
      <c r="CQ609" s="610"/>
      <c r="CR609" s="610"/>
      <c r="CS609" s="610"/>
      <c r="CT609" s="610"/>
      <c r="CU609" s="610"/>
      <c r="CV609" s="610"/>
      <c r="CW609" s="610"/>
      <c r="CX609" s="610"/>
      <c r="CY609" s="610"/>
      <c r="CZ609" s="610"/>
      <c r="DA609" s="610"/>
      <c r="DB609" s="610"/>
      <c r="DC609" s="610"/>
      <c r="DD609" s="610"/>
      <c r="DE609" s="610"/>
      <c r="DF609" s="610"/>
      <c r="DG609" s="610"/>
      <c r="DH609" s="610"/>
      <c r="DI609" s="610"/>
      <c r="DJ609" s="610"/>
      <c r="DK609" s="610"/>
      <c r="DL609" s="610"/>
      <c r="DM609" s="610"/>
      <c r="DN609" s="610"/>
      <c r="DO609" s="610"/>
      <c r="DP609" s="610"/>
      <c r="DQ609" s="610"/>
      <c r="DR609" s="610"/>
      <c r="DS609" s="610"/>
      <c r="DT609" s="610"/>
      <c r="DU609" s="610"/>
      <c r="DV609" s="610"/>
      <c r="DW609" s="610"/>
      <c r="DX609" s="610"/>
      <c r="DY609" s="610"/>
      <c r="DZ609" s="610"/>
      <c r="EA609" s="610"/>
      <c r="EB609" s="610"/>
      <c r="EC609" s="610"/>
      <c r="ED609" s="610"/>
      <c r="EE609" s="610"/>
      <c r="EF609" s="610"/>
      <c r="EG609" s="610"/>
      <c r="EH609" s="610"/>
      <c r="EI609" s="610"/>
      <c r="EJ609" s="610"/>
      <c r="EK609" s="610"/>
      <c r="EL609" s="610"/>
      <c r="EM609" s="610"/>
      <c r="EN609" s="610"/>
      <c r="EO609" s="610"/>
      <c r="EP609" s="610"/>
      <c r="EQ609" s="610"/>
      <c r="ER609" s="610"/>
      <c r="ES609" s="610"/>
      <c r="ET609" s="610"/>
      <c r="EU609" s="610"/>
      <c r="EV609" s="610"/>
      <c r="EW609" s="610"/>
      <c r="EX609" s="610"/>
      <c r="EY609" s="610"/>
      <c r="EZ609" s="610"/>
      <c r="FA609" s="610"/>
      <c r="FB609" s="610"/>
      <c r="FC609" s="610"/>
      <c r="FD609" s="610"/>
      <c r="FE609" s="610"/>
      <c r="FF609" s="610"/>
      <c r="FG609" s="610"/>
      <c r="FH609" s="610"/>
      <c r="FI609" s="610"/>
      <c r="FJ609" s="610"/>
      <c r="FK609" s="610"/>
      <c r="FL609" s="610"/>
      <c r="FM609" s="610"/>
      <c r="FN609" s="610"/>
      <c r="FO609" s="610"/>
      <c r="FP609" s="610"/>
      <c r="FQ609" s="610"/>
      <c r="FR609" s="610"/>
      <c r="FS609" s="610"/>
      <c r="FT609" s="610"/>
      <c r="FU609" s="610"/>
      <c r="FV609" s="610"/>
      <c r="FW609" s="610"/>
      <c r="FX609" s="610"/>
      <c r="FY609" s="610"/>
      <c r="FZ609" s="610"/>
      <c r="GA609" s="610"/>
      <c r="GB609" s="610"/>
      <c r="GC609" s="610"/>
      <c r="GD609" s="610"/>
      <c r="GE609" s="610"/>
      <c r="GF609" s="610"/>
      <c r="GG609" s="610"/>
      <c r="GH609" s="610"/>
      <c r="GI609" s="610"/>
      <c r="GJ609" s="610"/>
      <c r="GK609" s="610"/>
      <c r="GL609" s="610"/>
      <c r="GM609" s="610"/>
      <c r="GN609" s="610"/>
      <c r="GO609" s="610"/>
      <c r="GP609" s="610"/>
      <c r="GQ609" s="610"/>
      <c r="GR609" s="610"/>
      <c r="GS609" s="610"/>
      <c r="GT609" s="610"/>
      <c r="GU609" s="610"/>
      <c r="GV609" s="610"/>
      <c r="GW609" s="610"/>
      <c r="GX609" s="610"/>
      <c r="GY609" s="610"/>
      <c r="GZ609" s="610"/>
      <c r="HA609" s="610"/>
      <c r="HB609" s="610"/>
      <c r="HC609" s="610"/>
      <c r="HD609" s="610"/>
      <c r="HE609" s="610"/>
      <c r="HF609" s="610"/>
      <c r="HG609" s="610"/>
      <c r="HH609" s="610"/>
      <c r="HI609" s="610"/>
      <c r="HJ609" s="610"/>
      <c r="HK609" s="610"/>
      <c r="HL609" s="610"/>
      <c r="HM609" s="610"/>
      <c r="HN609" s="610"/>
      <c r="HO609" s="610"/>
      <c r="HP609" s="610"/>
      <c r="HQ609" s="610"/>
      <c r="HR609" s="610"/>
      <c r="HS609" s="610"/>
      <c r="HT609" s="610"/>
      <c r="HU609" s="610"/>
      <c r="HV609" s="610"/>
      <c r="HW609" s="610"/>
      <c r="HX609" s="610"/>
      <c r="HY609" s="610"/>
      <c r="HZ609" s="610"/>
      <c r="IA609" s="610"/>
      <c r="IB609" s="610"/>
      <c r="IC609" s="610"/>
      <c r="ID609" s="610"/>
      <c r="IE609" s="610"/>
      <c r="IF609" s="610"/>
      <c r="IG609" s="610"/>
      <c r="IH609" s="610"/>
      <c r="II609" s="610"/>
      <c r="IJ609" s="610"/>
      <c r="IK609" s="610"/>
      <c r="IL609" s="610"/>
      <c r="IM609" s="610"/>
      <c r="IN609" s="610"/>
      <c r="IO609" s="610"/>
      <c r="IP609" s="610"/>
      <c r="IQ609" s="610"/>
      <c r="IR609" s="610"/>
      <c r="IS609" s="610"/>
      <c r="IT609" s="610"/>
      <c r="IU609" s="610"/>
      <c r="IV609" s="610"/>
    </row>
    <row r="610" spans="1:256" ht="145.5" customHeight="1">
      <c r="A610" s="599"/>
      <c r="B610" s="599" t="s">
        <v>4702</v>
      </c>
      <c r="C610" s="599" t="s">
        <v>4703</v>
      </c>
      <c r="D610" s="599" t="s">
        <v>4794</v>
      </c>
      <c r="E610" s="599" t="s">
        <v>4705</v>
      </c>
      <c r="F610" s="599" t="s">
        <v>4704</v>
      </c>
      <c r="G610" s="599"/>
      <c r="H610" s="610"/>
      <c r="I610" s="610"/>
      <c r="J610" s="599" t="s">
        <v>4853</v>
      </c>
      <c r="K610" s="2034" t="s">
        <v>4795</v>
      </c>
      <c r="L610" s="1880" t="s">
        <v>567</v>
      </c>
      <c r="M610" s="599"/>
      <c r="N610" s="599"/>
      <c r="O610" s="599"/>
      <c r="P610" s="599"/>
      <c r="Q610" s="599"/>
      <c r="R610" s="599"/>
      <c r="S610" s="599"/>
      <c r="T610" s="599"/>
      <c r="U610" s="599"/>
      <c r="V610" s="599"/>
      <c r="W610" s="599"/>
      <c r="X610" s="599"/>
      <c r="Y610" s="599"/>
      <c r="Z610" s="599"/>
      <c r="AA610" s="599"/>
      <c r="AB610" s="599"/>
      <c r="AC610" s="599"/>
      <c r="AD610" s="599"/>
      <c r="AE610" s="599"/>
      <c r="AF610" s="599"/>
      <c r="AG610" s="599"/>
      <c r="AH610" s="599"/>
    </row>
    <row r="611" spans="1:256" ht="70.5" customHeight="1">
      <c r="A611" s="599"/>
      <c r="B611" s="599" t="s">
        <v>4753</v>
      </c>
      <c r="C611" s="599" t="s">
        <v>4755</v>
      </c>
      <c r="D611" s="599" t="s">
        <v>4754</v>
      </c>
      <c r="E611" s="599"/>
      <c r="F611" s="599">
        <v>60000</v>
      </c>
      <c r="G611" s="599"/>
      <c r="H611" s="599"/>
      <c r="I611" s="599"/>
      <c r="J611" s="599">
        <v>60000</v>
      </c>
      <c r="K611" s="1094" t="s">
        <v>4854</v>
      </c>
      <c r="L611" s="599"/>
      <c r="M611" s="599"/>
      <c r="N611" s="599"/>
      <c r="O611" s="599"/>
      <c r="P611" s="599"/>
      <c r="Q611" s="599"/>
      <c r="R611" s="599"/>
      <c r="S611" s="599"/>
      <c r="T611" s="599"/>
      <c r="U611" s="599"/>
      <c r="V611" s="599"/>
      <c r="W611" s="599"/>
      <c r="X611" s="599"/>
      <c r="Y611" s="599"/>
      <c r="Z611" s="599"/>
      <c r="AA611" s="599"/>
      <c r="AB611" s="599"/>
      <c r="AC611" s="599"/>
      <c r="AD611" s="599"/>
      <c r="AE611" s="599"/>
      <c r="AF611" s="599"/>
      <c r="AG611" s="599"/>
      <c r="AH611" s="599"/>
    </row>
    <row r="612" spans="1:256" ht="68.25" customHeight="1">
      <c r="A612" s="599"/>
      <c r="B612" s="599" t="s">
        <v>4753</v>
      </c>
      <c r="C612" s="599" t="s">
        <v>4757</v>
      </c>
      <c r="D612" s="599" t="s">
        <v>4756</v>
      </c>
      <c r="E612" s="599"/>
      <c r="F612" s="599">
        <v>80000</v>
      </c>
      <c r="G612" s="599"/>
      <c r="H612" s="599"/>
      <c r="I612" s="599"/>
      <c r="J612" s="599">
        <v>80000</v>
      </c>
      <c r="K612" s="599" t="s">
        <v>4762</v>
      </c>
      <c r="L612" s="599"/>
      <c r="M612" s="599"/>
      <c r="N612" s="599"/>
      <c r="O612" s="599"/>
      <c r="P612" s="599"/>
      <c r="Q612" s="599"/>
      <c r="R612" s="599"/>
      <c r="S612" s="599"/>
      <c r="T612" s="599"/>
      <c r="U612" s="599"/>
      <c r="V612" s="599"/>
      <c r="W612" s="599"/>
      <c r="X612" s="599"/>
      <c r="Y612" s="599"/>
      <c r="Z612" s="599"/>
      <c r="AA612" s="599"/>
      <c r="AB612" s="599"/>
      <c r="AC612" s="599"/>
      <c r="AD612" s="599"/>
      <c r="AE612" s="599"/>
      <c r="AF612" s="599"/>
      <c r="AG612" s="599"/>
      <c r="AH612" s="599"/>
    </row>
    <row r="613" spans="1:256" ht="67.5" customHeight="1">
      <c r="A613" s="599"/>
      <c r="B613" s="599" t="s">
        <v>4763</v>
      </c>
      <c r="C613" s="599" t="s">
        <v>4764</v>
      </c>
      <c r="D613" s="1809" t="s">
        <v>4829</v>
      </c>
      <c r="E613" s="599"/>
      <c r="F613" s="599">
        <v>2040000</v>
      </c>
      <c r="G613" s="599"/>
      <c r="H613" s="599"/>
      <c r="I613" s="599"/>
      <c r="J613" s="599"/>
      <c r="K613" s="599" t="s">
        <v>4762</v>
      </c>
      <c r="L613" s="599"/>
      <c r="M613" s="599" t="s">
        <v>5144</v>
      </c>
      <c r="N613" s="599" t="s">
        <v>4766</v>
      </c>
      <c r="O613" s="599">
        <v>764400</v>
      </c>
      <c r="P613" s="599"/>
      <c r="Q613" s="599">
        <v>764400</v>
      </c>
      <c r="R613" s="599"/>
      <c r="S613" s="599"/>
      <c r="T613" s="599"/>
      <c r="U613" s="599"/>
      <c r="V613" s="599"/>
      <c r="W613" s="599"/>
      <c r="X613" s="599"/>
      <c r="Y613" s="599"/>
      <c r="Z613" s="599"/>
      <c r="AA613" s="599"/>
      <c r="AB613" s="599"/>
      <c r="AC613" s="599"/>
      <c r="AD613" s="599"/>
      <c r="AE613" s="599"/>
      <c r="AF613" s="599"/>
      <c r="AG613" s="599"/>
      <c r="AH613" s="599"/>
    </row>
    <row r="614" spans="1:256" s="1180" customFormat="1" ht="30.75" customHeight="1">
      <c r="A614" s="1170"/>
      <c r="B614" s="1172"/>
      <c r="C614" s="1900" t="s">
        <v>4770</v>
      </c>
      <c r="D614" s="1172"/>
      <c r="E614" s="1173"/>
      <c r="F614" s="1174"/>
      <c r="G614" s="1175"/>
      <c r="H614" s="1174"/>
      <c r="I614" s="1174"/>
      <c r="J614" s="1175"/>
      <c r="K614" s="1996"/>
      <c r="L614" s="1831"/>
      <c r="M614" s="1178"/>
      <c r="N614" s="1173"/>
      <c r="O614" s="1173"/>
      <c r="P614" s="1173"/>
      <c r="Q614" s="1176"/>
      <c r="R614" s="1176" t="s">
        <v>65</v>
      </c>
      <c r="S614" s="1176"/>
      <c r="T614" s="1176"/>
      <c r="U614" s="1176"/>
      <c r="V614" s="1128"/>
      <c r="W614" s="1128"/>
      <c r="X614" s="1128"/>
      <c r="Y614" s="1128"/>
      <c r="Z614" s="1128"/>
      <c r="AA614" s="1128"/>
      <c r="AB614" s="1128"/>
      <c r="AC614" s="580"/>
      <c r="AD614" s="1464"/>
      <c r="AE614" s="599"/>
      <c r="AF614" s="599"/>
      <c r="AG614" s="599"/>
      <c r="AH614" s="599"/>
    </row>
    <row r="615" spans="1:256" s="599" customFormat="1" ht="93.75" customHeight="1">
      <c r="A615" s="2073"/>
      <c r="B615" s="822" t="s">
        <v>3296</v>
      </c>
      <c r="C615" s="2483" t="s">
        <v>4715</v>
      </c>
      <c r="D615" s="741" t="s">
        <v>4915</v>
      </c>
      <c r="E615" s="741" t="s">
        <v>4664</v>
      </c>
      <c r="F615" s="1124" t="s">
        <v>4714</v>
      </c>
      <c r="J615" s="2088" t="s">
        <v>4721</v>
      </c>
      <c r="K615" s="599" t="s">
        <v>4722</v>
      </c>
      <c r="M615" s="1990" t="s">
        <v>4613</v>
      </c>
      <c r="N615" s="1809" t="s">
        <v>4614</v>
      </c>
      <c r="O615" s="1809">
        <v>665000</v>
      </c>
      <c r="P615" s="1809" t="s">
        <v>4615</v>
      </c>
      <c r="Q615" s="1808"/>
      <c r="R615" s="1809" t="s">
        <v>4603</v>
      </c>
      <c r="S615" s="1809" t="s">
        <v>4604</v>
      </c>
    </row>
    <row r="616" spans="1:256" s="599" customFormat="1" ht="80.25" customHeight="1">
      <c r="A616" s="2073"/>
      <c r="B616" s="606"/>
      <c r="C616" s="2484"/>
      <c r="D616" s="899"/>
      <c r="E616" s="899"/>
      <c r="F616" s="1200"/>
      <c r="J616" s="2088"/>
      <c r="L616" s="1880" t="s">
        <v>567</v>
      </c>
      <c r="M616" s="1304" t="s">
        <v>5079</v>
      </c>
      <c r="N616" s="599" t="s">
        <v>4633</v>
      </c>
      <c r="O616" s="446">
        <v>700000</v>
      </c>
      <c r="P616" s="2082"/>
      <c r="Q616" s="1791" t="s">
        <v>5080</v>
      </c>
      <c r="R616" s="2070" t="s">
        <v>5038</v>
      </c>
      <c r="S616" s="2082"/>
    </row>
    <row r="617" spans="1:256" s="599" customFormat="1" ht="91.5" customHeight="1">
      <c r="B617" s="606"/>
      <c r="C617" s="2484"/>
      <c r="D617" s="899" t="s">
        <v>4674</v>
      </c>
      <c r="E617" s="899"/>
      <c r="F617" s="1200"/>
      <c r="J617" s="2088" t="s">
        <v>4862</v>
      </c>
      <c r="K617" s="599" t="s">
        <v>5071</v>
      </c>
      <c r="M617" s="1304" t="s">
        <v>5037</v>
      </c>
      <c r="N617" s="599" t="s">
        <v>4633</v>
      </c>
      <c r="O617" s="446">
        <v>1700000</v>
      </c>
      <c r="Q617" s="1791" t="s">
        <v>4971</v>
      </c>
      <c r="R617" s="2070" t="s">
        <v>5038</v>
      </c>
    </row>
    <row r="618" spans="1:256" s="599" customFormat="1" ht="79.5" customHeight="1">
      <c r="B618" s="823"/>
      <c r="C618" s="2087"/>
      <c r="D618" s="899"/>
      <c r="E618" s="2087"/>
      <c r="F618" s="2089"/>
      <c r="M618" s="1971" t="s">
        <v>4716</v>
      </c>
      <c r="N618" s="599" t="s">
        <v>4531</v>
      </c>
      <c r="O618" s="599" t="s">
        <v>4533</v>
      </c>
      <c r="Q618" s="890"/>
    </row>
    <row r="619" spans="1:256" s="599" customFormat="1" ht="75.75" customHeight="1">
      <c r="B619" s="606"/>
      <c r="C619" s="2483" t="s">
        <v>4718</v>
      </c>
      <c r="D619" s="2483" t="s">
        <v>4916</v>
      </c>
      <c r="E619" s="2483"/>
      <c r="F619" s="2508" t="s">
        <v>4717</v>
      </c>
      <c r="G619" s="2483" t="s">
        <v>65</v>
      </c>
      <c r="H619" s="2483"/>
      <c r="I619" s="2483"/>
      <c r="M619" s="1971" t="s">
        <v>4761</v>
      </c>
      <c r="N619" s="2036" t="s">
        <v>4758</v>
      </c>
      <c r="O619" s="599" t="s">
        <v>4760</v>
      </c>
      <c r="Q619" s="890"/>
    </row>
    <row r="620" spans="1:256" s="599" customFormat="1" ht="208.5" customHeight="1">
      <c r="A620" s="2073"/>
      <c r="B620" s="823" t="s">
        <v>3296</v>
      </c>
      <c r="C620" s="2476"/>
      <c r="D620" s="2476"/>
      <c r="E620" s="2476"/>
      <c r="F620" s="2509"/>
      <c r="G620" s="2476"/>
      <c r="H620" s="2476"/>
      <c r="I620" s="2476"/>
      <c r="J620" s="2085">
        <v>2095000</v>
      </c>
      <c r="K620" s="599" t="s">
        <v>5071</v>
      </c>
      <c r="L620" s="1880" t="s">
        <v>567</v>
      </c>
      <c r="M620" s="599" t="s">
        <v>4737</v>
      </c>
      <c r="N620" s="599" t="s">
        <v>4688</v>
      </c>
      <c r="O620" s="599">
        <v>711600</v>
      </c>
      <c r="Q620" s="890"/>
    </row>
    <row r="621" spans="1:256" s="599" customFormat="1" ht="81" customHeight="1">
      <c r="B621" s="606"/>
      <c r="C621" s="2432" t="s">
        <v>4528</v>
      </c>
      <c r="D621" s="2485" t="s">
        <v>4598</v>
      </c>
      <c r="E621" s="2483" t="s">
        <v>3498</v>
      </c>
      <c r="F621" s="2483" t="s">
        <v>3497</v>
      </c>
      <c r="J621" s="2056"/>
      <c r="K621" s="1094"/>
      <c r="L621" s="2086"/>
      <c r="M621" s="1972" t="s">
        <v>4644</v>
      </c>
      <c r="N621" s="502" t="s">
        <v>4534</v>
      </c>
      <c r="O621" s="1016">
        <v>2404243.7999999998</v>
      </c>
      <c r="R621" s="2006"/>
    </row>
    <row r="622" spans="1:256" s="599" customFormat="1" ht="81.75" customHeight="1">
      <c r="A622" s="2073"/>
      <c r="B622" s="823" t="s">
        <v>3296</v>
      </c>
      <c r="C622" s="2433"/>
      <c r="D622" s="2487"/>
      <c r="E622" s="2476"/>
      <c r="F622" s="2476"/>
      <c r="J622" s="1105">
        <v>3500000</v>
      </c>
      <c r="K622" s="599" t="s">
        <v>4863</v>
      </c>
      <c r="L622" s="1880" t="s">
        <v>567</v>
      </c>
      <c r="M622" s="1973" t="s">
        <v>4535</v>
      </c>
      <c r="N622" s="599" t="s">
        <v>4529</v>
      </c>
      <c r="O622" s="599" t="s">
        <v>4530</v>
      </c>
      <c r="Q622" s="890"/>
      <c r="R622" s="1337"/>
    </row>
    <row r="623" spans="1:256" s="599" customFormat="1" ht="82.5" customHeight="1">
      <c r="A623" s="599">
        <v>7</v>
      </c>
      <c r="B623" s="446" t="s">
        <v>3296</v>
      </c>
      <c r="C623" s="599" t="s">
        <v>4675</v>
      </c>
      <c r="D623" s="599" t="s">
        <v>4917</v>
      </c>
      <c r="E623" s="599">
        <v>439680</v>
      </c>
      <c r="F623" s="601" t="s">
        <v>3429</v>
      </c>
      <c r="J623" s="599">
        <v>439680</v>
      </c>
      <c r="K623" s="599" t="s">
        <v>5071</v>
      </c>
      <c r="M623" s="1971" t="s">
        <v>4532</v>
      </c>
      <c r="N623" s="599" t="s">
        <v>4531</v>
      </c>
      <c r="O623" s="599" t="s">
        <v>4533</v>
      </c>
      <c r="Q623" s="890"/>
      <c r="R623" s="1337"/>
    </row>
    <row r="624" spans="1:256" s="1722" customFormat="1" ht="150" customHeight="1">
      <c r="A624" s="599">
        <v>5</v>
      </c>
      <c r="B624" s="446" t="s">
        <v>3296</v>
      </c>
      <c r="C624" s="502" t="s">
        <v>4363</v>
      </c>
      <c r="D624" s="599" t="s">
        <v>4918</v>
      </c>
      <c r="E624" s="599" t="s">
        <v>4699</v>
      </c>
      <c r="F624" s="2091" t="s">
        <v>4723</v>
      </c>
      <c r="G624" s="599"/>
      <c r="H624" s="599"/>
      <c r="I624" s="599"/>
      <c r="J624" s="599" t="s">
        <v>5082</v>
      </c>
      <c r="K624" s="599" t="s">
        <v>5083</v>
      </c>
      <c r="L624" s="1882" t="s">
        <v>5093</v>
      </c>
      <c r="M624" s="599"/>
      <c r="N624" s="599"/>
      <c r="O624" s="599"/>
      <c r="P624" s="599"/>
      <c r="Q624" s="890"/>
      <c r="R624" s="892"/>
      <c r="S624" s="890"/>
      <c r="T624" s="599"/>
      <c r="U624" s="599"/>
      <c r="V624" s="599"/>
      <c r="W624" s="599"/>
      <c r="X624" s="599"/>
      <c r="Y624" s="599"/>
      <c r="Z624" s="599"/>
      <c r="AA624" s="599"/>
      <c r="AB624" s="599"/>
      <c r="AC624" s="599"/>
      <c r="AD624" s="599"/>
      <c r="AE624" s="599"/>
      <c r="AF624" s="599"/>
      <c r="AG624" s="599"/>
      <c r="AH624" s="599"/>
      <c r="AI624" s="599"/>
      <c r="AJ624" s="599"/>
      <c r="AK624" s="599"/>
      <c r="AL624" s="599"/>
      <c r="AM624" s="599"/>
      <c r="AN624" s="599"/>
      <c r="AO624" s="599"/>
      <c r="AP624" s="599"/>
      <c r="AQ624" s="599"/>
      <c r="AR624" s="599"/>
      <c r="AS624" s="599"/>
      <c r="AT624" s="599"/>
      <c r="AU624" s="599"/>
      <c r="AV624" s="599"/>
      <c r="AW624" s="599"/>
      <c r="AX624" s="599"/>
      <c r="AY624" s="599"/>
      <c r="AZ624" s="599"/>
      <c r="BA624" s="599"/>
      <c r="BB624" s="599"/>
      <c r="BC624" s="599"/>
      <c r="BD624" s="599"/>
      <c r="BE624" s="599"/>
      <c r="BF624" s="599"/>
      <c r="BG624" s="599"/>
      <c r="BH624" s="599"/>
      <c r="BI624" s="599"/>
      <c r="BJ624" s="599"/>
      <c r="BK624" s="599"/>
      <c r="BL624" s="599"/>
      <c r="BM624" s="599"/>
      <c r="BN624" s="599"/>
      <c r="BO624" s="599"/>
      <c r="BP624" s="599"/>
      <c r="BQ624" s="599"/>
      <c r="BR624" s="599"/>
      <c r="BS624" s="599"/>
      <c r="BT624" s="599"/>
      <c r="BU624" s="599"/>
      <c r="BV624" s="599"/>
      <c r="BW624" s="599"/>
      <c r="BX624" s="599"/>
      <c r="BY624" s="599"/>
      <c r="BZ624" s="599"/>
      <c r="CA624" s="599"/>
      <c r="CB624" s="599"/>
      <c r="CC624" s="599"/>
      <c r="CD624" s="599"/>
      <c r="CE624" s="599"/>
      <c r="CF624" s="599"/>
      <c r="CG624" s="599"/>
      <c r="CH624" s="599"/>
      <c r="CI624" s="599"/>
      <c r="CJ624" s="599"/>
      <c r="CK624" s="599"/>
      <c r="CL624" s="599"/>
      <c r="CM624" s="599"/>
      <c r="CN624" s="599"/>
      <c r="CO624" s="599"/>
      <c r="CP624" s="599"/>
      <c r="CQ624" s="599"/>
      <c r="CR624" s="599"/>
      <c r="CS624" s="599"/>
      <c r="CT624" s="599"/>
      <c r="CU624" s="599"/>
      <c r="CV624" s="599"/>
      <c r="CW624" s="599"/>
      <c r="CX624" s="599"/>
      <c r="CY624" s="599"/>
      <c r="CZ624" s="599"/>
      <c r="DA624" s="599"/>
      <c r="DB624" s="599"/>
      <c r="DC624" s="599"/>
      <c r="DD624" s="599"/>
      <c r="DE624" s="599"/>
      <c r="DF624" s="599"/>
      <c r="DG624" s="599"/>
      <c r="DH624" s="599"/>
      <c r="DI624" s="599"/>
      <c r="DJ624" s="599"/>
      <c r="DK624" s="599"/>
      <c r="DL624" s="599"/>
      <c r="DM624" s="599"/>
      <c r="DN624" s="599"/>
      <c r="DO624" s="599"/>
      <c r="DP624" s="599"/>
      <c r="DQ624" s="599"/>
      <c r="DR624" s="599"/>
      <c r="DS624" s="599"/>
      <c r="DT624" s="599"/>
      <c r="DU624" s="599"/>
      <c r="DV624" s="599"/>
      <c r="DW624" s="599"/>
      <c r="DX624" s="599"/>
      <c r="DY624" s="599"/>
      <c r="DZ624" s="599"/>
      <c r="EA624" s="599"/>
      <c r="EB624" s="599"/>
      <c r="EC624" s="599"/>
      <c r="ED624" s="599"/>
      <c r="EE624" s="599"/>
      <c r="EF624" s="599"/>
      <c r="EG624" s="599"/>
      <c r="EH624" s="599"/>
      <c r="EI624" s="599"/>
      <c r="EJ624" s="599"/>
      <c r="EK624" s="599"/>
      <c r="EL624" s="599"/>
      <c r="EM624" s="599"/>
      <c r="EN624" s="599"/>
      <c r="EO624" s="599"/>
      <c r="EP624" s="599"/>
      <c r="EQ624" s="599"/>
      <c r="ER624" s="599"/>
      <c r="ES624" s="599"/>
      <c r="ET624" s="599"/>
      <c r="EU624" s="599"/>
      <c r="EV624" s="599"/>
      <c r="EW624" s="599"/>
      <c r="EX624" s="599"/>
      <c r="EY624" s="599"/>
      <c r="EZ624" s="599"/>
      <c r="FA624" s="599"/>
      <c r="FB624" s="599"/>
      <c r="FC624" s="599"/>
      <c r="FD624" s="599"/>
      <c r="FE624" s="599"/>
      <c r="FF624" s="599"/>
      <c r="FG624" s="599"/>
      <c r="FH624" s="599"/>
      <c r="FI624" s="599"/>
      <c r="FJ624" s="599"/>
      <c r="FK624" s="599"/>
      <c r="FL624" s="599"/>
      <c r="FM624" s="599"/>
      <c r="FN624" s="599"/>
      <c r="FO624" s="599"/>
      <c r="FP624" s="599"/>
      <c r="FQ624" s="599"/>
      <c r="FR624" s="599"/>
      <c r="FS624" s="599"/>
      <c r="FT624" s="599"/>
      <c r="FU624" s="599"/>
      <c r="FV624" s="599"/>
      <c r="FW624" s="599"/>
      <c r="FX624" s="599"/>
      <c r="FY624" s="599"/>
      <c r="FZ624" s="599"/>
      <c r="GA624" s="599"/>
      <c r="GB624" s="599"/>
      <c r="GC624" s="599"/>
      <c r="GD624" s="599"/>
      <c r="GE624" s="599"/>
      <c r="GF624" s="599"/>
      <c r="GG624" s="599"/>
      <c r="GH624" s="599"/>
      <c r="GI624" s="599"/>
      <c r="GJ624" s="599"/>
      <c r="GK624" s="599"/>
      <c r="GL624" s="599"/>
      <c r="GM624" s="599"/>
      <c r="GN624" s="599"/>
      <c r="GO624" s="599"/>
      <c r="GP624" s="599"/>
      <c r="GQ624" s="599"/>
      <c r="GR624" s="599"/>
      <c r="GS624" s="599"/>
      <c r="GT624" s="599"/>
      <c r="GU624" s="599"/>
      <c r="GV624" s="599"/>
      <c r="GW624" s="599"/>
      <c r="GX624" s="599"/>
      <c r="GY624" s="599"/>
      <c r="GZ624" s="599"/>
      <c r="HA624" s="599"/>
      <c r="HB624" s="599"/>
      <c r="HC624" s="599"/>
      <c r="HD624" s="599"/>
      <c r="HE624" s="599"/>
      <c r="HF624" s="599"/>
      <c r="HG624" s="599"/>
      <c r="HH624" s="599"/>
      <c r="HI624" s="599"/>
      <c r="HJ624" s="599"/>
      <c r="HK624" s="599"/>
      <c r="HL624" s="599"/>
      <c r="HM624" s="599"/>
      <c r="HN624" s="599"/>
      <c r="HO624" s="599"/>
      <c r="HP624" s="599"/>
      <c r="HQ624" s="599"/>
      <c r="HR624" s="599"/>
      <c r="HS624" s="599"/>
      <c r="HT624" s="599"/>
      <c r="HU624" s="599"/>
      <c r="HV624" s="599"/>
      <c r="HW624" s="599"/>
      <c r="HX624" s="599"/>
      <c r="HY624" s="599"/>
      <c r="HZ624" s="599"/>
      <c r="IA624" s="599"/>
      <c r="IB624" s="599"/>
      <c r="IC624" s="599"/>
      <c r="ID624" s="599"/>
      <c r="IE624" s="599"/>
      <c r="IF624" s="599"/>
      <c r="IG624" s="599"/>
      <c r="IH624" s="599"/>
      <c r="II624" s="599"/>
      <c r="IJ624" s="599"/>
      <c r="IK624" s="599"/>
      <c r="IL624" s="599"/>
      <c r="IM624" s="599"/>
      <c r="IN624" s="599"/>
      <c r="IO624" s="599"/>
      <c r="IP624" s="599"/>
      <c r="IQ624" s="599"/>
      <c r="IR624" s="599"/>
      <c r="IS624" s="599"/>
      <c r="IT624" s="599"/>
      <c r="IU624" s="599"/>
      <c r="IV624" s="599"/>
    </row>
    <row r="625" spans="1:256" s="1722" customFormat="1" ht="136.5" customHeight="1">
      <c r="A625" s="599">
        <v>6</v>
      </c>
      <c r="B625" s="446" t="s">
        <v>3296</v>
      </c>
      <c r="C625" s="599" t="s">
        <v>4511</v>
      </c>
      <c r="D625" s="599" t="s">
        <v>4660</v>
      </c>
      <c r="E625" s="599" t="s">
        <v>1691</v>
      </c>
      <c r="F625" s="2090" t="s">
        <v>4864</v>
      </c>
      <c r="G625" s="599" t="s">
        <v>4362</v>
      </c>
      <c r="H625" s="599"/>
      <c r="I625" s="2090"/>
      <c r="J625" s="599" t="s">
        <v>4819</v>
      </c>
      <c r="K625" s="599" t="s">
        <v>4801</v>
      </c>
      <c r="L625" s="1882" t="s">
        <v>567</v>
      </c>
      <c r="M625" s="599"/>
      <c r="N625" s="599"/>
      <c r="O625" s="599"/>
      <c r="P625" s="1515"/>
      <c r="Q625" s="599"/>
      <c r="R625" s="599"/>
      <c r="S625" s="599"/>
      <c r="T625" s="599"/>
      <c r="U625" s="599"/>
      <c r="V625" s="599"/>
      <c r="W625" s="599"/>
      <c r="X625" s="599"/>
      <c r="Y625" s="599"/>
      <c r="Z625" s="599"/>
      <c r="AA625" s="599"/>
      <c r="AB625" s="599"/>
      <c r="AC625" s="599"/>
      <c r="AD625" s="599"/>
      <c r="AE625" s="599"/>
      <c r="AF625" s="599"/>
      <c r="AG625" s="599"/>
      <c r="AH625" s="599"/>
      <c r="AI625" s="599"/>
      <c r="AJ625" s="599"/>
      <c r="AK625" s="599"/>
      <c r="AL625" s="599"/>
      <c r="AM625" s="599"/>
      <c r="AN625" s="599"/>
      <c r="AO625" s="599"/>
      <c r="AP625" s="599"/>
      <c r="AQ625" s="599"/>
      <c r="AR625" s="599"/>
      <c r="AS625" s="599"/>
      <c r="AT625" s="599"/>
      <c r="AU625" s="599"/>
      <c r="AV625" s="599"/>
      <c r="AW625" s="599"/>
      <c r="AX625" s="599"/>
      <c r="AY625" s="599"/>
      <c r="AZ625" s="599"/>
      <c r="BA625" s="599"/>
      <c r="BB625" s="599"/>
      <c r="BC625" s="599"/>
      <c r="BD625" s="599"/>
      <c r="BE625" s="599"/>
      <c r="BF625" s="599"/>
      <c r="BG625" s="599"/>
      <c r="BH625" s="599"/>
      <c r="BI625" s="599"/>
      <c r="BJ625" s="599"/>
      <c r="BK625" s="599"/>
      <c r="BL625" s="599"/>
      <c r="BM625" s="599"/>
      <c r="BN625" s="599"/>
      <c r="BO625" s="599"/>
      <c r="BP625" s="599"/>
      <c r="BQ625" s="599"/>
      <c r="BR625" s="599"/>
      <c r="BS625" s="599"/>
      <c r="BT625" s="599"/>
      <c r="BU625" s="599"/>
      <c r="BV625" s="599"/>
      <c r="BW625" s="599"/>
      <c r="BX625" s="599"/>
      <c r="BY625" s="599"/>
      <c r="BZ625" s="599"/>
      <c r="CA625" s="599"/>
      <c r="CB625" s="599"/>
      <c r="CC625" s="599"/>
      <c r="CD625" s="599"/>
      <c r="CE625" s="599"/>
      <c r="CF625" s="599"/>
      <c r="CG625" s="599"/>
      <c r="CH625" s="599"/>
      <c r="CI625" s="599"/>
      <c r="CJ625" s="599"/>
      <c r="CK625" s="599"/>
      <c r="CL625" s="599"/>
      <c r="CM625" s="599"/>
      <c r="CN625" s="599"/>
      <c r="CO625" s="599"/>
      <c r="CP625" s="599"/>
      <c r="CQ625" s="599"/>
      <c r="CR625" s="599"/>
      <c r="CS625" s="599"/>
      <c r="CT625" s="599"/>
      <c r="CU625" s="599"/>
      <c r="CV625" s="599"/>
      <c r="CW625" s="599"/>
      <c r="CX625" s="599"/>
      <c r="CY625" s="599"/>
      <c r="CZ625" s="599"/>
      <c r="DA625" s="599"/>
      <c r="DB625" s="599"/>
      <c r="DC625" s="599"/>
      <c r="DD625" s="599"/>
      <c r="DE625" s="599"/>
      <c r="DF625" s="599"/>
      <c r="DG625" s="599"/>
      <c r="DH625" s="599"/>
      <c r="DI625" s="599"/>
      <c r="DJ625" s="599"/>
      <c r="DK625" s="599"/>
      <c r="DL625" s="599"/>
      <c r="DM625" s="599"/>
      <c r="DN625" s="599"/>
      <c r="DO625" s="599"/>
      <c r="DP625" s="599"/>
      <c r="DQ625" s="599"/>
      <c r="DR625" s="599"/>
      <c r="DS625" s="599"/>
      <c r="DT625" s="599"/>
      <c r="DU625" s="599"/>
      <c r="DV625" s="599"/>
      <c r="DW625" s="599"/>
      <c r="DX625" s="599"/>
      <c r="DY625" s="599"/>
      <c r="DZ625" s="599"/>
      <c r="EA625" s="599"/>
      <c r="EB625" s="599"/>
      <c r="EC625" s="599"/>
      <c r="ED625" s="599"/>
      <c r="EE625" s="599"/>
      <c r="EF625" s="599"/>
      <c r="EG625" s="599"/>
      <c r="EH625" s="599"/>
      <c r="EI625" s="599"/>
      <c r="EJ625" s="599"/>
      <c r="EK625" s="599"/>
      <c r="EL625" s="599"/>
      <c r="EM625" s="599"/>
      <c r="EN625" s="599"/>
      <c r="EO625" s="599"/>
      <c r="EP625" s="599"/>
      <c r="EQ625" s="599"/>
      <c r="ER625" s="599"/>
      <c r="ES625" s="599"/>
      <c r="ET625" s="599"/>
      <c r="EU625" s="599"/>
      <c r="EV625" s="599"/>
      <c r="EW625" s="599"/>
      <c r="EX625" s="599"/>
      <c r="EY625" s="599"/>
      <c r="EZ625" s="599"/>
      <c r="FA625" s="599"/>
      <c r="FB625" s="599"/>
      <c r="FC625" s="599"/>
      <c r="FD625" s="599"/>
      <c r="FE625" s="599"/>
      <c r="FF625" s="599"/>
      <c r="FG625" s="599"/>
      <c r="FH625" s="599"/>
      <c r="FI625" s="599"/>
      <c r="FJ625" s="599"/>
      <c r="FK625" s="599"/>
      <c r="FL625" s="599"/>
      <c r="FM625" s="599"/>
      <c r="FN625" s="599"/>
      <c r="FO625" s="599"/>
      <c r="FP625" s="599"/>
      <c r="FQ625" s="599"/>
      <c r="FR625" s="599"/>
      <c r="FS625" s="599"/>
      <c r="FT625" s="599"/>
      <c r="FU625" s="599"/>
      <c r="FV625" s="599"/>
      <c r="FW625" s="599"/>
      <c r="FX625" s="599"/>
      <c r="FY625" s="599"/>
      <c r="FZ625" s="599"/>
      <c r="GA625" s="599"/>
      <c r="GB625" s="599"/>
      <c r="GC625" s="599"/>
      <c r="GD625" s="599"/>
      <c r="GE625" s="599"/>
      <c r="GF625" s="599"/>
      <c r="GG625" s="599"/>
      <c r="GH625" s="599"/>
      <c r="GI625" s="599"/>
      <c r="GJ625" s="599"/>
      <c r="GK625" s="599"/>
      <c r="GL625" s="599"/>
      <c r="GM625" s="599"/>
      <c r="GN625" s="599"/>
      <c r="GO625" s="599"/>
      <c r="GP625" s="599"/>
      <c r="GQ625" s="599"/>
      <c r="GR625" s="599"/>
      <c r="GS625" s="599"/>
      <c r="GT625" s="599"/>
      <c r="GU625" s="599"/>
      <c r="GV625" s="599"/>
      <c r="GW625" s="599"/>
      <c r="GX625" s="599"/>
      <c r="GY625" s="599"/>
      <c r="GZ625" s="599"/>
      <c r="HA625" s="599"/>
      <c r="HB625" s="599"/>
      <c r="HC625" s="599"/>
      <c r="HD625" s="599"/>
      <c r="HE625" s="599"/>
      <c r="HF625" s="599"/>
      <c r="HG625" s="599"/>
      <c r="HH625" s="599"/>
      <c r="HI625" s="599"/>
      <c r="HJ625" s="599"/>
      <c r="HK625" s="599"/>
      <c r="HL625" s="599"/>
      <c r="HM625" s="599"/>
      <c r="HN625" s="599"/>
      <c r="HO625" s="599"/>
      <c r="HP625" s="599"/>
      <c r="HQ625" s="599"/>
      <c r="HR625" s="599"/>
      <c r="HS625" s="599"/>
      <c r="HT625" s="599"/>
      <c r="HU625" s="599"/>
      <c r="HV625" s="599"/>
      <c r="HW625" s="599"/>
      <c r="HX625" s="599"/>
      <c r="HY625" s="599"/>
      <c r="HZ625" s="599"/>
      <c r="IA625" s="599"/>
      <c r="IB625" s="599"/>
      <c r="IC625" s="599"/>
      <c r="ID625" s="599"/>
      <c r="IE625" s="599"/>
      <c r="IF625" s="599"/>
      <c r="IG625" s="599"/>
      <c r="IH625" s="599"/>
      <c r="II625" s="599"/>
      <c r="IJ625" s="599"/>
      <c r="IK625" s="599"/>
      <c r="IL625" s="599"/>
      <c r="IM625" s="599"/>
      <c r="IN625" s="599"/>
      <c r="IO625" s="599"/>
      <c r="IP625" s="599"/>
      <c r="IQ625" s="599"/>
      <c r="IR625" s="599"/>
      <c r="IS625" s="599"/>
      <c r="IT625" s="599"/>
      <c r="IU625" s="599"/>
      <c r="IV625" s="599"/>
    </row>
    <row r="626" spans="1:256" s="1722" customFormat="1" ht="63" customHeight="1">
      <c r="A626" s="599"/>
      <c r="B626" s="446" t="s">
        <v>3296</v>
      </c>
      <c r="C626" s="502" t="s">
        <v>4658</v>
      </c>
      <c r="D626" s="599" t="s">
        <v>4919</v>
      </c>
      <c r="E626" s="599"/>
      <c r="F626" s="2091">
        <v>1926257</v>
      </c>
      <c r="G626" s="599"/>
      <c r="H626" s="599"/>
      <c r="I626" s="599"/>
      <c r="J626" s="599">
        <v>967050</v>
      </c>
      <c r="K626" s="599" t="s">
        <v>5071</v>
      </c>
      <c r="L626" s="1880" t="s">
        <v>567</v>
      </c>
      <c r="M626" s="599"/>
      <c r="N626" s="599"/>
      <c r="O626" s="599"/>
      <c r="P626" s="1515"/>
      <c r="Q626" s="599"/>
      <c r="R626" s="599"/>
      <c r="S626" s="599"/>
      <c r="T626" s="599"/>
      <c r="U626" s="599"/>
      <c r="V626" s="599"/>
      <c r="W626" s="599"/>
      <c r="X626" s="599"/>
      <c r="Y626" s="599"/>
      <c r="Z626" s="599"/>
      <c r="AA626" s="599"/>
      <c r="AB626" s="599"/>
      <c r="AC626" s="599"/>
      <c r="AD626" s="599"/>
      <c r="AE626" s="599"/>
      <c r="AF626" s="599"/>
      <c r="AG626" s="599"/>
      <c r="AH626" s="599"/>
      <c r="AI626" s="599"/>
      <c r="AJ626" s="599"/>
      <c r="AK626" s="599"/>
      <c r="AL626" s="599"/>
      <c r="AM626" s="599"/>
      <c r="AN626" s="599"/>
      <c r="AO626" s="599"/>
      <c r="AP626" s="599"/>
      <c r="AQ626" s="599"/>
      <c r="AR626" s="599"/>
      <c r="AS626" s="599"/>
      <c r="AT626" s="599"/>
      <c r="AU626" s="599"/>
      <c r="AV626" s="599"/>
      <c r="AW626" s="599"/>
      <c r="AX626" s="599"/>
      <c r="AY626" s="599"/>
      <c r="AZ626" s="599"/>
      <c r="BA626" s="599"/>
      <c r="BB626" s="599"/>
      <c r="BC626" s="599"/>
      <c r="BD626" s="599"/>
      <c r="BE626" s="599"/>
      <c r="BF626" s="599"/>
      <c r="BG626" s="599"/>
      <c r="BH626" s="599"/>
      <c r="BI626" s="599"/>
      <c r="BJ626" s="599"/>
      <c r="BK626" s="599"/>
      <c r="BL626" s="599"/>
      <c r="BM626" s="599"/>
      <c r="BN626" s="599"/>
      <c r="BO626" s="599"/>
      <c r="BP626" s="599"/>
      <c r="BQ626" s="599"/>
      <c r="BR626" s="599"/>
      <c r="BS626" s="599"/>
      <c r="BT626" s="599"/>
      <c r="BU626" s="599"/>
      <c r="BV626" s="599"/>
      <c r="BW626" s="599"/>
      <c r="BX626" s="599"/>
      <c r="BY626" s="599"/>
      <c r="BZ626" s="599"/>
      <c r="CA626" s="599"/>
      <c r="CB626" s="599"/>
      <c r="CC626" s="599"/>
      <c r="CD626" s="599"/>
      <c r="CE626" s="599"/>
      <c r="CF626" s="599"/>
      <c r="CG626" s="599"/>
      <c r="CH626" s="599"/>
      <c r="CI626" s="599"/>
      <c r="CJ626" s="599"/>
      <c r="CK626" s="599"/>
      <c r="CL626" s="599"/>
      <c r="CM626" s="599"/>
      <c r="CN626" s="599"/>
      <c r="CO626" s="599"/>
      <c r="CP626" s="599"/>
      <c r="CQ626" s="599"/>
      <c r="CR626" s="599"/>
      <c r="CS626" s="599"/>
      <c r="CT626" s="599"/>
      <c r="CU626" s="599"/>
      <c r="CV626" s="599"/>
      <c r="CW626" s="599"/>
      <c r="CX626" s="599"/>
      <c r="CY626" s="599"/>
      <c r="CZ626" s="599"/>
      <c r="DA626" s="599"/>
      <c r="DB626" s="599"/>
      <c r="DC626" s="599"/>
      <c r="DD626" s="599"/>
      <c r="DE626" s="599"/>
      <c r="DF626" s="599"/>
      <c r="DG626" s="599"/>
      <c r="DH626" s="599"/>
      <c r="DI626" s="599"/>
      <c r="DJ626" s="599"/>
      <c r="DK626" s="599"/>
      <c r="DL626" s="599"/>
      <c r="DM626" s="599"/>
      <c r="DN626" s="599"/>
      <c r="DO626" s="599"/>
      <c r="DP626" s="599"/>
      <c r="DQ626" s="599"/>
      <c r="DR626" s="599"/>
      <c r="DS626" s="599"/>
      <c r="DT626" s="599"/>
      <c r="DU626" s="599"/>
      <c r="DV626" s="599"/>
      <c r="DW626" s="599"/>
      <c r="DX626" s="599"/>
      <c r="DY626" s="599"/>
      <c r="DZ626" s="599"/>
      <c r="EA626" s="599"/>
      <c r="EB626" s="599"/>
      <c r="EC626" s="599"/>
      <c r="ED626" s="599"/>
      <c r="EE626" s="599"/>
      <c r="EF626" s="599"/>
      <c r="EG626" s="599"/>
      <c r="EH626" s="599"/>
      <c r="EI626" s="599"/>
      <c r="EJ626" s="599"/>
      <c r="EK626" s="599"/>
      <c r="EL626" s="599"/>
      <c r="EM626" s="599"/>
      <c r="EN626" s="599"/>
      <c r="EO626" s="599"/>
      <c r="EP626" s="599"/>
      <c r="EQ626" s="599"/>
      <c r="ER626" s="599"/>
      <c r="ES626" s="599"/>
      <c r="ET626" s="599"/>
      <c r="EU626" s="599"/>
      <c r="EV626" s="599"/>
      <c r="EW626" s="599"/>
      <c r="EX626" s="599"/>
      <c r="EY626" s="599"/>
      <c r="EZ626" s="599"/>
      <c r="FA626" s="599"/>
      <c r="FB626" s="599"/>
      <c r="FC626" s="599"/>
      <c r="FD626" s="599"/>
      <c r="FE626" s="599"/>
      <c r="FF626" s="599"/>
      <c r="FG626" s="599"/>
      <c r="FH626" s="599"/>
      <c r="FI626" s="599"/>
      <c r="FJ626" s="599"/>
      <c r="FK626" s="599"/>
      <c r="FL626" s="599"/>
      <c r="FM626" s="599"/>
      <c r="FN626" s="599"/>
      <c r="FO626" s="599"/>
      <c r="FP626" s="599"/>
      <c r="FQ626" s="599"/>
      <c r="FR626" s="599"/>
      <c r="FS626" s="599"/>
      <c r="FT626" s="599"/>
      <c r="FU626" s="599"/>
      <c r="FV626" s="599"/>
      <c r="FW626" s="599"/>
      <c r="FX626" s="599"/>
      <c r="FY626" s="599"/>
      <c r="FZ626" s="599"/>
      <c r="GA626" s="599"/>
      <c r="GB626" s="599"/>
      <c r="GC626" s="599"/>
      <c r="GD626" s="599"/>
      <c r="GE626" s="599"/>
      <c r="GF626" s="599"/>
      <c r="GG626" s="599"/>
      <c r="GH626" s="599"/>
      <c r="GI626" s="599"/>
      <c r="GJ626" s="599"/>
      <c r="GK626" s="599"/>
      <c r="GL626" s="599"/>
      <c r="GM626" s="599"/>
      <c r="GN626" s="599"/>
      <c r="GO626" s="599"/>
      <c r="GP626" s="599"/>
      <c r="GQ626" s="599"/>
      <c r="GR626" s="599"/>
      <c r="GS626" s="599"/>
      <c r="GT626" s="599"/>
      <c r="GU626" s="599"/>
      <c r="GV626" s="599"/>
      <c r="GW626" s="599"/>
      <c r="GX626" s="599"/>
      <c r="GY626" s="599"/>
      <c r="GZ626" s="599"/>
      <c r="HA626" s="599"/>
      <c r="HB626" s="599"/>
      <c r="HC626" s="599"/>
      <c r="HD626" s="599"/>
      <c r="HE626" s="599"/>
      <c r="HF626" s="599"/>
      <c r="HG626" s="599"/>
      <c r="HH626" s="599"/>
      <c r="HI626" s="599"/>
      <c r="HJ626" s="599"/>
      <c r="HK626" s="599"/>
      <c r="HL626" s="599"/>
      <c r="HM626" s="599"/>
      <c r="HN626" s="599"/>
      <c r="HO626" s="599"/>
      <c r="HP626" s="599"/>
      <c r="HQ626" s="599"/>
      <c r="HR626" s="599"/>
      <c r="HS626" s="599"/>
      <c r="HT626" s="599"/>
      <c r="HU626" s="599"/>
      <c r="HV626" s="599"/>
      <c r="HW626" s="599"/>
      <c r="HX626" s="599"/>
      <c r="HY626" s="599"/>
      <c r="HZ626" s="599"/>
      <c r="IA626" s="599"/>
      <c r="IB626" s="599"/>
      <c r="IC626" s="599"/>
      <c r="ID626" s="599"/>
      <c r="IE626" s="599"/>
      <c r="IF626" s="599"/>
      <c r="IG626" s="599"/>
      <c r="IH626" s="599"/>
      <c r="II626" s="599"/>
      <c r="IJ626" s="599"/>
      <c r="IK626" s="599"/>
      <c r="IL626" s="599"/>
      <c r="IM626" s="599"/>
      <c r="IN626" s="599"/>
      <c r="IO626" s="599"/>
      <c r="IP626" s="599"/>
      <c r="IQ626" s="599"/>
      <c r="IR626" s="599"/>
      <c r="IS626" s="599"/>
      <c r="IT626" s="599"/>
      <c r="IU626" s="599"/>
      <c r="IV626" s="599"/>
    </row>
    <row r="627" spans="1:256" s="1722" customFormat="1" ht="63" customHeight="1">
      <c r="A627" s="599"/>
      <c r="B627" s="446" t="s">
        <v>3296</v>
      </c>
      <c r="C627" s="502" t="s">
        <v>4659</v>
      </c>
      <c r="D627" s="599" t="s">
        <v>4689</v>
      </c>
      <c r="E627" s="599"/>
      <c r="F627" s="2091">
        <v>406810</v>
      </c>
      <c r="G627" s="599"/>
      <c r="H627" s="599"/>
      <c r="I627" s="599"/>
      <c r="J627" s="599">
        <v>406810</v>
      </c>
      <c r="K627" s="1094" t="s">
        <v>5071</v>
      </c>
      <c r="L627" s="1880" t="s">
        <v>567</v>
      </c>
      <c r="M627" s="599"/>
      <c r="N627" s="599"/>
      <c r="O627" s="599"/>
      <c r="P627" s="1515"/>
      <c r="Q627" s="599"/>
      <c r="R627" s="599"/>
      <c r="S627" s="599"/>
      <c r="T627" s="599"/>
      <c r="U627" s="599"/>
      <c r="V627" s="599"/>
      <c r="W627" s="599"/>
      <c r="X627" s="599"/>
      <c r="Y627" s="599"/>
      <c r="Z627" s="599"/>
      <c r="AA627" s="599"/>
      <c r="AB627" s="599"/>
      <c r="AC627" s="599"/>
      <c r="AD627" s="599"/>
      <c r="AE627" s="599"/>
      <c r="AF627" s="599"/>
      <c r="AG627" s="599"/>
      <c r="AH627" s="599"/>
      <c r="AI627" s="599"/>
      <c r="AJ627" s="599"/>
      <c r="AK627" s="599"/>
      <c r="AL627" s="599"/>
      <c r="AM627" s="599"/>
      <c r="AN627" s="599"/>
      <c r="AO627" s="599"/>
      <c r="AP627" s="599"/>
      <c r="AQ627" s="599"/>
      <c r="AR627" s="599"/>
      <c r="AS627" s="599"/>
      <c r="AT627" s="599"/>
      <c r="AU627" s="599"/>
      <c r="AV627" s="599"/>
      <c r="AW627" s="599"/>
      <c r="AX627" s="599"/>
      <c r="AY627" s="599"/>
      <c r="AZ627" s="599"/>
      <c r="BA627" s="599"/>
      <c r="BB627" s="599"/>
      <c r="BC627" s="599"/>
      <c r="BD627" s="599"/>
      <c r="BE627" s="599"/>
      <c r="BF627" s="599"/>
      <c r="BG627" s="599"/>
      <c r="BH627" s="599"/>
      <c r="BI627" s="599"/>
      <c r="BJ627" s="599"/>
      <c r="BK627" s="599"/>
      <c r="BL627" s="599"/>
      <c r="BM627" s="599"/>
      <c r="BN627" s="599"/>
      <c r="BO627" s="599"/>
      <c r="BP627" s="599"/>
      <c r="BQ627" s="599"/>
      <c r="BR627" s="599"/>
      <c r="BS627" s="599"/>
      <c r="BT627" s="599"/>
      <c r="BU627" s="599"/>
      <c r="BV627" s="599"/>
      <c r="BW627" s="599"/>
      <c r="BX627" s="599"/>
      <c r="BY627" s="599"/>
      <c r="BZ627" s="599"/>
      <c r="CA627" s="599"/>
      <c r="CB627" s="599"/>
      <c r="CC627" s="599"/>
      <c r="CD627" s="599"/>
      <c r="CE627" s="599"/>
      <c r="CF627" s="599"/>
      <c r="CG627" s="599"/>
      <c r="CH627" s="599"/>
      <c r="CI627" s="599"/>
      <c r="CJ627" s="599"/>
      <c r="CK627" s="599"/>
      <c r="CL627" s="599"/>
      <c r="CM627" s="599"/>
      <c r="CN627" s="599"/>
      <c r="CO627" s="599"/>
      <c r="CP627" s="599"/>
      <c r="CQ627" s="599"/>
      <c r="CR627" s="599"/>
      <c r="CS627" s="599"/>
      <c r="CT627" s="599"/>
      <c r="CU627" s="599"/>
      <c r="CV627" s="599"/>
      <c r="CW627" s="599"/>
      <c r="CX627" s="599"/>
      <c r="CY627" s="599"/>
      <c r="CZ627" s="599"/>
      <c r="DA627" s="599"/>
      <c r="DB627" s="599"/>
      <c r="DC627" s="599"/>
      <c r="DD627" s="599"/>
      <c r="DE627" s="599"/>
      <c r="DF627" s="599"/>
      <c r="DG627" s="599"/>
      <c r="DH627" s="599"/>
      <c r="DI627" s="599"/>
      <c r="DJ627" s="599"/>
      <c r="DK627" s="599"/>
      <c r="DL627" s="599"/>
      <c r="DM627" s="599"/>
      <c r="DN627" s="599"/>
      <c r="DO627" s="599"/>
      <c r="DP627" s="599"/>
      <c r="DQ627" s="599"/>
      <c r="DR627" s="599"/>
      <c r="DS627" s="599"/>
      <c r="DT627" s="599"/>
      <c r="DU627" s="599"/>
      <c r="DV627" s="599"/>
      <c r="DW627" s="599"/>
      <c r="DX627" s="599"/>
      <c r="DY627" s="599"/>
      <c r="DZ627" s="599"/>
      <c r="EA627" s="599"/>
      <c r="EB627" s="599"/>
      <c r="EC627" s="599"/>
      <c r="ED627" s="599"/>
      <c r="EE627" s="599"/>
      <c r="EF627" s="599"/>
      <c r="EG627" s="599"/>
      <c r="EH627" s="599"/>
      <c r="EI627" s="599"/>
      <c r="EJ627" s="599"/>
      <c r="EK627" s="599"/>
      <c r="EL627" s="599"/>
      <c r="EM627" s="599"/>
      <c r="EN627" s="599"/>
      <c r="EO627" s="599"/>
      <c r="EP627" s="599"/>
      <c r="EQ627" s="599"/>
      <c r="ER627" s="599"/>
      <c r="ES627" s="599"/>
      <c r="ET627" s="599"/>
      <c r="EU627" s="599"/>
      <c r="EV627" s="599"/>
      <c r="EW627" s="599"/>
      <c r="EX627" s="599"/>
      <c r="EY627" s="599"/>
      <c r="EZ627" s="599"/>
      <c r="FA627" s="599"/>
      <c r="FB627" s="599"/>
      <c r="FC627" s="599"/>
      <c r="FD627" s="599"/>
      <c r="FE627" s="599"/>
      <c r="FF627" s="599"/>
      <c r="FG627" s="599"/>
      <c r="FH627" s="599"/>
      <c r="FI627" s="599"/>
      <c r="FJ627" s="599"/>
      <c r="FK627" s="599"/>
      <c r="FL627" s="599"/>
      <c r="FM627" s="599"/>
      <c r="FN627" s="599"/>
      <c r="FO627" s="599"/>
      <c r="FP627" s="599"/>
      <c r="FQ627" s="599"/>
      <c r="FR627" s="599"/>
      <c r="FS627" s="599"/>
      <c r="FT627" s="599"/>
      <c r="FU627" s="599"/>
      <c r="FV627" s="599"/>
      <c r="FW627" s="599"/>
      <c r="FX627" s="599"/>
      <c r="FY627" s="599"/>
      <c r="FZ627" s="599"/>
      <c r="GA627" s="599"/>
      <c r="GB627" s="599"/>
      <c r="GC627" s="599"/>
      <c r="GD627" s="599"/>
      <c r="GE627" s="599"/>
      <c r="GF627" s="599"/>
      <c r="GG627" s="599"/>
      <c r="GH627" s="599"/>
      <c r="GI627" s="599"/>
      <c r="GJ627" s="599"/>
      <c r="GK627" s="599"/>
      <c r="GL627" s="599"/>
      <c r="GM627" s="599"/>
      <c r="GN627" s="599"/>
      <c r="GO627" s="599"/>
      <c r="GP627" s="599"/>
      <c r="GQ627" s="599"/>
      <c r="GR627" s="599"/>
      <c r="GS627" s="599"/>
      <c r="GT627" s="599"/>
      <c r="GU627" s="599"/>
      <c r="GV627" s="599"/>
      <c r="GW627" s="599"/>
      <c r="GX627" s="599"/>
      <c r="GY627" s="599"/>
      <c r="GZ627" s="599"/>
      <c r="HA627" s="599"/>
      <c r="HB627" s="599"/>
      <c r="HC627" s="599"/>
      <c r="HD627" s="599"/>
      <c r="HE627" s="599"/>
      <c r="HF627" s="599"/>
      <c r="HG627" s="599"/>
      <c r="HH627" s="599"/>
      <c r="HI627" s="599"/>
      <c r="HJ627" s="599"/>
      <c r="HK627" s="599"/>
      <c r="HL627" s="599"/>
      <c r="HM627" s="599"/>
      <c r="HN627" s="599"/>
      <c r="HO627" s="599"/>
      <c r="HP627" s="599"/>
      <c r="HQ627" s="599"/>
      <c r="HR627" s="599"/>
      <c r="HS627" s="599"/>
      <c r="HT627" s="599"/>
      <c r="HU627" s="599"/>
      <c r="HV627" s="599"/>
      <c r="HW627" s="599"/>
      <c r="HX627" s="599"/>
      <c r="HY627" s="599"/>
      <c r="HZ627" s="599"/>
      <c r="IA627" s="599"/>
      <c r="IB627" s="599"/>
      <c r="IC627" s="599"/>
      <c r="ID627" s="599"/>
      <c r="IE627" s="599"/>
      <c r="IF627" s="599"/>
      <c r="IG627" s="599"/>
      <c r="IH627" s="599"/>
      <c r="II627" s="599"/>
      <c r="IJ627" s="599"/>
      <c r="IK627" s="599"/>
      <c r="IL627" s="599"/>
      <c r="IM627" s="599"/>
      <c r="IN627" s="599"/>
      <c r="IO627" s="599"/>
      <c r="IP627" s="599"/>
      <c r="IQ627" s="599"/>
      <c r="IR627" s="599"/>
      <c r="IS627" s="599"/>
      <c r="IT627" s="599"/>
      <c r="IU627" s="599"/>
      <c r="IV627" s="599"/>
    </row>
    <row r="628" spans="1:256" s="1722" customFormat="1" ht="55.5" customHeight="1">
      <c r="A628" s="599"/>
      <c r="B628" s="446" t="s">
        <v>3296</v>
      </c>
      <c r="C628" s="502" t="s">
        <v>4679</v>
      </c>
      <c r="D628" s="599" t="s">
        <v>4681</v>
      </c>
      <c r="E628" s="599" t="s">
        <v>4678</v>
      </c>
      <c r="F628" s="2500" t="s">
        <v>4680</v>
      </c>
      <c r="G628" s="2501"/>
      <c r="H628" s="2501"/>
      <c r="I628" s="2502"/>
      <c r="J628" s="2082"/>
      <c r="K628" s="1857">
        <v>45461</v>
      </c>
      <c r="L628" s="1880" t="s">
        <v>567</v>
      </c>
      <c r="M628" s="599"/>
      <c r="N628" s="599"/>
      <c r="O628" s="599"/>
      <c r="P628" s="1515"/>
      <c r="Q628" s="599"/>
      <c r="R628" s="599"/>
      <c r="S628" s="599"/>
      <c r="T628" s="599"/>
      <c r="U628" s="599"/>
      <c r="V628" s="599"/>
      <c r="W628" s="599"/>
      <c r="X628" s="599"/>
      <c r="Y628" s="599"/>
      <c r="Z628" s="599"/>
      <c r="AA628" s="599"/>
      <c r="AB628" s="599"/>
      <c r="AC628" s="599"/>
      <c r="AD628" s="599"/>
      <c r="AE628" s="599"/>
      <c r="AF628" s="599"/>
      <c r="AG628" s="599"/>
      <c r="AH628" s="599"/>
      <c r="AI628" s="599"/>
      <c r="AJ628" s="599"/>
      <c r="AK628" s="599"/>
      <c r="AL628" s="599"/>
      <c r="AM628" s="599"/>
      <c r="AN628" s="599"/>
      <c r="AO628" s="599"/>
      <c r="AP628" s="599"/>
      <c r="AQ628" s="599"/>
      <c r="AR628" s="599"/>
      <c r="AS628" s="599"/>
      <c r="AT628" s="599"/>
      <c r="AU628" s="599"/>
      <c r="AV628" s="599"/>
      <c r="AW628" s="599"/>
      <c r="AX628" s="599"/>
      <c r="AY628" s="599"/>
      <c r="AZ628" s="599"/>
      <c r="BA628" s="599"/>
      <c r="BB628" s="599"/>
      <c r="BC628" s="599"/>
      <c r="BD628" s="599"/>
      <c r="BE628" s="599"/>
      <c r="BF628" s="599"/>
      <c r="BG628" s="599"/>
      <c r="BH628" s="599"/>
      <c r="BI628" s="599"/>
      <c r="BJ628" s="599"/>
      <c r="BK628" s="599"/>
      <c r="BL628" s="599"/>
      <c r="BM628" s="599"/>
      <c r="BN628" s="599"/>
      <c r="BO628" s="599"/>
      <c r="BP628" s="599"/>
      <c r="BQ628" s="599"/>
      <c r="BR628" s="599"/>
      <c r="BS628" s="599"/>
      <c r="BT628" s="599"/>
      <c r="BU628" s="599"/>
      <c r="BV628" s="599"/>
      <c r="BW628" s="599"/>
      <c r="BX628" s="599"/>
      <c r="BY628" s="599"/>
      <c r="BZ628" s="599"/>
      <c r="CA628" s="599"/>
      <c r="CB628" s="599"/>
      <c r="CC628" s="599"/>
      <c r="CD628" s="599"/>
      <c r="CE628" s="599"/>
      <c r="CF628" s="599"/>
      <c r="CG628" s="599"/>
      <c r="CH628" s="599"/>
      <c r="CI628" s="599"/>
      <c r="CJ628" s="599"/>
      <c r="CK628" s="599"/>
      <c r="CL628" s="599"/>
      <c r="CM628" s="599"/>
      <c r="CN628" s="599"/>
      <c r="CO628" s="599"/>
      <c r="CP628" s="599"/>
      <c r="CQ628" s="599"/>
      <c r="CR628" s="599"/>
      <c r="CS628" s="599"/>
      <c r="CT628" s="599"/>
      <c r="CU628" s="599"/>
      <c r="CV628" s="599"/>
      <c r="CW628" s="599"/>
      <c r="CX628" s="599"/>
      <c r="CY628" s="599"/>
      <c r="CZ628" s="599"/>
      <c r="DA628" s="599"/>
      <c r="DB628" s="599"/>
      <c r="DC628" s="599"/>
      <c r="DD628" s="599"/>
      <c r="DE628" s="599"/>
      <c r="DF628" s="599"/>
      <c r="DG628" s="599"/>
      <c r="DH628" s="599"/>
      <c r="DI628" s="599"/>
      <c r="DJ628" s="599"/>
      <c r="DK628" s="599"/>
      <c r="DL628" s="599"/>
      <c r="DM628" s="599"/>
      <c r="DN628" s="599"/>
      <c r="DO628" s="599"/>
      <c r="DP628" s="599"/>
      <c r="DQ628" s="599"/>
      <c r="DR628" s="599"/>
      <c r="DS628" s="599"/>
      <c r="DT628" s="599"/>
      <c r="DU628" s="599"/>
      <c r="DV628" s="599"/>
      <c r="DW628" s="599"/>
      <c r="DX628" s="599"/>
      <c r="DY628" s="599"/>
      <c r="DZ628" s="599"/>
      <c r="EA628" s="599"/>
      <c r="EB628" s="599"/>
      <c r="EC628" s="599"/>
      <c r="ED628" s="599"/>
      <c r="EE628" s="599"/>
      <c r="EF628" s="599"/>
      <c r="EG628" s="599"/>
      <c r="EH628" s="599"/>
      <c r="EI628" s="599"/>
      <c r="EJ628" s="599"/>
      <c r="EK628" s="599"/>
      <c r="EL628" s="599"/>
      <c r="EM628" s="599"/>
      <c r="EN628" s="599"/>
      <c r="EO628" s="599"/>
      <c r="EP628" s="599"/>
      <c r="EQ628" s="599"/>
      <c r="ER628" s="599"/>
      <c r="ES628" s="599"/>
      <c r="ET628" s="599"/>
      <c r="EU628" s="599"/>
      <c r="EV628" s="599"/>
      <c r="EW628" s="599"/>
      <c r="EX628" s="599"/>
      <c r="EY628" s="599"/>
      <c r="EZ628" s="599"/>
      <c r="FA628" s="599"/>
      <c r="FB628" s="599"/>
      <c r="FC628" s="599"/>
      <c r="FD628" s="599"/>
      <c r="FE628" s="599"/>
      <c r="FF628" s="599"/>
      <c r="FG628" s="599"/>
      <c r="FH628" s="599"/>
      <c r="FI628" s="599"/>
      <c r="FJ628" s="599"/>
      <c r="FK628" s="599"/>
      <c r="FL628" s="599"/>
      <c r="FM628" s="599"/>
      <c r="FN628" s="599"/>
      <c r="FO628" s="599"/>
      <c r="FP628" s="599"/>
      <c r="FQ628" s="599"/>
      <c r="FR628" s="599"/>
      <c r="FS628" s="599"/>
      <c r="FT628" s="599"/>
      <c r="FU628" s="599"/>
      <c r="FV628" s="599"/>
      <c r="FW628" s="599"/>
      <c r="FX628" s="599"/>
      <c r="FY628" s="599"/>
      <c r="FZ628" s="599"/>
      <c r="GA628" s="599"/>
      <c r="GB628" s="599"/>
      <c r="GC628" s="599"/>
      <c r="GD628" s="599"/>
      <c r="GE628" s="599"/>
      <c r="GF628" s="599"/>
      <c r="GG628" s="599"/>
      <c r="GH628" s="599"/>
      <c r="GI628" s="599"/>
      <c r="GJ628" s="599"/>
      <c r="GK628" s="599"/>
      <c r="GL628" s="599"/>
      <c r="GM628" s="599"/>
      <c r="GN628" s="599"/>
      <c r="GO628" s="599"/>
      <c r="GP628" s="599"/>
      <c r="GQ628" s="599"/>
      <c r="GR628" s="599"/>
      <c r="GS628" s="599"/>
      <c r="GT628" s="599"/>
      <c r="GU628" s="599"/>
      <c r="GV628" s="599"/>
      <c r="GW628" s="599"/>
      <c r="GX628" s="599"/>
      <c r="GY628" s="599"/>
      <c r="GZ628" s="599"/>
      <c r="HA628" s="599"/>
      <c r="HB628" s="599"/>
      <c r="HC628" s="599"/>
      <c r="HD628" s="599"/>
      <c r="HE628" s="599"/>
      <c r="HF628" s="599"/>
      <c r="HG628" s="599"/>
      <c r="HH628" s="599"/>
      <c r="HI628" s="599"/>
      <c r="HJ628" s="599"/>
      <c r="HK628" s="599"/>
      <c r="HL628" s="599"/>
      <c r="HM628" s="599"/>
      <c r="HN628" s="599"/>
      <c r="HO628" s="599"/>
      <c r="HP628" s="599"/>
      <c r="HQ628" s="599"/>
      <c r="HR628" s="599"/>
      <c r="HS628" s="599"/>
      <c r="HT628" s="599"/>
      <c r="HU628" s="599"/>
      <c r="HV628" s="599"/>
      <c r="HW628" s="599"/>
      <c r="HX628" s="599"/>
      <c r="HY628" s="599"/>
      <c r="HZ628" s="599"/>
      <c r="IA628" s="599"/>
      <c r="IB628" s="599"/>
      <c r="IC628" s="599"/>
      <c r="ID628" s="599"/>
      <c r="IE628" s="599"/>
      <c r="IF628" s="599"/>
      <c r="IG628" s="599"/>
      <c r="IH628" s="599"/>
      <c r="II628" s="599"/>
      <c r="IJ628" s="599"/>
      <c r="IK628" s="599"/>
      <c r="IL628" s="599"/>
      <c r="IM628" s="599"/>
      <c r="IN628" s="599"/>
      <c r="IO628" s="599"/>
      <c r="IP628" s="599"/>
      <c r="IQ628" s="599"/>
      <c r="IR628" s="599"/>
      <c r="IS628" s="599"/>
      <c r="IT628" s="599"/>
      <c r="IU628" s="599"/>
      <c r="IV628" s="599"/>
    </row>
    <row r="629" spans="1:256" s="1722" customFormat="1" ht="93.75" customHeight="1">
      <c r="A629" s="599">
        <v>8</v>
      </c>
      <c r="B629" s="2416" t="s">
        <v>4948</v>
      </c>
      <c r="C629" s="599" t="s">
        <v>4946</v>
      </c>
      <c r="D629" s="2506" t="s">
        <v>5148</v>
      </c>
      <c r="E629" s="599"/>
      <c r="F629" s="337">
        <v>2715130</v>
      </c>
      <c r="G629" s="599"/>
      <c r="H629" s="599"/>
      <c r="I629" s="599"/>
      <c r="J629" s="599"/>
      <c r="K629" s="599"/>
      <c r="L629" s="446"/>
      <c r="M629" s="446" t="s">
        <v>4947</v>
      </c>
      <c r="N629" s="599" t="s">
        <v>4946</v>
      </c>
      <c r="O629" s="1141">
        <v>1900000</v>
      </c>
      <c r="P629" s="599"/>
      <c r="Q629" s="890"/>
      <c r="R629" s="890"/>
      <c r="S629" s="890"/>
      <c r="T629" s="599"/>
      <c r="U629" s="599"/>
      <c r="V629" s="599"/>
      <c r="W629" s="599"/>
      <c r="X629" s="599"/>
      <c r="Y629" s="599"/>
      <c r="Z629" s="599"/>
      <c r="AA629" s="599"/>
      <c r="AB629" s="599"/>
      <c r="AC629" s="599"/>
      <c r="AD629" s="599"/>
      <c r="AE629" s="599"/>
      <c r="AF629" s="599"/>
      <c r="AG629" s="599"/>
      <c r="AH629" s="599"/>
      <c r="AI629" s="599"/>
      <c r="AJ629" s="599"/>
      <c r="AK629" s="599"/>
      <c r="AL629" s="599"/>
      <c r="AM629" s="599"/>
      <c r="AN629" s="599"/>
      <c r="AO629" s="599"/>
      <c r="AP629" s="599"/>
      <c r="AQ629" s="599"/>
      <c r="AR629" s="599"/>
      <c r="AS629" s="599"/>
      <c r="AT629" s="599"/>
      <c r="AU629" s="599"/>
      <c r="AV629" s="599"/>
      <c r="AW629" s="599"/>
      <c r="AX629" s="599"/>
      <c r="AY629" s="599"/>
      <c r="AZ629" s="599"/>
      <c r="BA629" s="599"/>
      <c r="BB629" s="599"/>
      <c r="BC629" s="599"/>
      <c r="BD629" s="599"/>
      <c r="BE629" s="599"/>
      <c r="BF629" s="599"/>
      <c r="BG629" s="599"/>
      <c r="BH629" s="599"/>
      <c r="BI629" s="599"/>
      <c r="BJ629" s="599"/>
      <c r="BK629" s="599"/>
      <c r="BL629" s="599"/>
      <c r="BM629" s="599"/>
      <c r="BN629" s="599"/>
      <c r="BO629" s="599"/>
      <c r="BP629" s="599"/>
      <c r="BQ629" s="599"/>
      <c r="BR629" s="599"/>
      <c r="BS629" s="599"/>
      <c r="BT629" s="599"/>
      <c r="BU629" s="599"/>
      <c r="BV629" s="599"/>
      <c r="BW629" s="599"/>
      <c r="BX629" s="599"/>
      <c r="BY629" s="599"/>
      <c r="BZ629" s="599"/>
      <c r="CA629" s="599"/>
      <c r="CB629" s="599"/>
      <c r="CC629" s="599"/>
      <c r="CD629" s="599"/>
      <c r="CE629" s="599"/>
      <c r="CF629" s="599"/>
      <c r="CG629" s="599"/>
      <c r="CH629" s="599"/>
      <c r="CI629" s="599"/>
      <c r="CJ629" s="599"/>
      <c r="CK629" s="599"/>
      <c r="CL629" s="599"/>
      <c r="CM629" s="599"/>
      <c r="CN629" s="599"/>
      <c r="CO629" s="599"/>
      <c r="CP629" s="599"/>
      <c r="CQ629" s="599"/>
      <c r="CR629" s="599"/>
      <c r="CS629" s="599"/>
      <c r="CT629" s="599"/>
      <c r="CU629" s="599"/>
      <c r="CV629" s="599"/>
      <c r="CW629" s="599"/>
      <c r="CX629" s="599"/>
      <c r="CY629" s="599"/>
      <c r="CZ629" s="599"/>
      <c r="DA629" s="599"/>
      <c r="DB629" s="599"/>
      <c r="DC629" s="599"/>
      <c r="DD629" s="599"/>
      <c r="DE629" s="599"/>
      <c r="DF629" s="599"/>
      <c r="DG629" s="599"/>
      <c r="DH629" s="599"/>
      <c r="DI629" s="599"/>
      <c r="DJ629" s="599"/>
      <c r="DK629" s="599"/>
      <c r="DL629" s="599"/>
      <c r="DM629" s="599"/>
      <c r="DN629" s="599"/>
      <c r="DO629" s="599"/>
      <c r="DP629" s="599"/>
      <c r="DQ629" s="599"/>
      <c r="DR629" s="599"/>
      <c r="DS629" s="599"/>
      <c r="DT629" s="599"/>
      <c r="DU629" s="599"/>
      <c r="DV629" s="599"/>
      <c r="DW629" s="599"/>
      <c r="DX629" s="599"/>
      <c r="DY629" s="599"/>
      <c r="DZ629" s="599"/>
      <c r="EA629" s="599"/>
      <c r="EB629" s="599"/>
      <c r="EC629" s="599"/>
      <c r="ED629" s="599"/>
      <c r="EE629" s="599"/>
      <c r="EF629" s="599"/>
      <c r="EG629" s="599"/>
      <c r="EH629" s="599"/>
      <c r="EI629" s="599"/>
      <c r="EJ629" s="599"/>
      <c r="EK629" s="599"/>
      <c r="EL629" s="599"/>
      <c r="EM629" s="599"/>
      <c r="EN629" s="599"/>
      <c r="EO629" s="599"/>
      <c r="EP629" s="599"/>
      <c r="EQ629" s="599"/>
      <c r="ER629" s="599"/>
      <c r="ES629" s="599"/>
      <c r="ET629" s="599"/>
      <c r="EU629" s="599"/>
      <c r="EV629" s="599"/>
      <c r="EW629" s="599"/>
      <c r="EX629" s="599"/>
      <c r="EY629" s="599"/>
      <c r="EZ629" s="599"/>
      <c r="FA629" s="599"/>
      <c r="FB629" s="599"/>
      <c r="FC629" s="599"/>
      <c r="FD629" s="599"/>
      <c r="FE629" s="599"/>
      <c r="FF629" s="599"/>
      <c r="FG629" s="599"/>
      <c r="FH629" s="599"/>
      <c r="FI629" s="599"/>
      <c r="FJ629" s="599"/>
      <c r="FK629" s="599"/>
      <c r="FL629" s="599"/>
      <c r="FM629" s="599"/>
      <c r="FN629" s="599"/>
      <c r="FO629" s="599"/>
      <c r="FP629" s="599"/>
      <c r="FQ629" s="599"/>
      <c r="FR629" s="599"/>
      <c r="FS629" s="599"/>
      <c r="FT629" s="599"/>
      <c r="FU629" s="599"/>
      <c r="FV629" s="599"/>
      <c r="FW629" s="599"/>
      <c r="FX629" s="599"/>
      <c r="FY629" s="599"/>
      <c r="FZ629" s="599"/>
      <c r="GA629" s="599"/>
      <c r="GB629" s="599"/>
      <c r="GC629" s="599"/>
      <c r="GD629" s="599"/>
      <c r="GE629" s="599"/>
      <c r="GF629" s="599"/>
      <c r="GG629" s="599"/>
      <c r="GH629" s="599"/>
      <c r="GI629" s="599"/>
      <c r="GJ629" s="599"/>
      <c r="GK629" s="599"/>
      <c r="GL629" s="599"/>
      <c r="GM629" s="599"/>
      <c r="GN629" s="599"/>
      <c r="GO629" s="599"/>
      <c r="GP629" s="599"/>
      <c r="GQ629" s="599"/>
      <c r="GR629" s="599"/>
      <c r="GS629" s="599"/>
      <c r="GT629" s="599"/>
      <c r="GU629" s="599"/>
      <c r="GV629" s="599"/>
      <c r="GW629" s="599"/>
      <c r="GX629" s="599"/>
      <c r="GY629" s="599"/>
      <c r="GZ629" s="599"/>
      <c r="HA629" s="599"/>
      <c r="HB629" s="599"/>
      <c r="HC629" s="599"/>
      <c r="HD629" s="599"/>
      <c r="HE629" s="599"/>
      <c r="HF629" s="599"/>
      <c r="HG629" s="599"/>
      <c r="HH629" s="599"/>
      <c r="HI629" s="599"/>
      <c r="HJ629" s="599"/>
      <c r="HK629" s="599"/>
      <c r="HL629" s="599"/>
      <c r="HM629" s="599"/>
      <c r="HN629" s="599"/>
      <c r="HO629" s="599"/>
      <c r="HP629" s="599"/>
      <c r="HQ629" s="599"/>
      <c r="HR629" s="599"/>
      <c r="HS629" s="599"/>
      <c r="HT629" s="599"/>
      <c r="HU629" s="599"/>
      <c r="HV629" s="599"/>
      <c r="HW629" s="599"/>
      <c r="HX629" s="599"/>
      <c r="HY629" s="599"/>
      <c r="HZ629" s="599"/>
      <c r="IA629" s="599"/>
      <c r="IB629" s="599"/>
      <c r="IC629" s="599"/>
      <c r="ID629" s="599"/>
      <c r="IE629" s="599"/>
      <c r="IF629" s="599"/>
      <c r="IG629" s="599"/>
      <c r="IH629" s="599"/>
      <c r="II629" s="599"/>
      <c r="IJ629" s="599"/>
      <c r="IK629" s="599"/>
      <c r="IL629" s="599"/>
      <c r="IM629" s="599"/>
      <c r="IN629" s="599"/>
      <c r="IO629" s="599"/>
      <c r="IP629" s="599"/>
      <c r="IQ629" s="599"/>
      <c r="IR629" s="599"/>
      <c r="IS629" s="599"/>
      <c r="IT629" s="599"/>
      <c r="IU629" s="599"/>
      <c r="IV629" s="599"/>
    </row>
    <row r="630" spans="1:256" ht="72.75" customHeight="1">
      <c r="A630" s="599"/>
      <c r="B630" s="2417"/>
      <c r="C630" s="599" t="s">
        <v>4950</v>
      </c>
      <c r="D630" s="2507"/>
      <c r="E630" s="599"/>
      <c r="F630" s="337">
        <v>761910.8</v>
      </c>
      <c r="G630" s="599"/>
      <c r="H630" s="599"/>
      <c r="I630" s="599"/>
      <c r="J630" s="599"/>
      <c r="K630" s="599"/>
      <c r="L630" s="446"/>
      <c r="M630" s="446" t="s">
        <v>4963</v>
      </c>
      <c r="N630" s="599" t="s">
        <v>4964</v>
      </c>
      <c r="O630" s="1141">
        <v>500000</v>
      </c>
      <c r="P630" s="599"/>
      <c r="Q630" s="890"/>
      <c r="R630" s="890"/>
      <c r="S630" s="890"/>
      <c r="T630" s="599"/>
      <c r="U630" s="599"/>
      <c r="V630" s="599"/>
      <c r="W630" s="599"/>
      <c r="X630" s="599"/>
      <c r="Y630" s="599"/>
      <c r="Z630" s="599"/>
      <c r="AA630" s="599"/>
      <c r="AB630" s="599"/>
      <c r="AC630" s="599"/>
      <c r="AD630" s="599"/>
      <c r="AE630" s="599"/>
      <c r="AF630" s="599"/>
      <c r="AG630" s="599"/>
      <c r="AH630" s="599"/>
    </row>
    <row r="631" spans="1:256" ht="124.5" customHeight="1">
      <c r="A631" s="599"/>
      <c r="B631" s="446" t="s">
        <v>4753</v>
      </c>
      <c r="C631" s="599" t="s">
        <v>4899</v>
      </c>
      <c r="D631" s="599" t="s">
        <v>4900</v>
      </c>
      <c r="E631" s="599"/>
      <c r="F631" s="1141">
        <v>40000</v>
      </c>
      <c r="G631" s="599"/>
      <c r="H631" s="599"/>
      <c r="I631" s="599"/>
      <c r="J631" s="599">
        <v>40000</v>
      </c>
      <c r="K631" s="599" t="s">
        <v>4901</v>
      </c>
      <c r="L631" s="1880" t="s">
        <v>567</v>
      </c>
      <c r="M631" s="599"/>
      <c r="N631" s="599"/>
      <c r="O631" s="599"/>
      <c r="P631" s="599"/>
      <c r="Q631" s="599"/>
      <c r="R631" s="599"/>
      <c r="S631" s="599"/>
      <c r="T631" s="599"/>
      <c r="U631" s="599"/>
      <c r="V631" s="599"/>
      <c r="W631" s="599"/>
      <c r="X631" s="599"/>
      <c r="Y631" s="599"/>
      <c r="Z631" s="599"/>
      <c r="AA631" s="599"/>
      <c r="AB631" s="599"/>
      <c r="AC631" s="599"/>
      <c r="AD631" s="599"/>
      <c r="AE631" s="599"/>
      <c r="AF631" s="599"/>
      <c r="AG631" s="599"/>
      <c r="AH631" s="599"/>
    </row>
    <row r="632" spans="1:256" s="599" customFormat="1" ht="131.25" customHeight="1">
      <c r="B632" s="446" t="s">
        <v>4145</v>
      </c>
      <c r="C632" s="599" t="s">
        <v>2847</v>
      </c>
      <c r="D632" s="446" t="s">
        <v>5046</v>
      </c>
      <c r="E632" s="599" t="s">
        <v>1395</v>
      </c>
      <c r="F632" s="595" t="s">
        <v>4147</v>
      </c>
      <c r="G632" s="891"/>
      <c r="H632" s="599" t="s">
        <v>1551</v>
      </c>
      <c r="I632" s="601">
        <f>25000                   +175000                      +5691462.94                      +2005000                             +288000                             +117000</f>
        <v>8301462.9400000004</v>
      </c>
      <c r="J632" s="1057" t="s">
        <v>4942</v>
      </c>
      <c r="K632" s="594" t="s">
        <v>4943</v>
      </c>
      <c r="L632" s="594" t="s">
        <v>5011</v>
      </c>
      <c r="M632" s="446"/>
      <c r="N632" s="890"/>
      <c r="O632" s="2082"/>
      <c r="P632" s="892"/>
      <c r="Q632" s="891"/>
      <c r="S632" s="624"/>
      <c r="T632" s="1140"/>
      <c r="U632" s="1140"/>
      <c r="V632" s="1372"/>
      <c r="W632" s="594"/>
      <c r="X632" s="1352"/>
      <c r="Y632" s="1353"/>
      <c r="AB632" s="580"/>
      <c r="AC632" s="580"/>
      <c r="AD632" s="1464"/>
    </row>
    <row r="633" spans="1:256" s="1722" customFormat="1" ht="60" customHeight="1">
      <c r="A633" s="599"/>
      <c r="B633" s="2140" t="s">
        <v>4268</v>
      </c>
      <c r="C633" s="2082" t="s">
        <v>4269</v>
      </c>
      <c r="D633" s="2082" t="s">
        <v>4267</v>
      </c>
      <c r="E633" s="599" t="s">
        <v>4270</v>
      </c>
      <c r="F633" s="599" t="s">
        <v>4271</v>
      </c>
      <c r="G633" s="599"/>
      <c r="H633" s="599" t="s">
        <v>4808</v>
      </c>
      <c r="I633" s="890"/>
      <c r="J633" s="2082">
        <v>1457645.35</v>
      </c>
      <c r="K633" s="2082" t="s">
        <v>5151</v>
      </c>
      <c r="L633" s="2082" t="s">
        <v>4697</v>
      </c>
      <c r="M633" s="446" t="s">
        <v>4527</v>
      </c>
      <c r="N633" s="599" t="s">
        <v>4524</v>
      </c>
      <c r="O633" s="599" t="s">
        <v>4525</v>
      </c>
      <c r="P633" s="599"/>
      <c r="Q633" s="599" t="s">
        <v>4526</v>
      </c>
      <c r="R633" s="599"/>
      <c r="S633" s="599"/>
      <c r="T633" s="599"/>
      <c r="U633" s="599"/>
      <c r="V633" s="599"/>
      <c r="W633" s="599"/>
      <c r="X633" s="599"/>
      <c r="Y633" s="599"/>
      <c r="Z633" s="599"/>
      <c r="AA633" s="599"/>
      <c r="AB633" s="599"/>
      <c r="AC633" s="599"/>
      <c r="AD633" s="599"/>
      <c r="AE633" s="599"/>
      <c r="AF633" s="599"/>
      <c r="AG633" s="599"/>
      <c r="AH633" s="599"/>
      <c r="AI633" s="599"/>
      <c r="AJ633" s="599"/>
      <c r="AK633" s="599"/>
      <c r="AL633" s="599"/>
      <c r="AM633" s="599"/>
      <c r="AN633" s="599"/>
      <c r="AO633" s="599"/>
      <c r="AP633" s="599"/>
      <c r="AQ633" s="599"/>
      <c r="AR633" s="599"/>
      <c r="AS633" s="599"/>
      <c r="AT633" s="599"/>
      <c r="AU633" s="599"/>
      <c r="AV633" s="599"/>
      <c r="AW633" s="599"/>
      <c r="AX633" s="599"/>
      <c r="AY633" s="599"/>
      <c r="AZ633" s="599"/>
      <c r="BA633" s="599"/>
      <c r="BB633" s="599"/>
      <c r="BC633" s="599"/>
      <c r="BD633" s="599"/>
      <c r="BE633" s="599"/>
      <c r="BF633" s="599"/>
      <c r="BG633" s="599"/>
      <c r="BH633" s="599"/>
      <c r="BI633" s="599"/>
      <c r="BJ633" s="599"/>
      <c r="BK633" s="599"/>
      <c r="BL633" s="599"/>
      <c r="BM633" s="599"/>
      <c r="BN633" s="599"/>
      <c r="BO633" s="599"/>
      <c r="BP633" s="599"/>
      <c r="BQ633" s="599"/>
      <c r="BR633" s="599"/>
      <c r="BS633" s="599"/>
      <c r="BT633" s="599"/>
      <c r="BU633" s="599"/>
      <c r="BV633" s="599"/>
      <c r="BW633" s="599"/>
      <c r="BX633" s="599"/>
      <c r="BY633" s="599"/>
      <c r="BZ633" s="599"/>
      <c r="CA633" s="599"/>
      <c r="CB633" s="599"/>
      <c r="CC633" s="599"/>
      <c r="CD633" s="599"/>
      <c r="CE633" s="599"/>
      <c r="CF633" s="599"/>
      <c r="CG633" s="599"/>
      <c r="CH633" s="599"/>
      <c r="CI633" s="599"/>
      <c r="CJ633" s="599"/>
      <c r="CK633" s="599"/>
      <c r="CL633" s="599"/>
      <c r="CM633" s="599"/>
      <c r="CN633" s="599"/>
      <c r="CO633" s="599"/>
      <c r="CP633" s="599"/>
      <c r="CQ633" s="599"/>
      <c r="CR633" s="599"/>
      <c r="CS633" s="599"/>
      <c r="CT633" s="599"/>
      <c r="CU633" s="599"/>
      <c r="CV633" s="599"/>
      <c r="CW633" s="599"/>
      <c r="CX633" s="599"/>
      <c r="CY633" s="599"/>
      <c r="CZ633" s="599"/>
      <c r="DA633" s="599"/>
      <c r="DB633" s="599"/>
      <c r="DC633" s="599"/>
      <c r="DD633" s="599"/>
      <c r="DE633" s="599"/>
      <c r="DF633" s="599"/>
      <c r="DG633" s="599"/>
      <c r="DH633" s="599"/>
      <c r="DI633" s="599"/>
      <c r="DJ633" s="599"/>
      <c r="DK633" s="599"/>
      <c r="DL633" s="599"/>
      <c r="DM633" s="599"/>
      <c r="DN633" s="599"/>
      <c r="DO633" s="599"/>
      <c r="DP633" s="599"/>
      <c r="DQ633" s="599"/>
      <c r="DR633" s="599"/>
      <c r="DS633" s="599"/>
      <c r="DT633" s="599"/>
      <c r="DU633" s="599"/>
      <c r="DV633" s="599"/>
      <c r="DW633" s="599"/>
      <c r="DX633" s="599"/>
      <c r="DY633" s="599"/>
      <c r="DZ633" s="599"/>
      <c r="EA633" s="599"/>
      <c r="EB633" s="599"/>
      <c r="EC633" s="599"/>
      <c r="ED633" s="599"/>
      <c r="EE633" s="599"/>
      <c r="EF633" s="599"/>
      <c r="EG633" s="599"/>
      <c r="EH633" s="599"/>
      <c r="EI633" s="599"/>
      <c r="EJ633" s="599"/>
      <c r="EK633" s="599"/>
      <c r="EL633" s="599"/>
      <c r="EM633" s="599"/>
      <c r="EN633" s="599"/>
      <c r="EO633" s="599"/>
      <c r="EP633" s="599"/>
      <c r="EQ633" s="599"/>
      <c r="ER633" s="599"/>
      <c r="ES633" s="599"/>
      <c r="ET633" s="599"/>
      <c r="EU633" s="599"/>
      <c r="EV633" s="599"/>
      <c r="EW633" s="599"/>
      <c r="EX633" s="599"/>
      <c r="EY633" s="599"/>
      <c r="EZ633" s="599"/>
      <c r="FA633" s="599"/>
      <c r="FB633" s="599"/>
      <c r="FC633" s="599"/>
      <c r="FD633" s="599"/>
      <c r="FE633" s="599"/>
      <c r="FF633" s="599"/>
      <c r="FG633" s="599"/>
      <c r="FH633" s="599"/>
      <c r="FI633" s="599"/>
      <c r="FJ633" s="599"/>
      <c r="FK633" s="599"/>
      <c r="FL633" s="599"/>
      <c r="FM633" s="599"/>
      <c r="FN633" s="599"/>
      <c r="FO633" s="599"/>
      <c r="FP633" s="599"/>
      <c r="FQ633" s="599"/>
      <c r="FR633" s="599"/>
      <c r="FS633" s="599"/>
      <c r="FT633" s="599"/>
      <c r="FU633" s="599"/>
      <c r="FV633" s="599"/>
      <c r="FW633" s="599"/>
      <c r="FX633" s="599"/>
      <c r="FY633" s="599"/>
      <c r="FZ633" s="599"/>
      <c r="GA633" s="599"/>
      <c r="GB633" s="599"/>
      <c r="GC633" s="599"/>
      <c r="GD633" s="599"/>
      <c r="GE633" s="599"/>
      <c r="GF633" s="599"/>
      <c r="GG633" s="599"/>
      <c r="GH633" s="599"/>
      <c r="GI633" s="599"/>
      <c r="GJ633" s="599"/>
      <c r="GK633" s="599"/>
      <c r="GL633" s="599"/>
      <c r="GM633" s="599"/>
      <c r="GN633" s="599"/>
      <c r="GO633" s="599"/>
      <c r="GP633" s="599"/>
      <c r="GQ633" s="599"/>
      <c r="GR633" s="599"/>
      <c r="GS633" s="599"/>
      <c r="GT633" s="599"/>
      <c r="GU633" s="599"/>
      <c r="GV633" s="599"/>
      <c r="GW633" s="599"/>
      <c r="GX633" s="599"/>
      <c r="GY633" s="599"/>
      <c r="GZ633" s="599"/>
      <c r="HA633" s="599"/>
      <c r="HB633" s="599"/>
      <c r="HC633" s="599"/>
      <c r="HD633" s="599"/>
      <c r="HE633" s="599"/>
      <c r="HF633" s="599"/>
      <c r="HG633" s="599"/>
      <c r="HH633" s="599"/>
      <c r="HI633" s="599"/>
      <c r="HJ633" s="599"/>
      <c r="HK633" s="599"/>
      <c r="HL633" s="599"/>
      <c r="HM633" s="599"/>
      <c r="HN633" s="599"/>
      <c r="HO633" s="599"/>
      <c r="HP633" s="599"/>
      <c r="HQ633" s="599"/>
      <c r="HR633" s="599"/>
      <c r="HS633" s="599"/>
      <c r="HT633" s="599"/>
      <c r="HU633" s="599"/>
      <c r="HV633" s="599"/>
      <c r="HW633" s="599"/>
      <c r="HX633" s="599"/>
      <c r="HY633" s="599"/>
      <c r="HZ633" s="599"/>
      <c r="IA633" s="599"/>
      <c r="IB633" s="599"/>
      <c r="IC633" s="599"/>
      <c r="ID633" s="599"/>
      <c r="IE633" s="599"/>
      <c r="IF633" s="599"/>
      <c r="IG633" s="599"/>
      <c r="IH633" s="599"/>
      <c r="II633" s="599"/>
      <c r="IJ633" s="599"/>
      <c r="IK633" s="599"/>
      <c r="IL633" s="599"/>
      <c r="IM633" s="599"/>
      <c r="IN633" s="599"/>
      <c r="IO633" s="599"/>
      <c r="IP633" s="599"/>
      <c r="IQ633" s="599"/>
      <c r="IR633" s="599"/>
      <c r="IS633" s="599"/>
      <c r="IT633" s="599"/>
      <c r="IU633" s="599"/>
      <c r="IV633" s="599"/>
    </row>
    <row r="634" spans="1:256" ht="72" customHeight="1">
      <c r="A634" s="599"/>
      <c r="B634" s="831" t="s">
        <v>4189</v>
      </c>
      <c r="C634" s="599" t="s">
        <v>4239</v>
      </c>
      <c r="D634" s="446" t="s">
        <v>4190</v>
      </c>
      <c r="E634" s="580" t="s">
        <v>3518</v>
      </c>
      <c r="F634" s="625">
        <v>780000</v>
      </c>
      <c r="G634" s="891"/>
      <c r="H634" s="1881" t="s">
        <v>3258</v>
      </c>
      <c r="I634" s="1185"/>
      <c r="J634" s="1901" t="s">
        <v>4293</v>
      </c>
      <c r="K634" s="599"/>
      <c r="L634" s="594"/>
      <c r="M634" s="1809" t="s">
        <v>4191</v>
      </c>
      <c r="N634" s="1809" t="s">
        <v>3257</v>
      </c>
      <c r="O634" s="1870" t="s">
        <v>4240</v>
      </c>
      <c r="P634" s="1809"/>
      <c r="Q634" s="1829"/>
      <c r="R634" s="1808">
        <v>277800</v>
      </c>
      <c r="S634" s="1830" t="s">
        <v>3166</v>
      </c>
      <c r="T634" s="1140"/>
      <c r="U634" s="1140"/>
      <c r="V634" s="1526"/>
      <c r="W634" s="1052"/>
      <c r="X634" s="1355"/>
      <c r="Y634" s="1353"/>
      <c r="Z634" s="599"/>
      <c r="AA634" s="599"/>
      <c r="AB634" s="580"/>
      <c r="AC634" s="580"/>
      <c r="AD634" s="1465"/>
      <c r="AE634" s="599"/>
      <c r="AF634" s="984"/>
      <c r="AG634" s="599"/>
      <c r="AH634" s="599"/>
    </row>
    <row r="635" spans="1:256" s="973" customFormat="1" ht="47.25" customHeight="1">
      <c r="A635" s="964"/>
      <c r="B635" s="2510" t="s">
        <v>3104</v>
      </c>
      <c r="C635" s="2483" t="s">
        <v>4195</v>
      </c>
      <c r="D635" s="2416" t="s">
        <v>5045</v>
      </c>
      <c r="E635" s="2483" t="s">
        <v>4196</v>
      </c>
      <c r="F635" s="2508" t="s">
        <v>4385</v>
      </c>
      <c r="G635" s="2518"/>
      <c r="H635" s="2491" t="s">
        <v>4246</v>
      </c>
      <c r="I635" s="2522" t="s">
        <v>4711</v>
      </c>
      <c r="J635" s="2525" t="s">
        <v>4712</v>
      </c>
      <c r="K635" s="997"/>
      <c r="L635" s="1875" t="s">
        <v>4247</v>
      </c>
      <c r="M635" s="843" t="s">
        <v>4197</v>
      </c>
      <c r="N635" s="741" t="s">
        <v>3243</v>
      </c>
      <c r="O635" s="741" t="s">
        <v>3315</v>
      </c>
      <c r="P635" s="1835" t="s">
        <v>4245</v>
      </c>
      <c r="Q635" s="1836" t="s">
        <v>4411</v>
      </c>
      <c r="R635" s="1944">
        <v>12240408.24</v>
      </c>
      <c r="S635" s="1945"/>
      <c r="T635" s="1954">
        <v>44916</v>
      </c>
      <c r="U635" s="599"/>
      <c r="V635" s="599"/>
      <c r="W635" s="984"/>
      <c r="X635" s="984"/>
      <c r="Y635" s="599"/>
      <c r="Z635" s="599"/>
      <c r="AA635" s="599"/>
      <c r="AB635" s="599"/>
      <c r="AC635" s="580"/>
      <c r="AD635" s="1465"/>
      <c r="AE635" s="599"/>
      <c r="AF635" s="984"/>
      <c r="AG635" s="599"/>
      <c r="AH635" s="599"/>
    </row>
    <row r="636" spans="1:256" s="973" customFormat="1" ht="86.25" customHeight="1">
      <c r="A636" s="964"/>
      <c r="B636" s="2511"/>
      <c r="C636" s="2484"/>
      <c r="D636" s="2503"/>
      <c r="E636" s="2484"/>
      <c r="F636" s="2513"/>
      <c r="G636" s="2519"/>
      <c r="H636" s="2521"/>
      <c r="I636" s="2523"/>
      <c r="J636" s="2526"/>
      <c r="K636" s="741" t="s">
        <v>3314</v>
      </c>
      <c r="L636" s="1873">
        <f>N636+N637+N638+N639</f>
        <v>7291730</v>
      </c>
      <c r="M636" s="843" t="s">
        <v>4379</v>
      </c>
      <c r="N636" s="741">
        <f>50000                      +50000                         +100000                               +100000</f>
        <v>300000</v>
      </c>
      <c r="O636" s="741"/>
      <c r="P636" s="741"/>
      <c r="Q636" s="1644"/>
      <c r="R636" s="997" t="s">
        <v>4489</v>
      </c>
      <c r="S636" s="997" t="s">
        <v>4490</v>
      </c>
      <c r="T636" s="1941"/>
      <c r="U636" s="599"/>
      <c r="V636" s="599"/>
      <c r="W636" s="984"/>
      <c r="X636" s="984"/>
      <c r="Y636" s="599"/>
      <c r="Z636" s="599"/>
      <c r="AA636" s="599"/>
      <c r="AB636" s="599"/>
      <c r="AC636" s="580"/>
      <c r="AD636" s="1465"/>
      <c r="AE636" s="599"/>
      <c r="AF636" s="984"/>
      <c r="AG636" s="599"/>
      <c r="AH636" s="599"/>
    </row>
    <row r="637" spans="1:256" s="973" customFormat="1" ht="297.75" customHeight="1">
      <c r="A637" s="964"/>
      <c r="B637" s="2511"/>
      <c r="C637" s="2484"/>
      <c r="D637" s="2503"/>
      <c r="E637" s="2484"/>
      <c r="F637" s="2513"/>
      <c r="G637" s="2519"/>
      <c r="H637" s="2521"/>
      <c r="I637" s="2523"/>
      <c r="J637" s="2526"/>
      <c r="K637" s="899"/>
      <c r="L637" s="892"/>
      <c r="M637" s="983" t="s">
        <v>4303</v>
      </c>
      <c r="N637" s="890">
        <f>161330                                                                     +444500                                              +172300                                                     +177800                                      +402300                                               +320000                                                      +256500                                               +320000                                                 +235600                           +44500</f>
        <v>2534830</v>
      </c>
      <c r="O637" s="1838" t="s">
        <v>4327</v>
      </c>
      <c r="P637" s="1940" t="s">
        <v>4429</v>
      </c>
      <c r="Q637" s="892" t="s">
        <v>4507</v>
      </c>
      <c r="R637" s="1337" t="s">
        <v>4508</v>
      </c>
      <c r="S637" s="1016">
        <f>166700                                      +129000                           +92500                            +222300                                      +222300                                  +288900                                          +444500                           +124000</f>
        <v>1690200</v>
      </c>
      <c r="T637" s="1941" t="s">
        <v>4473</v>
      </c>
      <c r="U637" s="599" t="s">
        <v>4479</v>
      </c>
      <c r="V637" s="892" t="s">
        <v>4465</v>
      </c>
      <c r="W637" s="1337" t="s">
        <v>4466</v>
      </c>
      <c r="X637" s="984"/>
      <c r="Y637" s="599"/>
      <c r="Z637" s="599"/>
      <c r="AA637" s="599"/>
      <c r="AB637" s="892" t="s">
        <v>4465</v>
      </c>
      <c r="AC637" s="1337" t="s">
        <v>4466</v>
      </c>
      <c r="AD637" s="1465"/>
      <c r="AE637" s="599"/>
      <c r="AF637" s="984"/>
      <c r="AG637" s="599"/>
      <c r="AH637" s="599"/>
    </row>
    <row r="638" spans="1:256" s="973" customFormat="1" ht="101.25" customHeight="1">
      <c r="A638" s="964"/>
      <c r="B638" s="2511"/>
      <c r="C638" s="2484"/>
      <c r="D638" s="2503"/>
      <c r="E638" s="2484"/>
      <c r="F638" s="2513"/>
      <c r="G638" s="2519"/>
      <c r="H638" s="2521"/>
      <c r="I638" s="2523"/>
      <c r="J638" s="2526"/>
      <c r="K638" s="899"/>
      <c r="L638" s="892" t="s">
        <v>3474</v>
      </c>
      <c r="M638" s="843" t="s">
        <v>4198</v>
      </c>
      <c r="N638" s="893">
        <f>450000                            +585000                                      +375000                                      +325000                              +285000                           +215000</f>
        <v>2235000</v>
      </c>
      <c r="O638" s="1905" t="s">
        <v>4326</v>
      </c>
      <c r="P638" s="1839"/>
      <c r="Q638" s="1840" t="s">
        <v>4457</v>
      </c>
      <c r="R638" s="1841" t="s">
        <v>4458</v>
      </c>
      <c r="S638" s="997" t="s">
        <v>4652</v>
      </c>
      <c r="T638" s="997"/>
      <c r="U638" s="599"/>
      <c r="V638" s="599"/>
      <c r="W638" s="984"/>
      <c r="X638" s="984"/>
      <c r="Y638" s="599"/>
      <c r="Z638" s="599"/>
      <c r="AA638" s="599"/>
      <c r="AB638" s="599"/>
      <c r="AC638" s="580"/>
      <c r="AD638" s="1465"/>
      <c r="AE638" s="599"/>
      <c r="AF638" s="984"/>
      <c r="AG638" s="599"/>
      <c r="AH638" s="599"/>
    </row>
    <row r="639" spans="1:256" s="1853" customFormat="1" ht="165.75" customHeight="1" thickBot="1">
      <c r="A639" s="1842">
        <v>1</v>
      </c>
      <c r="B639" s="2512"/>
      <c r="C639" s="2476"/>
      <c r="D639" s="2417"/>
      <c r="E639" s="2476"/>
      <c r="F639" s="2509"/>
      <c r="G639" s="2520"/>
      <c r="H639" s="2478"/>
      <c r="I639" s="2524"/>
      <c r="J639" s="2527"/>
      <c r="K639" s="899"/>
      <c r="L639" s="892"/>
      <c r="M639" s="599" t="s">
        <v>4383</v>
      </c>
      <c r="N639" s="890">
        <f xml:space="preserve"> 345400                                   +359600                                    +300550                               +380000                                     +274550                       +181800                                  +380000</f>
        <v>2221900</v>
      </c>
      <c r="O639" s="1838" t="s">
        <v>4282</v>
      </c>
      <c r="P639" s="1754" t="s">
        <v>3422</v>
      </c>
      <c r="Q639" s="1369" t="s">
        <v>4606</v>
      </c>
      <c r="R639" s="1843" t="s">
        <v>4478</v>
      </c>
      <c r="S639" s="1844" t="s">
        <v>4430</v>
      </c>
      <c r="T639" s="1845">
        <f>359600                            +300550                               +380000                                     +274550                              +181800                                    +380000</f>
        <v>1876500</v>
      </c>
      <c r="U639" s="1845"/>
      <c r="V639" s="1846"/>
      <c r="W639" s="1847"/>
      <c r="X639" s="1848"/>
      <c r="Y639" s="1849"/>
      <c r="Z639" s="1842"/>
      <c r="AA639" s="1842"/>
      <c r="AB639" s="1850"/>
      <c r="AC639" s="1850"/>
      <c r="AD639" s="1851"/>
      <c r="AE639" s="1842"/>
      <c r="AF639" s="1852"/>
      <c r="AG639" s="1842"/>
      <c r="AH639" s="1842"/>
      <c r="AI639" s="978"/>
      <c r="AJ639" s="978"/>
      <c r="AK639" s="978"/>
      <c r="AL639" s="978"/>
      <c r="AM639" s="978"/>
      <c r="AN639" s="978"/>
      <c r="AO639" s="978"/>
      <c r="AP639" s="978"/>
      <c r="AQ639" s="978"/>
      <c r="AR639" s="978"/>
      <c r="AS639" s="978"/>
      <c r="AT639" s="978"/>
      <c r="AU639" s="978"/>
      <c r="AV639" s="978"/>
      <c r="AW639" s="978"/>
      <c r="AX639" s="978"/>
      <c r="AY639" s="978"/>
      <c r="AZ639" s="978"/>
      <c r="BA639" s="978"/>
      <c r="BB639" s="978"/>
      <c r="BC639" s="978"/>
      <c r="BD639" s="978"/>
      <c r="BE639" s="978"/>
      <c r="BF639" s="978"/>
      <c r="BG639" s="978"/>
      <c r="BH639" s="978"/>
      <c r="BI639" s="978"/>
      <c r="BJ639" s="978"/>
      <c r="BK639" s="978"/>
      <c r="BL639" s="978"/>
      <c r="BM639" s="978"/>
      <c r="BN639" s="978"/>
      <c r="BO639" s="978"/>
      <c r="BP639" s="978"/>
      <c r="BQ639" s="978"/>
      <c r="BR639" s="978"/>
      <c r="BS639" s="978"/>
      <c r="BT639" s="978"/>
      <c r="BU639" s="978"/>
      <c r="BV639" s="978"/>
      <c r="BW639" s="978"/>
      <c r="BX639" s="978"/>
      <c r="BY639" s="978"/>
      <c r="BZ639" s="978"/>
      <c r="CA639" s="978"/>
      <c r="CB639" s="978"/>
      <c r="CC639" s="978"/>
      <c r="CD639" s="978"/>
      <c r="CE639" s="978"/>
      <c r="CF639" s="978"/>
      <c r="CG639" s="978"/>
      <c r="CH639" s="978"/>
      <c r="CI639" s="978"/>
      <c r="CJ639" s="978"/>
      <c r="CK639" s="978"/>
      <c r="CL639" s="978"/>
      <c r="CM639" s="978"/>
      <c r="CN639" s="978"/>
      <c r="CO639" s="978"/>
      <c r="CP639" s="978"/>
      <c r="CQ639" s="978"/>
      <c r="CR639" s="978"/>
      <c r="CS639" s="978"/>
      <c r="CT639" s="978"/>
      <c r="CU639" s="978"/>
      <c r="CV639" s="978"/>
      <c r="CW639" s="978"/>
      <c r="CX639" s="978"/>
      <c r="CY639" s="978"/>
      <c r="CZ639" s="978"/>
      <c r="DA639" s="978"/>
      <c r="DB639" s="978"/>
      <c r="DC639" s="978"/>
      <c r="DD639" s="978"/>
      <c r="DE639" s="978"/>
      <c r="DF639" s="978"/>
      <c r="DG639" s="978"/>
      <c r="DH639" s="978"/>
      <c r="DI639" s="978"/>
      <c r="DJ639" s="978"/>
      <c r="DK639" s="978"/>
      <c r="DL639" s="978"/>
      <c r="DM639" s="978"/>
      <c r="DN639" s="978"/>
      <c r="DO639" s="978"/>
      <c r="DP639" s="978"/>
      <c r="DQ639" s="978"/>
      <c r="DR639" s="978"/>
      <c r="DS639" s="978"/>
      <c r="DT639" s="978"/>
      <c r="DU639" s="978"/>
      <c r="DV639" s="978"/>
      <c r="DW639" s="978"/>
      <c r="DX639" s="978"/>
      <c r="DY639" s="978"/>
      <c r="DZ639" s="978"/>
      <c r="EA639" s="978"/>
      <c r="EB639" s="978"/>
      <c r="EC639" s="978"/>
      <c r="ED639" s="978"/>
      <c r="EE639" s="978"/>
      <c r="EF639" s="978"/>
      <c r="EG639" s="978"/>
      <c r="EH639" s="978"/>
      <c r="EI639" s="978"/>
      <c r="EJ639" s="978"/>
      <c r="EK639" s="978"/>
      <c r="EL639" s="978"/>
      <c r="EM639" s="978"/>
      <c r="EN639" s="978"/>
      <c r="EO639" s="978"/>
      <c r="EP639" s="978"/>
      <c r="EQ639" s="978"/>
      <c r="ER639" s="978"/>
      <c r="ES639" s="978"/>
      <c r="ET639" s="978"/>
      <c r="EU639" s="978"/>
      <c r="EV639" s="978"/>
      <c r="EW639" s="978"/>
      <c r="EX639" s="978"/>
      <c r="EY639" s="978"/>
      <c r="EZ639" s="978"/>
      <c r="FA639" s="978"/>
      <c r="FB639" s="978"/>
      <c r="FC639" s="978"/>
      <c r="FD639" s="978"/>
      <c r="FE639" s="978"/>
      <c r="FF639" s="978"/>
      <c r="FG639" s="978"/>
      <c r="FH639" s="978"/>
      <c r="FI639" s="978"/>
      <c r="FJ639" s="978"/>
      <c r="FK639" s="978"/>
      <c r="FL639" s="978"/>
      <c r="FM639" s="978"/>
      <c r="FN639" s="978"/>
      <c r="FO639" s="978"/>
      <c r="FP639" s="978"/>
      <c r="FQ639" s="978"/>
      <c r="FR639" s="978"/>
      <c r="FS639" s="978"/>
      <c r="FT639" s="978"/>
      <c r="FU639" s="978"/>
      <c r="FV639" s="978"/>
      <c r="FW639" s="978"/>
      <c r="FX639" s="978"/>
      <c r="FY639" s="978"/>
      <c r="FZ639" s="978"/>
      <c r="GA639" s="978"/>
      <c r="GB639" s="978"/>
      <c r="GC639" s="978"/>
      <c r="GD639" s="978"/>
      <c r="GE639" s="978"/>
      <c r="GF639" s="978"/>
      <c r="GG639" s="978"/>
      <c r="GH639" s="978"/>
      <c r="GI639" s="978"/>
      <c r="GJ639" s="978"/>
      <c r="GK639" s="978"/>
      <c r="GL639" s="978"/>
      <c r="GM639" s="978"/>
      <c r="GN639" s="978"/>
      <c r="GO639" s="978"/>
      <c r="GP639" s="978"/>
      <c r="GQ639" s="978"/>
      <c r="GR639" s="978"/>
      <c r="GS639" s="978"/>
      <c r="GT639" s="978"/>
      <c r="GU639" s="978"/>
      <c r="GV639" s="978"/>
      <c r="GW639" s="978"/>
      <c r="GX639" s="978"/>
      <c r="GY639" s="978"/>
      <c r="GZ639" s="978"/>
      <c r="HA639" s="978"/>
      <c r="HB639" s="978"/>
      <c r="HC639" s="978"/>
      <c r="HD639" s="978"/>
      <c r="HE639" s="978"/>
      <c r="HF639" s="978"/>
      <c r="HG639" s="978"/>
      <c r="HH639" s="978"/>
      <c r="HI639" s="978"/>
      <c r="HJ639" s="978"/>
      <c r="HK639" s="978"/>
      <c r="HL639" s="978"/>
      <c r="HM639" s="978"/>
      <c r="HN639" s="978"/>
      <c r="HO639" s="978"/>
      <c r="HP639" s="978"/>
      <c r="HQ639" s="978"/>
      <c r="HR639" s="978"/>
      <c r="HS639" s="978"/>
      <c r="HT639" s="978"/>
      <c r="HU639" s="978"/>
      <c r="HV639" s="978"/>
      <c r="HW639" s="978"/>
      <c r="HX639" s="978"/>
      <c r="HY639" s="978"/>
      <c r="HZ639" s="978"/>
      <c r="IA639" s="978"/>
      <c r="IB639" s="978"/>
      <c r="IC639" s="978"/>
      <c r="ID639" s="978"/>
      <c r="IE639" s="978"/>
      <c r="IF639" s="978"/>
      <c r="IG639" s="978"/>
      <c r="IH639" s="978"/>
      <c r="II639" s="978"/>
      <c r="IJ639" s="978"/>
      <c r="IK639" s="978"/>
      <c r="IL639" s="978"/>
      <c r="IM639" s="978"/>
      <c r="IN639" s="978"/>
      <c r="IO639" s="978"/>
      <c r="IP639" s="978"/>
      <c r="IQ639" s="978"/>
      <c r="IR639" s="978"/>
      <c r="IS639" s="978"/>
      <c r="IT639" s="978"/>
      <c r="IU639" s="978"/>
      <c r="IV639" s="978"/>
    </row>
    <row r="640" spans="1:256" ht="48.75" customHeight="1">
      <c r="A640" s="2483">
        <v>10</v>
      </c>
      <c r="B640" s="2364" t="s">
        <v>3089</v>
      </c>
      <c r="C640" s="2483" t="s">
        <v>4555</v>
      </c>
      <c r="D640" s="2485" t="s">
        <v>4957</v>
      </c>
      <c r="E640" s="2483" t="s">
        <v>4556</v>
      </c>
      <c r="F640" s="2488">
        <v>34500000</v>
      </c>
      <c r="G640" s="599"/>
      <c r="H640" s="599"/>
      <c r="I640" s="599"/>
      <c r="J640" s="599"/>
      <c r="K640" s="890"/>
      <c r="L640" s="599"/>
      <c r="M640" s="1990" t="s">
        <v>4816</v>
      </c>
      <c r="N640" s="599" t="s">
        <v>4818</v>
      </c>
      <c r="O640" s="599">
        <v>20614140</v>
      </c>
      <c r="P640" s="599" t="s">
        <v>4611</v>
      </c>
      <c r="Q640" s="599"/>
      <c r="R640" s="599"/>
      <c r="S640" s="599"/>
      <c r="T640" s="599"/>
      <c r="U640" s="599"/>
      <c r="V640" s="599"/>
      <c r="W640" s="599"/>
      <c r="X640" s="599"/>
    </row>
    <row r="641" spans="1:256" ht="44.25" customHeight="1">
      <c r="A641" s="2484"/>
      <c r="B641" s="2365"/>
      <c r="C641" s="2484"/>
      <c r="D641" s="2486"/>
      <c r="E641" s="2484"/>
      <c r="F641" s="2489"/>
      <c r="G641" s="599"/>
      <c r="H641" s="599"/>
      <c r="I641" s="599"/>
      <c r="J641" s="599"/>
      <c r="K641" s="599"/>
      <c r="L641" s="599"/>
      <c r="M641" s="1990" t="s">
        <v>4752</v>
      </c>
      <c r="N641" s="2035" t="s">
        <v>4751</v>
      </c>
      <c r="O641" s="599"/>
      <c r="P641" s="599"/>
      <c r="Q641" s="599"/>
      <c r="R641" s="1809" t="s">
        <v>4817</v>
      </c>
      <c r="S641" s="599"/>
      <c r="T641" s="599"/>
      <c r="U641" s="599"/>
      <c r="V641" s="599"/>
      <c r="W641" s="599"/>
      <c r="X641" s="599"/>
    </row>
    <row r="642" spans="1:256" ht="63" customHeight="1">
      <c r="A642" s="2476"/>
      <c r="B642" s="2366"/>
      <c r="C642" s="2476"/>
      <c r="D642" s="2487"/>
      <c r="E642" s="2476"/>
      <c r="F642" s="2490"/>
      <c r="G642" s="599"/>
      <c r="H642" s="502"/>
      <c r="I642" s="599"/>
      <c r="J642" s="599"/>
      <c r="K642" s="599"/>
      <c r="L642" s="599"/>
      <c r="M642" s="446" t="s">
        <v>4585</v>
      </c>
      <c r="N642" s="599"/>
      <c r="O642" s="890">
        <f>383600                           +345500                               +445000</f>
        <v>1174100</v>
      </c>
      <c r="P642" s="599"/>
      <c r="Q642" s="599"/>
      <c r="R642" s="890" t="s">
        <v>4700</v>
      </c>
      <c r="S642" s="1337" t="s">
        <v>4701</v>
      </c>
      <c r="T642" s="599"/>
      <c r="U642" s="599"/>
      <c r="V642" s="599"/>
      <c r="W642" s="599"/>
      <c r="X642" s="599"/>
    </row>
    <row r="643" spans="1:256" ht="188.25" customHeight="1">
      <c r="A643" s="599"/>
      <c r="B643" s="1880" t="s">
        <v>4771</v>
      </c>
      <c r="C643" s="599" t="s">
        <v>5016</v>
      </c>
      <c r="D643" s="599" t="s">
        <v>5106</v>
      </c>
      <c r="E643" s="599" t="s">
        <v>4772</v>
      </c>
      <c r="F643" s="599" t="s">
        <v>4773</v>
      </c>
      <c r="G643" s="599"/>
      <c r="H643" s="599"/>
      <c r="I643" s="599"/>
      <c r="J643" s="599" t="s">
        <v>5104</v>
      </c>
      <c r="K643" s="1094" t="s">
        <v>5103</v>
      </c>
      <c r="L643" s="599" t="s">
        <v>5105</v>
      </c>
      <c r="M643" s="599" t="s">
        <v>4787</v>
      </c>
      <c r="N643" s="599" t="s">
        <v>4788</v>
      </c>
      <c r="O643" s="599" t="s">
        <v>4789</v>
      </c>
      <c r="P643" s="599"/>
      <c r="Q643" s="599"/>
      <c r="R643" s="599"/>
      <c r="S643" s="599"/>
      <c r="T643" s="599"/>
      <c r="U643" s="599"/>
      <c r="V643" s="599"/>
      <c r="W643" s="599"/>
      <c r="X643" s="599"/>
      <c r="Y643" s="599"/>
      <c r="Z643" s="599"/>
      <c r="AA643" s="599"/>
      <c r="AB643" s="599"/>
      <c r="AC643" s="599"/>
      <c r="AD643" s="599"/>
      <c r="AE643" s="599"/>
      <c r="AF643" s="599"/>
      <c r="AG643" s="599"/>
      <c r="AH643" s="599"/>
    </row>
    <row r="644" spans="1:256" ht="141.75" customHeight="1">
      <c r="A644" s="599"/>
      <c r="B644" s="446" t="s">
        <v>4702</v>
      </c>
      <c r="C644" s="599" t="s">
        <v>4827</v>
      </c>
      <c r="D644" s="599" t="s">
        <v>4783</v>
      </c>
      <c r="E644" s="599" t="s">
        <v>4705</v>
      </c>
      <c r="F644" s="599" t="s">
        <v>4704</v>
      </c>
      <c r="G644" s="599"/>
      <c r="H644" s="610"/>
      <c r="I644" s="610"/>
      <c r="J644" s="599" t="s">
        <v>4853</v>
      </c>
      <c r="K644" s="599" t="s">
        <v>4879</v>
      </c>
      <c r="L644" s="1880" t="s">
        <v>567</v>
      </c>
      <c r="M644" s="446" t="s">
        <v>4820</v>
      </c>
      <c r="N644" s="599" t="s">
        <v>4828</v>
      </c>
      <c r="O644" s="599"/>
      <c r="P644" s="599"/>
      <c r="Q644" s="599"/>
      <c r="R644" s="599"/>
      <c r="S644" s="599"/>
      <c r="T644" s="599"/>
      <c r="U644" s="599"/>
      <c r="V644" s="599"/>
      <c r="W644" s="599"/>
      <c r="X644" s="599"/>
      <c r="Y644" s="599"/>
      <c r="Z644" s="599"/>
      <c r="AA644" s="599"/>
      <c r="AB644" s="599"/>
      <c r="AC644" s="599"/>
      <c r="AD644" s="599"/>
      <c r="AE644" s="599"/>
      <c r="AF644" s="599"/>
      <c r="AG644" s="599"/>
      <c r="AH644" s="599"/>
    </row>
    <row r="645" spans="1:256" s="13" customFormat="1" ht="48">
      <c r="A645" s="610"/>
      <c r="B645" s="1882" t="s">
        <v>4682</v>
      </c>
      <c r="C645" s="610" t="s">
        <v>4890</v>
      </c>
      <c r="D645" s="610" t="s">
        <v>5073</v>
      </c>
      <c r="E645" s="610" t="s">
        <v>4683</v>
      </c>
      <c r="F645" s="610" t="s">
        <v>4684</v>
      </c>
      <c r="G645" s="610"/>
      <c r="H645" s="610"/>
      <c r="I645" s="610"/>
      <c r="J645" s="610" t="s">
        <v>4958</v>
      </c>
      <c r="K645" s="2034" t="s">
        <v>4891</v>
      </c>
      <c r="L645" s="1880" t="s">
        <v>567</v>
      </c>
      <c r="M645" s="610"/>
      <c r="N645" s="610"/>
      <c r="O645" s="610"/>
      <c r="P645" s="610"/>
      <c r="Q645" s="610"/>
      <c r="R645" s="610"/>
      <c r="S645" s="610"/>
      <c r="T645" s="610"/>
      <c r="U645" s="610"/>
      <c r="V645" s="610"/>
      <c r="W645" s="610"/>
      <c r="X645" s="610"/>
      <c r="Y645" s="610"/>
      <c r="Z645" s="610"/>
      <c r="AA645" s="610"/>
      <c r="AB645" s="610"/>
      <c r="AC645" s="610"/>
      <c r="AD645" s="610"/>
      <c r="AE645" s="610"/>
      <c r="AF645" s="610"/>
      <c r="AG645" s="610"/>
      <c r="AH645" s="610"/>
      <c r="AI645" s="610"/>
      <c r="AJ645" s="610"/>
      <c r="AK645" s="610"/>
      <c r="AL645" s="610"/>
      <c r="AM645" s="610"/>
      <c r="AN645" s="610"/>
      <c r="AO645" s="610"/>
      <c r="AP645" s="610"/>
      <c r="AQ645" s="610"/>
      <c r="AR645" s="610"/>
      <c r="AS645" s="610"/>
      <c r="AT645" s="610"/>
      <c r="AU645" s="610"/>
      <c r="AV645" s="610"/>
      <c r="AW645" s="610"/>
      <c r="AX645" s="610"/>
      <c r="AY645" s="610"/>
      <c r="AZ645" s="610"/>
      <c r="BA645" s="610"/>
      <c r="BB645" s="610"/>
      <c r="BC645" s="610"/>
      <c r="BD645" s="610"/>
      <c r="BE645" s="610"/>
      <c r="BF645" s="610"/>
      <c r="BG645" s="610"/>
      <c r="BH645" s="610"/>
      <c r="BI645" s="610"/>
      <c r="BJ645" s="610"/>
      <c r="BK645" s="610"/>
      <c r="BL645" s="610"/>
      <c r="BM645" s="610"/>
      <c r="BN645" s="610"/>
      <c r="BO645" s="610"/>
      <c r="BP645" s="610"/>
      <c r="BQ645" s="610"/>
      <c r="BR645" s="610"/>
      <c r="BS645" s="610"/>
      <c r="BT645" s="610"/>
      <c r="BU645" s="610"/>
      <c r="BV645" s="610"/>
      <c r="BW645" s="610"/>
      <c r="BX645" s="610"/>
      <c r="BY645" s="610"/>
      <c r="BZ645" s="610"/>
      <c r="CA645" s="610"/>
      <c r="CB645" s="610"/>
      <c r="CC645" s="610"/>
      <c r="CD645" s="610"/>
      <c r="CE645" s="610"/>
      <c r="CF645" s="610"/>
      <c r="CG645" s="610"/>
      <c r="CH645" s="610"/>
      <c r="CI645" s="610"/>
      <c r="CJ645" s="610"/>
      <c r="CK645" s="610"/>
      <c r="CL645" s="610"/>
      <c r="CM645" s="610"/>
      <c r="CN645" s="610"/>
      <c r="CO645" s="610"/>
      <c r="CP645" s="610"/>
      <c r="CQ645" s="610"/>
      <c r="CR645" s="610"/>
      <c r="CS645" s="610"/>
      <c r="CT645" s="610"/>
      <c r="CU645" s="610"/>
      <c r="CV645" s="610"/>
      <c r="CW645" s="610"/>
      <c r="CX645" s="610"/>
      <c r="CY645" s="610"/>
      <c r="CZ645" s="610"/>
      <c r="DA645" s="610"/>
      <c r="DB645" s="610"/>
      <c r="DC645" s="610"/>
      <c r="DD645" s="610"/>
      <c r="DE645" s="610"/>
      <c r="DF645" s="610"/>
      <c r="DG645" s="610"/>
      <c r="DH645" s="610"/>
      <c r="DI645" s="610"/>
      <c r="DJ645" s="610"/>
      <c r="DK645" s="610"/>
      <c r="DL645" s="610"/>
      <c r="DM645" s="610"/>
      <c r="DN645" s="610"/>
      <c r="DO645" s="610"/>
      <c r="DP645" s="610"/>
      <c r="DQ645" s="610"/>
      <c r="DR645" s="610"/>
      <c r="DS645" s="610"/>
      <c r="DT645" s="610"/>
      <c r="DU645" s="610"/>
      <c r="DV645" s="610"/>
      <c r="DW645" s="610"/>
      <c r="DX645" s="610"/>
      <c r="DY645" s="610"/>
      <c r="DZ645" s="610"/>
      <c r="EA645" s="610"/>
      <c r="EB645" s="610"/>
      <c r="EC645" s="610"/>
      <c r="ED645" s="610"/>
      <c r="EE645" s="610"/>
      <c r="EF645" s="610"/>
      <c r="EG645" s="610"/>
      <c r="EH645" s="610"/>
      <c r="EI645" s="610"/>
      <c r="EJ645" s="610"/>
      <c r="EK645" s="610"/>
      <c r="EL645" s="610"/>
      <c r="EM645" s="610"/>
      <c r="EN645" s="610"/>
      <c r="EO645" s="610"/>
      <c r="EP645" s="610"/>
      <c r="EQ645" s="610"/>
      <c r="ER645" s="610"/>
      <c r="ES645" s="610"/>
      <c r="ET645" s="610"/>
      <c r="EU645" s="610"/>
      <c r="EV645" s="610"/>
      <c r="EW645" s="610"/>
      <c r="EX645" s="610"/>
      <c r="EY645" s="610"/>
      <c r="EZ645" s="610"/>
      <c r="FA645" s="610"/>
      <c r="FB645" s="610"/>
      <c r="FC645" s="610"/>
      <c r="FD645" s="610"/>
      <c r="FE645" s="610"/>
      <c r="FF645" s="610"/>
      <c r="FG645" s="610"/>
      <c r="FH645" s="610"/>
      <c r="FI645" s="610"/>
      <c r="FJ645" s="610"/>
      <c r="FK645" s="610"/>
      <c r="FL645" s="610"/>
      <c r="FM645" s="610"/>
      <c r="FN645" s="610"/>
      <c r="FO645" s="610"/>
      <c r="FP645" s="610"/>
      <c r="FQ645" s="610"/>
      <c r="FR645" s="610"/>
      <c r="FS645" s="610"/>
      <c r="FT645" s="610"/>
      <c r="FU645" s="610"/>
      <c r="FV645" s="610"/>
      <c r="FW645" s="610"/>
      <c r="FX645" s="610"/>
      <c r="FY645" s="610"/>
      <c r="FZ645" s="610"/>
      <c r="GA645" s="610"/>
      <c r="GB645" s="610"/>
      <c r="GC645" s="610"/>
      <c r="GD645" s="610"/>
      <c r="GE645" s="610"/>
      <c r="GF645" s="610"/>
      <c r="GG645" s="610"/>
      <c r="GH645" s="610"/>
      <c r="GI645" s="610"/>
      <c r="GJ645" s="610"/>
      <c r="GK645" s="610"/>
      <c r="GL645" s="610"/>
      <c r="GM645" s="610"/>
      <c r="GN645" s="610"/>
      <c r="GO645" s="610"/>
      <c r="GP645" s="610"/>
      <c r="GQ645" s="610"/>
      <c r="GR645" s="610"/>
      <c r="GS645" s="610"/>
      <c r="GT645" s="610"/>
      <c r="GU645" s="610"/>
      <c r="GV645" s="610"/>
      <c r="GW645" s="610"/>
      <c r="GX645" s="610"/>
      <c r="GY645" s="610"/>
      <c r="GZ645" s="610"/>
      <c r="HA645" s="610"/>
      <c r="HB645" s="610"/>
      <c r="HC645" s="610"/>
      <c r="HD645" s="610"/>
      <c r="HE645" s="610"/>
      <c r="HF645" s="610"/>
      <c r="HG645" s="610"/>
      <c r="HH645" s="610"/>
      <c r="HI645" s="610"/>
      <c r="HJ645" s="610"/>
      <c r="HK645" s="610"/>
      <c r="HL645" s="610"/>
      <c r="HM645" s="610"/>
      <c r="HN645" s="610"/>
      <c r="HO645" s="610"/>
      <c r="HP645" s="610"/>
      <c r="HQ645" s="610"/>
      <c r="HR645" s="610"/>
      <c r="HS645" s="610"/>
      <c r="HT645" s="610"/>
      <c r="HU645" s="610"/>
      <c r="HV645" s="610"/>
      <c r="HW645" s="610"/>
      <c r="HX645" s="610"/>
      <c r="HY645" s="610"/>
      <c r="HZ645" s="610"/>
      <c r="IA645" s="610"/>
      <c r="IB645" s="610"/>
      <c r="IC645" s="610"/>
      <c r="ID645" s="610"/>
      <c r="IE645" s="610"/>
      <c r="IF645" s="610"/>
      <c r="IG645" s="610"/>
      <c r="IH645" s="610"/>
      <c r="II645" s="610"/>
      <c r="IJ645" s="610"/>
      <c r="IK645" s="610"/>
      <c r="IL645" s="610"/>
      <c r="IM645" s="610"/>
      <c r="IN645" s="610"/>
      <c r="IO645" s="610"/>
      <c r="IP645" s="610"/>
      <c r="IQ645" s="610"/>
      <c r="IR645" s="610"/>
      <c r="IS645" s="610"/>
      <c r="IT645" s="610"/>
      <c r="IU645" s="610"/>
      <c r="IV645" s="610"/>
    </row>
    <row r="646" spans="1:256" ht="157.5" customHeight="1">
      <c r="A646" s="599"/>
      <c r="B646" s="446" t="s">
        <v>4813</v>
      </c>
      <c r="C646" s="599" t="s">
        <v>4814</v>
      </c>
      <c r="D646" s="599" t="s">
        <v>4815</v>
      </c>
      <c r="E646" s="610" t="s">
        <v>1715</v>
      </c>
      <c r="F646" s="601">
        <v>4620000</v>
      </c>
      <c r="G646" s="599"/>
      <c r="H646" s="599"/>
      <c r="I646" s="599"/>
      <c r="J646" s="599">
        <f>550000                                       +1480000                              +2590000</f>
        <v>4620000</v>
      </c>
      <c r="K646" s="1094" t="s">
        <v>4980</v>
      </c>
      <c r="L646" s="890" t="s">
        <v>4979</v>
      </c>
      <c r="M646" s="446" t="s">
        <v>4846</v>
      </c>
      <c r="N646" s="599" t="s">
        <v>4849</v>
      </c>
      <c r="O646" s="599" t="s">
        <v>4847</v>
      </c>
      <c r="P646" s="599"/>
      <c r="Q646" s="599" t="s">
        <v>4850</v>
      </c>
      <c r="R646" s="599" t="s">
        <v>4871</v>
      </c>
      <c r="S646" s="599"/>
      <c r="T646" s="599"/>
      <c r="U646" s="599"/>
      <c r="V646" s="599"/>
      <c r="W646" s="599"/>
      <c r="X646" s="599"/>
      <c r="Y646" s="599"/>
      <c r="Z646" s="599"/>
      <c r="AA646" s="599"/>
      <c r="AB646" s="599"/>
      <c r="AC646" s="599"/>
      <c r="AD646" s="599"/>
      <c r="AE646" s="599"/>
      <c r="AF646" s="599"/>
      <c r="AG646" s="599"/>
      <c r="AH646" s="599"/>
    </row>
    <row r="647" spans="1:256" ht="141.75" customHeight="1">
      <c r="A647" s="599"/>
      <c r="B647" s="1882" t="s">
        <v>4821</v>
      </c>
      <c r="C647" s="599" t="s">
        <v>4823</v>
      </c>
      <c r="D647" s="599" t="s">
        <v>4822</v>
      </c>
      <c r="E647" s="599"/>
      <c r="F647" s="599">
        <v>176000</v>
      </c>
      <c r="G647" s="599"/>
      <c r="H647" s="599"/>
      <c r="I647" s="599"/>
      <c r="J647" s="599">
        <v>176000</v>
      </c>
      <c r="K647" s="1094" t="s">
        <v>4848</v>
      </c>
      <c r="L647" s="1880" t="s">
        <v>567</v>
      </c>
      <c r="M647" s="599"/>
      <c r="N647" s="599"/>
      <c r="O647" s="599"/>
      <c r="P647" s="599"/>
      <c r="Q647" s="599"/>
      <c r="R647" s="599"/>
      <c r="S647" s="599"/>
      <c r="T647" s="599"/>
      <c r="U647" s="599"/>
      <c r="V647" s="599"/>
      <c r="W647" s="599"/>
      <c r="X647" s="599"/>
      <c r="Y647" s="599"/>
      <c r="Z647" s="599"/>
      <c r="AA647" s="599"/>
      <c r="AB647" s="599"/>
      <c r="AC647" s="599"/>
      <c r="AD647" s="599"/>
      <c r="AE647" s="599"/>
      <c r="AF647" s="599"/>
      <c r="AG647" s="599"/>
      <c r="AH647" s="599"/>
    </row>
    <row r="648" spans="1:256" ht="96" customHeight="1">
      <c r="A648" s="599"/>
      <c r="B648" s="446" t="s">
        <v>4824</v>
      </c>
      <c r="C648" s="599" t="s">
        <v>4887</v>
      </c>
      <c r="D648" s="599" t="s">
        <v>4997</v>
      </c>
      <c r="E648" s="599" t="s">
        <v>4826</v>
      </c>
      <c r="F648" s="601" t="s">
        <v>4998</v>
      </c>
      <c r="G648" s="599"/>
      <c r="H648" s="599"/>
      <c r="I648" s="599"/>
      <c r="J648" s="890"/>
      <c r="K648" s="1337"/>
      <c r="L648" s="599"/>
      <c r="M648" s="599" t="s">
        <v>4727</v>
      </c>
      <c r="N648" s="599" t="s">
        <v>4825</v>
      </c>
      <c r="O648" s="599"/>
      <c r="P648" s="599"/>
      <c r="Q648" s="599"/>
      <c r="R648" s="599"/>
      <c r="S648" s="599"/>
      <c r="T648" s="599"/>
      <c r="U648" s="599"/>
      <c r="V648" s="599"/>
      <c r="W648" s="599"/>
    </row>
    <row r="649" spans="1:256" ht="96" customHeight="1">
      <c r="A649" s="599"/>
      <c r="B649" s="446" t="s">
        <v>4824</v>
      </c>
      <c r="C649" s="599" t="s">
        <v>4887</v>
      </c>
      <c r="D649" s="599" t="s">
        <v>4914</v>
      </c>
      <c r="E649" s="599" t="s">
        <v>4898</v>
      </c>
      <c r="F649" s="601">
        <v>5754243.2400000002</v>
      </c>
      <c r="G649" s="599"/>
      <c r="H649" s="599"/>
      <c r="I649" s="599"/>
      <c r="J649" s="1791" t="s">
        <v>5074</v>
      </c>
      <c r="K649" s="1793" t="s">
        <v>5092</v>
      </c>
      <c r="L649" s="599" t="s">
        <v>5126</v>
      </c>
      <c r="M649" s="599"/>
      <c r="N649" s="599"/>
      <c r="O649" s="599"/>
      <c r="P649" s="599"/>
      <c r="Q649" s="599"/>
      <c r="R649" s="599"/>
      <c r="S649" s="599"/>
      <c r="T649" s="599"/>
      <c r="U649" s="599"/>
      <c r="V649" s="599"/>
      <c r="W649" s="599"/>
    </row>
    <row r="650" spans="1:256" ht="48.75" customHeight="1">
      <c r="A650" s="599"/>
      <c r="B650" s="446" t="s">
        <v>4763</v>
      </c>
      <c r="C650" s="599" t="s">
        <v>4830</v>
      </c>
      <c r="D650" s="599" t="s">
        <v>4829</v>
      </c>
      <c r="E650" s="599"/>
      <c r="F650" s="599">
        <v>2040000</v>
      </c>
      <c r="G650" s="599"/>
      <c r="H650" s="599"/>
      <c r="I650" s="599"/>
      <c r="J650" s="599"/>
      <c r="K650" s="599"/>
      <c r="L650" s="599"/>
      <c r="M650" s="599" t="s">
        <v>4765</v>
      </c>
      <c r="N650" s="599" t="s">
        <v>4766</v>
      </c>
      <c r="O650" s="599"/>
      <c r="P650" s="599"/>
      <c r="Q650" s="599"/>
      <c r="R650" s="599"/>
      <c r="S650" s="599"/>
      <c r="T650" s="599"/>
      <c r="U650" s="599"/>
      <c r="V650" s="599"/>
      <c r="W650" s="599"/>
      <c r="X650" s="599"/>
      <c r="Y650" s="599"/>
      <c r="Z650" s="599"/>
      <c r="AA650" s="599"/>
      <c r="AB650" s="599"/>
      <c r="AC650" s="599"/>
      <c r="AD650" s="599"/>
      <c r="AE650" s="599"/>
      <c r="AF650" s="599"/>
      <c r="AG650" s="599"/>
      <c r="AH650" s="599"/>
    </row>
    <row r="651" spans="1:256" ht="203.25" customHeight="1">
      <c r="A651" s="599"/>
      <c r="B651" s="446" t="s">
        <v>3427</v>
      </c>
      <c r="C651" s="599" t="s">
        <v>4843</v>
      </c>
      <c r="D651" s="599" t="s">
        <v>4845</v>
      </c>
      <c r="E651" s="599" t="s">
        <v>4844</v>
      </c>
      <c r="F651" s="599">
        <v>280000</v>
      </c>
      <c r="G651" s="599"/>
      <c r="H651" s="599"/>
      <c r="I651" s="599"/>
      <c r="J651" s="599">
        <v>280000</v>
      </c>
      <c r="K651" s="1094">
        <v>45419</v>
      </c>
      <c r="L651" s="599"/>
      <c r="M651" s="1880" t="s">
        <v>567</v>
      </c>
      <c r="N651" s="599"/>
      <c r="O651" s="599"/>
      <c r="P651" s="599"/>
      <c r="Q651" s="599"/>
      <c r="R651" s="599"/>
      <c r="S651" s="599"/>
      <c r="T651" s="599"/>
      <c r="U651" s="599"/>
      <c r="V651" s="599"/>
      <c r="W651" s="599"/>
    </row>
    <row r="652" spans="1:256" s="2139" customFormat="1" ht="111" customHeight="1">
      <c r="A652" s="1809"/>
      <c r="B652" s="1990" t="s">
        <v>3427</v>
      </c>
      <c r="C652" s="1809" t="s">
        <v>4910</v>
      </c>
      <c r="D652" s="1809" t="s">
        <v>4911</v>
      </c>
      <c r="E652" s="1809" t="s">
        <v>4912</v>
      </c>
      <c r="F652" s="1809">
        <v>3200000</v>
      </c>
      <c r="G652" s="1809"/>
      <c r="H652" s="1809" t="s">
        <v>5003</v>
      </c>
      <c r="I652" s="1809"/>
      <c r="J652" s="1808">
        <v>3200000</v>
      </c>
      <c r="K652" s="2137">
        <v>45597</v>
      </c>
      <c r="L652" s="1808" t="s">
        <v>5113</v>
      </c>
      <c r="M652" s="1809"/>
      <c r="N652" s="1809"/>
      <c r="O652" s="1809"/>
      <c r="P652" s="1809"/>
      <c r="Q652" s="1809"/>
      <c r="R652" s="1809"/>
      <c r="S652" s="1809"/>
      <c r="T652" s="1809"/>
      <c r="U652" s="1809"/>
      <c r="V652" s="1809"/>
      <c r="W652" s="1809"/>
      <c r="X652" s="2138"/>
      <c r="Y652" s="2138"/>
      <c r="Z652" s="2138"/>
      <c r="AA652" s="2138"/>
      <c r="AB652" s="2138"/>
      <c r="AC652" s="2138"/>
      <c r="AD652" s="2138"/>
      <c r="AE652" s="2138"/>
      <c r="AF652" s="2138"/>
      <c r="AG652" s="2138"/>
      <c r="AH652" s="2138"/>
      <c r="AI652" s="2138"/>
      <c r="AJ652" s="2138"/>
      <c r="AK652" s="2138"/>
      <c r="AL652" s="2138"/>
      <c r="AM652" s="2138"/>
      <c r="AN652" s="2138"/>
      <c r="AO652" s="2138"/>
      <c r="AP652" s="2138"/>
      <c r="AQ652" s="2138"/>
      <c r="AR652" s="2138"/>
      <c r="AS652" s="2138"/>
      <c r="AT652" s="2138"/>
      <c r="AU652" s="2138"/>
      <c r="AV652" s="2138"/>
      <c r="AW652" s="2138"/>
      <c r="AX652" s="2138"/>
      <c r="AY652" s="2138"/>
      <c r="AZ652" s="2138"/>
      <c r="BA652" s="2138"/>
      <c r="BB652" s="2138"/>
      <c r="BC652" s="2138"/>
      <c r="BD652" s="2138"/>
      <c r="BE652" s="2138"/>
      <c r="BF652" s="2138"/>
      <c r="BG652" s="2138"/>
      <c r="BH652" s="2138"/>
      <c r="BI652" s="2138"/>
      <c r="BJ652" s="2138"/>
      <c r="BK652" s="2138"/>
      <c r="BL652" s="2138"/>
      <c r="BM652" s="2138"/>
      <c r="BN652" s="2138"/>
      <c r="BO652" s="2138"/>
      <c r="BP652" s="2138"/>
      <c r="BQ652" s="2138"/>
      <c r="BR652" s="2138"/>
      <c r="BS652" s="2138"/>
      <c r="BT652" s="2138"/>
      <c r="BU652" s="2138"/>
      <c r="BV652" s="2138"/>
      <c r="BW652" s="2138"/>
      <c r="BX652" s="2138"/>
      <c r="BY652" s="2138"/>
      <c r="BZ652" s="2138"/>
      <c r="CA652" s="2138"/>
      <c r="CB652" s="2138"/>
      <c r="CC652" s="2138"/>
      <c r="CD652" s="2138"/>
      <c r="CE652" s="2138"/>
      <c r="CF652" s="2138"/>
      <c r="CG652" s="2138"/>
      <c r="CH652" s="2138"/>
      <c r="CI652" s="2138"/>
      <c r="CJ652" s="2138"/>
      <c r="CK652" s="2138"/>
      <c r="CL652" s="2138"/>
      <c r="CM652" s="2138"/>
      <c r="CN652" s="2138"/>
      <c r="CO652" s="2138"/>
      <c r="CP652" s="2138"/>
      <c r="CQ652" s="2138"/>
      <c r="CR652" s="2138"/>
      <c r="CS652" s="2138"/>
      <c r="CT652" s="2138"/>
      <c r="CU652" s="2138"/>
      <c r="CV652" s="2138"/>
      <c r="CW652" s="2138"/>
      <c r="CX652" s="2138"/>
      <c r="CY652" s="2138"/>
      <c r="CZ652" s="2138"/>
      <c r="DA652" s="2138"/>
      <c r="DB652" s="2138"/>
      <c r="DC652" s="2138"/>
      <c r="DD652" s="2138"/>
      <c r="DE652" s="2138"/>
      <c r="DF652" s="2138"/>
      <c r="DG652" s="2138"/>
      <c r="DH652" s="2138"/>
      <c r="DI652" s="2138"/>
      <c r="DJ652" s="2138"/>
      <c r="DK652" s="2138"/>
      <c r="DL652" s="2138"/>
      <c r="DM652" s="2138"/>
      <c r="DN652" s="2138"/>
      <c r="DO652" s="2138"/>
      <c r="DP652" s="2138"/>
      <c r="DQ652" s="2138"/>
      <c r="DR652" s="2138"/>
      <c r="DS652" s="2138"/>
      <c r="DT652" s="2138"/>
      <c r="DU652" s="2138"/>
      <c r="DV652" s="2138"/>
      <c r="DW652" s="2138"/>
      <c r="DX652" s="2138"/>
      <c r="DY652" s="2138"/>
      <c r="DZ652" s="2138"/>
      <c r="EA652" s="2138"/>
      <c r="EB652" s="2138"/>
      <c r="EC652" s="2138"/>
      <c r="ED652" s="2138"/>
      <c r="EE652" s="2138"/>
      <c r="EF652" s="2138"/>
      <c r="EG652" s="2138"/>
      <c r="EH652" s="2138"/>
      <c r="EI652" s="2138"/>
      <c r="EJ652" s="2138"/>
      <c r="EK652" s="2138"/>
      <c r="EL652" s="2138"/>
      <c r="EM652" s="2138"/>
      <c r="EN652" s="2138"/>
      <c r="EO652" s="2138"/>
      <c r="EP652" s="2138"/>
      <c r="EQ652" s="2138"/>
      <c r="ER652" s="2138"/>
      <c r="ES652" s="2138"/>
      <c r="ET652" s="2138"/>
      <c r="EU652" s="2138"/>
      <c r="EV652" s="2138"/>
      <c r="EW652" s="2138"/>
      <c r="EX652" s="2138"/>
      <c r="EY652" s="2138"/>
      <c r="EZ652" s="2138"/>
      <c r="FA652" s="2138"/>
      <c r="FB652" s="2138"/>
      <c r="FC652" s="2138"/>
      <c r="FD652" s="2138"/>
      <c r="FE652" s="2138"/>
      <c r="FF652" s="2138"/>
      <c r="FG652" s="2138"/>
      <c r="FH652" s="2138"/>
      <c r="FI652" s="2138"/>
      <c r="FJ652" s="2138"/>
      <c r="FK652" s="2138"/>
      <c r="FL652" s="2138"/>
      <c r="FM652" s="2138"/>
      <c r="FN652" s="2138"/>
      <c r="FO652" s="2138"/>
      <c r="FP652" s="2138"/>
      <c r="FQ652" s="2138"/>
      <c r="FR652" s="2138"/>
      <c r="FS652" s="2138"/>
      <c r="FT652" s="2138"/>
      <c r="FU652" s="2138"/>
      <c r="FV652" s="2138"/>
      <c r="FW652" s="2138"/>
      <c r="FX652" s="2138"/>
      <c r="FY652" s="2138"/>
      <c r="FZ652" s="2138"/>
      <c r="GA652" s="2138"/>
      <c r="GB652" s="2138"/>
      <c r="GC652" s="2138"/>
      <c r="GD652" s="2138"/>
      <c r="GE652" s="2138"/>
      <c r="GF652" s="2138"/>
      <c r="GG652" s="2138"/>
      <c r="GH652" s="2138"/>
      <c r="GI652" s="2138"/>
      <c r="GJ652" s="2138"/>
      <c r="GK652" s="2138"/>
      <c r="GL652" s="2138"/>
      <c r="GM652" s="2138"/>
      <c r="GN652" s="2138"/>
      <c r="GO652" s="2138"/>
      <c r="GP652" s="2138"/>
      <c r="GQ652" s="2138"/>
      <c r="GR652" s="2138"/>
      <c r="GS652" s="2138"/>
      <c r="GT652" s="2138"/>
      <c r="GU652" s="2138"/>
      <c r="GV652" s="2138"/>
      <c r="GW652" s="2138"/>
      <c r="GX652" s="2138"/>
      <c r="GY652" s="2138"/>
      <c r="GZ652" s="2138"/>
      <c r="HA652" s="2138"/>
      <c r="HB652" s="2138"/>
      <c r="HC652" s="2138"/>
      <c r="HD652" s="2138"/>
      <c r="HE652" s="2138"/>
      <c r="HF652" s="2138"/>
      <c r="HG652" s="2138"/>
      <c r="HH652" s="2138"/>
      <c r="HI652" s="2138"/>
      <c r="HJ652" s="2138"/>
      <c r="HK652" s="2138"/>
      <c r="HL652" s="2138"/>
      <c r="HM652" s="2138"/>
      <c r="HN652" s="2138"/>
      <c r="HO652" s="2138"/>
      <c r="HP652" s="2138"/>
      <c r="HQ652" s="2138"/>
      <c r="HR652" s="2138"/>
      <c r="HS652" s="2138"/>
      <c r="HT652" s="2138"/>
      <c r="HU652" s="2138"/>
      <c r="HV652" s="2138"/>
      <c r="HW652" s="2138"/>
      <c r="HX652" s="2138"/>
      <c r="HY652" s="2138"/>
      <c r="HZ652" s="2138"/>
      <c r="IA652" s="2138"/>
      <c r="IB652" s="2138"/>
      <c r="IC652" s="2138"/>
      <c r="ID652" s="2138"/>
      <c r="IE652" s="2138"/>
      <c r="IF652" s="2138"/>
      <c r="IG652" s="2138"/>
      <c r="IH652" s="2138"/>
      <c r="II652" s="2138"/>
      <c r="IJ652" s="2138"/>
      <c r="IK652" s="2138"/>
      <c r="IL652" s="2138"/>
      <c r="IM652" s="2138"/>
      <c r="IN652" s="2138"/>
      <c r="IO652" s="2138"/>
      <c r="IP652" s="2138"/>
      <c r="IQ652" s="2138"/>
      <c r="IR652" s="2138"/>
      <c r="IS652" s="2138"/>
      <c r="IT652" s="2138"/>
      <c r="IU652" s="2138"/>
      <c r="IV652" s="2138"/>
    </row>
    <row r="653" spans="1:256" ht="93.75" customHeight="1">
      <c r="A653" s="599"/>
      <c r="B653" s="446" t="s">
        <v>3427</v>
      </c>
      <c r="C653" s="599" t="s">
        <v>5114</v>
      </c>
      <c r="D653" s="599" t="s">
        <v>5075</v>
      </c>
      <c r="E653" s="599"/>
      <c r="F653" s="1141">
        <v>975000</v>
      </c>
      <c r="G653" s="599"/>
      <c r="H653" s="599"/>
      <c r="I653" s="599"/>
      <c r="J653" s="2082">
        <v>975000</v>
      </c>
      <c r="K653" s="1094">
        <v>45259</v>
      </c>
      <c r="L653" s="599"/>
      <c r="M653" s="599"/>
      <c r="N653" s="599"/>
      <c r="O653" s="599"/>
      <c r="P653" s="599"/>
      <c r="Q653" s="599"/>
      <c r="R653" s="599"/>
      <c r="S653" s="599"/>
      <c r="T653" s="2070" t="s">
        <v>5025</v>
      </c>
      <c r="U653" s="599"/>
      <c r="V653" s="599"/>
      <c r="W653" s="599"/>
    </row>
    <row r="654" spans="1:256" ht="93.75" customHeight="1">
      <c r="A654" s="599"/>
      <c r="B654" s="446" t="s">
        <v>3427</v>
      </c>
      <c r="C654" s="599" t="s">
        <v>5162</v>
      </c>
      <c r="D654" s="599" t="s">
        <v>5163</v>
      </c>
      <c r="E654" s="599"/>
      <c r="F654" s="1141">
        <v>240000</v>
      </c>
      <c r="G654" s="599"/>
      <c r="H654" s="599"/>
      <c r="I654" s="599"/>
      <c r="J654" s="2130"/>
      <c r="K654" s="1793"/>
      <c r="L654" s="599"/>
      <c r="M654" s="599"/>
      <c r="N654" s="599"/>
      <c r="O654" s="599"/>
      <c r="P654" s="599"/>
      <c r="Q654" s="599"/>
      <c r="R654" s="599"/>
      <c r="S654" s="599"/>
      <c r="T654" s="2132"/>
      <c r="U654" s="599"/>
      <c r="V654" s="599"/>
      <c r="W654" s="599"/>
    </row>
    <row r="655" spans="1:256" ht="84" customHeight="1">
      <c r="A655" s="599"/>
      <c r="B655" s="446" t="s">
        <v>4839</v>
      </c>
      <c r="C655" s="599" t="s">
        <v>4841</v>
      </c>
      <c r="D655" s="599" t="s">
        <v>5127</v>
      </c>
      <c r="E655" s="599" t="s">
        <v>4840</v>
      </c>
      <c r="F655" s="599">
        <v>5479000</v>
      </c>
      <c r="G655" s="599"/>
      <c r="H655" s="599"/>
      <c r="I655" s="599"/>
      <c r="J655" s="2030" t="s">
        <v>5331</v>
      </c>
      <c r="K655" s="2069" t="s">
        <v>5332</v>
      </c>
      <c r="L655" s="1050" t="s">
        <v>5011</v>
      </c>
      <c r="M655" s="502" t="s">
        <v>5027</v>
      </c>
      <c r="N655" s="599" t="s">
        <v>5026</v>
      </c>
      <c r="O655" s="599">
        <v>610000</v>
      </c>
      <c r="P655" s="599"/>
      <c r="Q655" s="599" t="s">
        <v>5028</v>
      </c>
      <c r="R655" s="599"/>
      <c r="S655" s="599"/>
      <c r="T655" s="599"/>
      <c r="U655" s="599"/>
      <c r="V655" s="599"/>
      <c r="W655" s="599"/>
    </row>
    <row r="656" spans="1:256" ht="63" customHeight="1">
      <c r="A656" s="599"/>
      <c r="B656" s="2416" t="s">
        <v>4858</v>
      </c>
      <c r="C656" s="2483" t="s">
        <v>4859</v>
      </c>
      <c r="D656" s="2483" t="s">
        <v>4860</v>
      </c>
      <c r="E656" s="599"/>
      <c r="F656" s="599"/>
      <c r="G656" s="599"/>
      <c r="H656" s="599"/>
      <c r="I656" s="599"/>
      <c r="J656" s="599"/>
      <c r="K656" s="1094"/>
      <c r="L656" s="594"/>
      <c r="M656" s="610" t="s">
        <v>4944</v>
      </c>
      <c r="N656" s="599" t="s">
        <v>4945</v>
      </c>
      <c r="O656" s="599"/>
      <c r="P656" s="599"/>
      <c r="Q656" s="599"/>
      <c r="R656" s="599"/>
      <c r="S656" s="599"/>
      <c r="T656" s="599"/>
      <c r="U656" s="599"/>
      <c r="V656" s="599"/>
      <c r="W656" s="599"/>
    </row>
    <row r="657" spans="1:256" ht="63" customHeight="1">
      <c r="A657" s="599"/>
      <c r="B657" s="2503"/>
      <c r="C657" s="2484"/>
      <c r="D657" s="2484"/>
      <c r="E657" s="599"/>
      <c r="F657" s="599"/>
      <c r="G657" s="599"/>
      <c r="H657" s="599"/>
      <c r="I657" s="599"/>
      <c r="J657" s="599"/>
      <c r="K657" s="1094"/>
      <c r="L657" s="599"/>
      <c r="M657" s="1977" t="s">
        <v>5013</v>
      </c>
      <c r="N657" s="599"/>
      <c r="O657" s="599"/>
      <c r="P657" s="599"/>
      <c r="Q657" s="599"/>
      <c r="R657" s="599"/>
      <c r="S657" s="599"/>
      <c r="T657" s="599"/>
      <c r="U657" s="599"/>
      <c r="V657" s="599"/>
      <c r="W657" s="599"/>
    </row>
    <row r="658" spans="1:256" ht="82.5" customHeight="1">
      <c r="A658" s="599"/>
      <c r="B658" s="2417"/>
      <c r="C658" s="2476"/>
      <c r="D658" s="2476"/>
      <c r="E658" s="599" t="s">
        <v>4949</v>
      </c>
      <c r="F658" s="595" t="s">
        <v>5039</v>
      </c>
      <c r="G658" s="599"/>
      <c r="H658" s="599"/>
      <c r="I658" s="599"/>
      <c r="J658" s="599"/>
      <c r="K658" s="599"/>
      <c r="L658" s="599"/>
      <c r="M658" s="599" t="s">
        <v>4869</v>
      </c>
      <c r="N658" s="2021"/>
      <c r="O658" s="599"/>
      <c r="P658" s="599"/>
      <c r="Q658" s="599"/>
      <c r="R658" s="890" t="s">
        <v>4889</v>
      </c>
      <c r="S658" s="1337" t="s">
        <v>4888</v>
      </c>
      <c r="T658" s="599"/>
      <c r="U658" s="599"/>
      <c r="V658" s="599"/>
      <c r="W658" s="599"/>
    </row>
    <row r="659" spans="1:256" s="973" customFormat="1" ht="36.75" customHeight="1">
      <c r="A659" s="599"/>
      <c r="B659" s="2416" t="s">
        <v>2861</v>
      </c>
      <c r="C659" s="2483" t="s">
        <v>2870</v>
      </c>
      <c r="D659" s="2416" t="s">
        <v>4874</v>
      </c>
      <c r="E659" s="2483"/>
      <c r="F659" s="2508" t="s">
        <v>4257</v>
      </c>
      <c r="G659" s="2483"/>
      <c r="H659" s="2516"/>
      <c r="I659" s="2508" t="s">
        <v>5012</v>
      </c>
      <c r="J659" s="2483" t="s">
        <v>5014</v>
      </c>
      <c r="K659" s="599"/>
      <c r="L659" s="2514" t="s">
        <v>5011</v>
      </c>
      <c r="M659" s="1882" t="s">
        <v>4258</v>
      </c>
      <c r="N659" s="599" t="s">
        <v>5128</v>
      </c>
      <c r="O659" s="599">
        <v>4780824.1399999997</v>
      </c>
      <c r="P659" s="892"/>
      <c r="Q659" s="892"/>
      <c r="R659" s="607"/>
      <c r="S659" s="1648"/>
      <c r="T659" s="1655"/>
      <c r="U659" s="1655"/>
      <c r="V659" s="1372"/>
      <c r="W659" s="594"/>
      <c r="X659" s="1352"/>
      <c r="Y659" s="1353"/>
      <c r="Z659" s="599"/>
      <c r="AA659" s="599"/>
      <c r="AB659" s="580"/>
      <c r="AC659" s="1128"/>
      <c r="AD659" s="1128"/>
      <c r="AE659" s="1128"/>
      <c r="AF659" s="1128"/>
      <c r="AG659" s="1128"/>
      <c r="AH659" s="1128"/>
      <c r="AI659" s="599"/>
      <c r="AJ659" s="599"/>
      <c r="AK659" s="599"/>
      <c r="AL659" s="599"/>
      <c r="AM659" s="599"/>
      <c r="AN659" s="599"/>
    </row>
    <row r="660" spans="1:256" ht="78" customHeight="1">
      <c r="A660" s="599"/>
      <c r="B660" s="2417"/>
      <c r="C660" s="2476"/>
      <c r="D660" s="2417"/>
      <c r="E660" s="2476"/>
      <c r="F660" s="2509"/>
      <c r="G660" s="2476"/>
      <c r="H660" s="2517"/>
      <c r="I660" s="2509"/>
      <c r="J660" s="2476"/>
      <c r="K660" s="741" t="s">
        <v>4878</v>
      </c>
      <c r="L660" s="2515"/>
      <c r="M660" s="446" t="s">
        <v>4150</v>
      </c>
      <c r="N660" s="599" t="s">
        <v>2863</v>
      </c>
      <c r="O660" s="599">
        <f>270000                                   +112500</f>
        <v>382500</v>
      </c>
      <c r="P660" s="1762">
        <v>270000</v>
      </c>
      <c r="Q660" s="1883" t="s">
        <v>3057</v>
      </c>
      <c r="R660" s="1835" t="s">
        <v>3053</v>
      </c>
      <c r="S660" s="1887" t="s">
        <v>4260</v>
      </c>
      <c r="T660" s="1379"/>
      <c r="U660" s="1379"/>
      <c r="V660" s="1629"/>
      <c r="W660" s="1317"/>
      <c r="X660" s="1225"/>
      <c r="Y660" s="1756"/>
      <c r="Z660" s="741"/>
      <c r="AA660" s="599"/>
      <c r="AB660" s="580"/>
      <c r="AC660" s="580"/>
      <c r="AD660" s="1464"/>
      <c r="AE660" s="599"/>
      <c r="AF660" s="599"/>
      <c r="AG660" s="599"/>
      <c r="AH660" s="599"/>
      <c r="AI660" s="599"/>
      <c r="AJ660" s="599"/>
      <c r="AK660" s="599"/>
      <c r="AL660" s="599"/>
      <c r="AM660" s="599"/>
      <c r="AN660" s="599"/>
    </row>
    <row r="661" spans="1:256" ht="45">
      <c r="A661" s="599"/>
      <c r="B661" s="1882" t="s">
        <v>4884</v>
      </c>
      <c r="C661" s="599" t="s">
        <v>4882</v>
      </c>
      <c r="D661" s="599" t="s">
        <v>4883</v>
      </c>
      <c r="E661" s="599"/>
      <c r="F661" s="599">
        <v>564000</v>
      </c>
      <c r="G661" s="599"/>
      <c r="H661" s="599"/>
      <c r="I661" s="599"/>
      <c r="J661" s="599">
        <v>564000</v>
      </c>
      <c r="K661" s="599" t="s">
        <v>4885</v>
      </c>
      <c r="L661" s="599"/>
      <c r="M661" s="599"/>
      <c r="N661" s="599"/>
      <c r="O661" s="599"/>
      <c r="P661" s="599"/>
      <c r="Q661" s="599"/>
      <c r="R661" s="599"/>
      <c r="S661" s="599"/>
      <c r="T661" s="599"/>
      <c r="U661" s="599"/>
      <c r="V661" s="599"/>
      <c r="W661" s="599"/>
    </row>
    <row r="662" spans="1:256" ht="157.5" customHeight="1">
      <c r="A662" s="599"/>
      <c r="B662" s="446" t="s">
        <v>4959</v>
      </c>
      <c r="C662" s="599" t="s">
        <v>4960</v>
      </c>
      <c r="D662" s="599" t="s">
        <v>4961</v>
      </c>
      <c r="E662" s="599" t="s">
        <v>4962</v>
      </c>
      <c r="F662" s="599" t="s">
        <v>4977</v>
      </c>
      <c r="G662" s="599">
        <f>2661649.73+2280500.3</f>
        <v>4942150.0299999993</v>
      </c>
      <c r="H662" s="601">
        <v>10560547.720000001</v>
      </c>
      <c r="I662" s="599">
        <f>3204346.05+2414051.64</f>
        <v>5618397.6899999995</v>
      </c>
      <c r="J662" s="599">
        <f>G662+I662</f>
        <v>10560547.719999999</v>
      </c>
      <c r="K662" s="599" t="s">
        <v>65</v>
      </c>
      <c r="L662" s="599"/>
      <c r="M662" s="599"/>
      <c r="N662" s="599"/>
      <c r="O662" s="599"/>
      <c r="P662" s="599"/>
      <c r="Q662" s="599"/>
      <c r="R662" s="599"/>
      <c r="S662" s="599"/>
      <c r="T662" s="599"/>
      <c r="U662" s="599"/>
      <c r="V662" s="599"/>
      <c r="W662" s="599"/>
    </row>
    <row r="663" spans="1:256" s="2113" customFormat="1" ht="81" customHeight="1">
      <c r="A663" s="1744"/>
      <c r="B663" s="831" t="s">
        <v>4981</v>
      </c>
      <c r="C663" s="1744" t="s">
        <v>4982</v>
      </c>
      <c r="D663" s="1744" t="s">
        <v>4983</v>
      </c>
      <c r="E663" s="1744"/>
      <c r="F663" s="1744" t="s">
        <v>4984</v>
      </c>
      <c r="G663" s="1744"/>
      <c r="H663" s="1744"/>
      <c r="I663" s="1744"/>
      <c r="J663" s="1826" t="s">
        <v>4985</v>
      </c>
      <c r="K663" s="1744"/>
      <c r="L663" s="1744"/>
      <c r="M663" s="1744" t="s">
        <v>5015</v>
      </c>
      <c r="N663" s="1744"/>
      <c r="O663" s="1744"/>
      <c r="P663" s="1744"/>
      <c r="Q663" s="1744"/>
      <c r="R663" s="1744"/>
      <c r="S663" s="1744"/>
      <c r="T663" s="1744"/>
      <c r="U663" s="1744"/>
      <c r="V663" s="1744"/>
      <c r="W663" s="1744"/>
      <c r="X663" s="2112"/>
      <c r="Y663" s="2112"/>
      <c r="Z663" s="2112"/>
      <c r="AA663" s="2112"/>
      <c r="AB663" s="2112"/>
      <c r="AC663" s="2112"/>
      <c r="AD663" s="2112"/>
      <c r="AE663" s="2112"/>
      <c r="AF663" s="2112"/>
      <c r="AG663" s="2112"/>
      <c r="AH663" s="2112"/>
      <c r="AI663" s="2112"/>
      <c r="AJ663" s="2112"/>
      <c r="AK663" s="2112"/>
      <c r="AL663" s="2112"/>
      <c r="AM663" s="2112"/>
      <c r="AN663" s="2112"/>
      <c r="AO663" s="2112"/>
      <c r="AP663" s="2112"/>
      <c r="AQ663" s="2112"/>
      <c r="AR663" s="2112"/>
      <c r="AS663" s="2112"/>
      <c r="AT663" s="2112"/>
      <c r="AU663" s="2112"/>
      <c r="AV663" s="2112"/>
      <c r="AW663" s="2112"/>
      <c r="AX663" s="2112"/>
      <c r="AY663" s="2112"/>
      <c r="AZ663" s="2112"/>
      <c r="BA663" s="2112"/>
      <c r="BB663" s="2112"/>
      <c r="BC663" s="2112"/>
      <c r="BD663" s="2112"/>
      <c r="BE663" s="2112"/>
      <c r="BF663" s="2112"/>
      <c r="BG663" s="2112"/>
      <c r="BH663" s="2112"/>
      <c r="BI663" s="2112"/>
      <c r="BJ663" s="2112"/>
      <c r="BK663" s="2112"/>
      <c r="BL663" s="2112"/>
      <c r="BM663" s="2112"/>
      <c r="BN663" s="2112"/>
      <c r="BO663" s="2112"/>
      <c r="BP663" s="2112"/>
      <c r="BQ663" s="2112"/>
      <c r="BR663" s="2112"/>
      <c r="BS663" s="2112"/>
      <c r="BT663" s="2112"/>
      <c r="BU663" s="2112"/>
      <c r="BV663" s="2112"/>
      <c r="BW663" s="2112"/>
      <c r="BX663" s="2112"/>
      <c r="BY663" s="2112"/>
      <c r="BZ663" s="2112"/>
      <c r="CA663" s="2112"/>
      <c r="CB663" s="2112"/>
      <c r="CC663" s="2112"/>
      <c r="CD663" s="2112"/>
      <c r="CE663" s="2112"/>
      <c r="CF663" s="2112"/>
      <c r="CG663" s="2112"/>
      <c r="CH663" s="2112"/>
      <c r="CI663" s="2112"/>
      <c r="CJ663" s="2112"/>
      <c r="CK663" s="2112"/>
      <c r="CL663" s="2112"/>
      <c r="CM663" s="2112"/>
      <c r="CN663" s="2112"/>
      <c r="CO663" s="2112"/>
      <c r="CP663" s="2112"/>
      <c r="CQ663" s="2112"/>
      <c r="CR663" s="2112"/>
      <c r="CS663" s="2112"/>
      <c r="CT663" s="2112"/>
      <c r="CU663" s="2112"/>
      <c r="CV663" s="2112"/>
      <c r="CW663" s="2112"/>
      <c r="CX663" s="2112"/>
      <c r="CY663" s="2112"/>
      <c r="CZ663" s="2112"/>
      <c r="DA663" s="2112"/>
      <c r="DB663" s="2112"/>
      <c r="DC663" s="2112"/>
      <c r="DD663" s="2112"/>
      <c r="DE663" s="2112"/>
      <c r="DF663" s="2112"/>
      <c r="DG663" s="2112"/>
      <c r="DH663" s="2112"/>
      <c r="DI663" s="2112"/>
      <c r="DJ663" s="2112"/>
      <c r="DK663" s="2112"/>
      <c r="DL663" s="2112"/>
      <c r="DM663" s="2112"/>
      <c r="DN663" s="2112"/>
      <c r="DO663" s="2112"/>
      <c r="DP663" s="2112"/>
      <c r="DQ663" s="2112"/>
      <c r="DR663" s="2112"/>
      <c r="DS663" s="2112"/>
      <c r="DT663" s="2112"/>
      <c r="DU663" s="2112"/>
      <c r="DV663" s="2112"/>
      <c r="DW663" s="2112"/>
      <c r="DX663" s="2112"/>
      <c r="DY663" s="2112"/>
      <c r="DZ663" s="2112"/>
      <c r="EA663" s="2112"/>
      <c r="EB663" s="2112"/>
      <c r="EC663" s="2112"/>
      <c r="ED663" s="2112"/>
      <c r="EE663" s="2112"/>
      <c r="EF663" s="2112"/>
      <c r="EG663" s="2112"/>
      <c r="EH663" s="2112"/>
      <c r="EI663" s="2112"/>
      <c r="EJ663" s="2112"/>
      <c r="EK663" s="2112"/>
      <c r="EL663" s="2112"/>
      <c r="EM663" s="2112"/>
      <c r="EN663" s="2112"/>
      <c r="EO663" s="2112"/>
      <c r="EP663" s="2112"/>
      <c r="EQ663" s="2112"/>
      <c r="ER663" s="2112"/>
      <c r="ES663" s="2112"/>
      <c r="ET663" s="2112"/>
      <c r="EU663" s="2112"/>
      <c r="EV663" s="2112"/>
      <c r="EW663" s="2112"/>
      <c r="EX663" s="2112"/>
      <c r="EY663" s="2112"/>
      <c r="EZ663" s="2112"/>
      <c r="FA663" s="2112"/>
      <c r="FB663" s="2112"/>
      <c r="FC663" s="2112"/>
      <c r="FD663" s="2112"/>
      <c r="FE663" s="2112"/>
      <c r="FF663" s="2112"/>
      <c r="FG663" s="2112"/>
      <c r="FH663" s="2112"/>
      <c r="FI663" s="2112"/>
      <c r="FJ663" s="2112"/>
      <c r="FK663" s="2112"/>
      <c r="FL663" s="2112"/>
      <c r="FM663" s="2112"/>
      <c r="FN663" s="2112"/>
      <c r="FO663" s="2112"/>
      <c r="FP663" s="2112"/>
      <c r="FQ663" s="2112"/>
      <c r="FR663" s="2112"/>
      <c r="FS663" s="2112"/>
      <c r="FT663" s="2112"/>
      <c r="FU663" s="2112"/>
      <c r="FV663" s="2112"/>
      <c r="FW663" s="2112"/>
      <c r="FX663" s="2112"/>
      <c r="FY663" s="2112"/>
      <c r="FZ663" s="2112"/>
      <c r="GA663" s="2112"/>
      <c r="GB663" s="2112"/>
      <c r="GC663" s="2112"/>
      <c r="GD663" s="2112"/>
      <c r="GE663" s="2112"/>
      <c r="GF663" s="2112"/>
      <c r="GG663" s="2112"/>
      <c r="GH663" s="2112"/>
      <c r="GI663" s="2112"/>
      <c r="GJ663" s="2112"/>
      <c r="GK663" s="2112"/>
      <c r="GL663" s="2112"/>
      <c r="GM663" s="2112"/>
      <c r="GN663" s="2112"/>
      <c r="GO663" s="2112"/>
      <c r="GP663" s="2112"/>
      <c r="GQ663" s="2112"/>
      <c r="GR663" s="2112"/>
      <c r="GS663" s="2112"/>
      <c r="GT663" s="2112"/>
      <c r="GU663" s="2112"/>
      <c r="GV663" s="2112"/>
      <c r="GW663" s="2112"/>
      <c r="GX663" s="2112"/>
      <c r="GY663" s="2112"/>
      <c r="GZ663" s="2112"/>
      <c r="HA663" s="2112"/>
      <c r="HB663" s="2112"/>
      <c r="HC663" s="2112"/>
      <c r="HD663" s="2112"/>
      <c r="HE663" s="2112"/>
      <c r="HF663" s="2112"/>
      <c r="HG663" s="2112"/>
      <c r="HH663" s="2112"/>
      <c r="HI663" s="2112"/>
      <c r="HJ663" s="2112"/>
      <c r="HK663" s="2112"/>
      <c r="HL663" s="2112"/>
      <c r="HM663" s="2112"/>
      <c r="HN663" s="2112"/>
      <c r="HO663" s="2112"/>
      <c r="HP663" s="2112"/>
      <c r="HQ663" s="2112"/>
      <c r="HR663" s="2112"/>
      <c r="HS663" s="2112"/>
      <c r="HT663" s="2112"/>
      <c r="HU663" s="2112"/>
      <c r="HV663" s="2112"/>
      <c r="HW663" s="2112"/>
      <c r="HX663" s="2112"/>
      <c r="HY663" s="2112"/>
      <c r="HZ663" s="2112"/>
      <c r="IA663" s="2112"/>
      <c r="IB663" s="2112"/>
      <c r="IC663" s="2112"/>
      <c r="ID663" s="2112"/>
      <c r="IE663" s="2112"/>
      <c r="IF663" s="2112"/>
      <c r="IG663" s="2112"/>
      <c r="IH663" s="2112"/>
      <c r="II663" s="2112"/>
      <c r="IJ663" s="2112"/>
      <c r="IK663" s="2112"/>
      <c r="IL663" s="2112"/>
      <c r="IM663" s="2112"/>
      <c r="IN663" s="2112"/>
      <c r="IO663" s="2112"/>
      <c r="IP663" s="2112"/>
      <c r="IQ663" s="2112"/>
      <c r="IR663" s="2112"/>
      <c r="IS663" s="2112"/>
      <c r="IT663" s="2112"/>
      <c r="IU663" s="2112"/>
      <c r="IV663" s="2112"/>
    </row>
    <row r="664" spans="1:256" ht="75">
      <c r="A664" s="599"/>
      <c r="B664" s="446" t="s">
        <v>4999</v>
      </c>
      <c r="C664" s="599" t="s">
        <v>5000</v>
      </c>
      <c r="D664" s="1744" t="s">
        <v>5348</v>
      </c>
      <c r="E664" s="599" t="s">
        <v>5002</v>
      </c>
      <c r="F664" s="599" t="s">
        <v>5001</v>
      </c>
      <c r="G664" s="599"/>
      <c r="H664" s="599"/>
      <c r="I664" s="599"/>
      <c r="J664" s="1016">
        <v>100000</v>
      </c>
      <c r="K664" s="1094">
        <v>45630</v>
      </c>
      <c r="L664" s="599"/>
      <c r="M664" s="599"/>
      <c r="N664" s="599"/>
      <c r="O664" s="599"/>
      <c r="P664" s="599"/>
      <c r="Q664" s="599"/>
      <c r="R664" s="599"/>
      <c r="S664" s="599"/>
      <c r="T664" s="599"/>
      <c r="U664" s="599"/>
      <c r="V664" s="599"/>
      <c r="W664" s="599"/>
    </row>
    <row r="665" spans="1:256" ht="65.25" customHeight="1">
      <c r="A665" s="741"/>
      <c r="B665" s="1980" t="s">
        <v>4229</v>
      </c>
      <c r="C665" s="1809" t="s">
        <v>3522</v>
      </c>
      <c r="D665" s="890" t="s">
        <v>4230</v>
      </c>
      <c r="E665" s="599"/>
      <c r="F665" s="599"/>
      <c r="G665" s="599"/>
      <c r="H665" s="599"/>
      <c r="I665" s="599"/>
      <c r="J665" s="890"/>
      <c r="K665" s="1337"/>
      <c r="L665" s="1981" t="s">
        <v>4655</v>
      </c>
      <c r="M665" s="599" t="s">
        <v>4220</v>
      </c>
      <c r="N665" s="599" t="s">
        <v>3523</v>
      </c>
      <c r="O665" s="599" t="s">
        <v>3524</v>
      </c>
      <c r="P665" s="599"/>
      <c r="Q665" s="599">
        <v>3215488</v>
      </c>
      <c r="R665" s="599"/>
      <c r="S665" s="599"/>
      <c r="T665" s="599"/>
      <c r="U665" s="599"/>
      <c r="V665" s="599"/>
      <c r="W665" s="599"/>
      <c r="X665" s="741"/>
      <c r="Y665" s="741"/>
      <c r="Z665" s="741"/>
      <c r="AA665" s="741"/>
      <c r="AB665" s="741"/>
      <c r="AC665" s="741"/>
      <c r="AD665" s="741"/>
      <c r="AE665" s="741"/>
      <c r="AF665" s="997"/>
      <c r="AG665" s="741"/>
      <c r="AH665" s="741"/>
    </row>
    <row r="666" spans="1:256" ht="85.5" customHeight="1">
      <c r="A666" s="1809"/>
      <c r="B666" s="465" t="s">
        <v>4600</v>
      </c>
      <c r="C666" s="741" t="s">
        <v>4601</v>
      </c>
      <c r="D666" s="741" t="s">
        <v>5023</v>
      </c>
      <c r="E666" s="1159" t="s">
        <v>4708</v>
      </c>
      <c r="F666" s="741" t="s">
        <v>5143</v>
      </c>
      <c r="G666" s="741"/>
      <c r="H666" s="741"/>
      <c r="I666" s="741"/>
      <c r="J666" s="1369" t="s">
        <v>5141</v>
      </c>
      <c r="K666" s="1066" t="s">
        <v>5142</v>
      </c>
      <c r="L666" s="822" t="s">
        <v>4880</v>
      </c>
      <c r="M666" s="2037" t="s">
        <v>4706</v>
      </c>
      <c r="N666" s="2037" t="s">
        <v>4651</v>
      </c>
      <c r="O666" s="2071">
        <v>4704000</v>
      </c>
      <c r="P666" s="741" t="s">
        <v>5089</v>
      </c>
      <c r="Q666" s="741"/>
      <c r="R666" s="741"/>
      <c r="S666" s="741"/>
      <c r="T666" s="741"/>
      <c r="U666" s="741"/>
      <c r="V666" s="741"/>
      <c r="W666" s="741"/>
      <c r="X666" s="741"/>
    </row>
    <row r="667" spans="1:256" s="2111" customFormat="1" ht="73.5" customHeight="1">
      <c r="A667" s="2082"/>
      <c r="B667" s="2109" t="s">
        <v>5129</v>
      </c>
      <c r="C667" s="2082" t="s">
        <v>5150</v>
      </c>
      <c r="D667" s="2082" t="s">
        <v>5030</v>
      </c>
      <c r="E667" s="2129">
        <v>45575</v>
      </c>
      <c r="F667" s="2082" t="s">
        <v>5029</v>
      </c>
      <c r="G667" s="2082"/>
      <c r="H667" s="2082"/>
      <c r="I667" s="2082"/>
      <c r="J667" s="2130" t="s">
        <v>5070</v>
      </c>
      <c r="K667" s="2131">
        <v>45649</v>
      </c>
      <c r="L667" s="2082" t="s">
        <v>5149</v>
      </c>
      <c r="M667" s="2082"/>
      <c r="N667" s="2082"/>
      <c r="O667" s="2082"/>
      <c r="P667" s="2082"/>
      <c r="Q667" s="2082"/>
      <c r="R667" s="2082"/>
      <c r="S667" s="2082"/>
      <c r="T667" s="2082"/>
      <c r="U667" s="2082"/>
      <c r="V667" s="2082"/>
      <c r="W667" s="2082"/>
      <c r="X667" s="2082"/>
      <c r="Y667" s="2082"/>
      <c r="Z667" s="2082"/>
      <c r="AA667" s="2082"/>
      <c r="AB667" s="2082"/>
      <c r="AC667" s="2082"/>
      <c r="AD667" s="2082"/>
      <c r="AE667" s="2082"/>
      <c r="AF667" s="2082"/>
      <c r="AG667" s="2082"/>
      <c r="AH667" s="2082"/>
      <c r="AI667" s="2110"/>
      <c r="AJ667" s="2110"/>
      <c r="AK667" s="2110"/>
      <c r="AL667" s="2110"/>
      <c r="AM667" s="2110"/>
      <c r="AN667" s="2110"/>
      <c r="AO667" s="2110"/>
      <c r="AP667" s="2110"/>
      <c r="AQ667" s="2110"/>
      <c r="AR667" s="2110"/>
      <c r="AS667" s="2110"/>
      <c r="AT667" s="2110"/>
      <c r="AU667" s="2110"/>
      <c r="AV667" s="2110"/>
      <c r="AW667" s="2110"/>
      <c r="AX667" s="2110"/>
      <c r="AY667" s="2110"/>
      <c r="AZ667" s="2110"/>
      <c r="BA667" s="2110"/>
      <c r="BB667" s="2110"/>
      <c r="BC667" s="2110"/>
      <c r="BD667" s="2110"/>
      <c r="BE667" s="2110"/>
      <c r="BF667" s="2110"/>
      <c r="BG667" s="2110"/>
      <c r="BH667" s="2110"/>
      <c r="BI667" s="2110"/>
      <c r="BJ667" s="2110"/>
      <c r="BK667" s="2110"/>
      <c r="BL667" s="2110"/>
      <c r="BM667" s="2110"/>
      <c r="BN667" s="2110"/>
      <c r="BO667" s="2110"/>
      <c r="BP667" s="2110"/>
      <c r="BQ667" s="2110"/>
      <c r="BR667" s="2110"/>
      <c r="BS667" s="2110"/>
      <c r="BT667" s="2110"/>
      <c r="BU667" s="2110"/>
      <c r="BV667" s="2110"/>
      <c r="BW667" s="2110"/>
      <c r="BX667" s="2110"/>
      <c r="BY667" s="2110"/>
      <c r="BZ667" s="2110"/>
      <c r="CA667" s="2110"/>
      <c r="CB667" s="2110"/>
      <c r="CC667" s="2110"/>
      <c r="CD667" s="2110"/>
      <c r="CE667" s="2110"/>
      <c r="CF667" s="2110"/>
      <c r="CG667" s="2110"/>
      <c r="CH667" s="2110"/>
      <c r="CI667" s="2110"/>
      <c r="CJ667" s="2110"/>
      <c r="CK667" s="2110"/>
      <c r="CL667" s="2110"/>
      <c r="CM667" s="2110"/>
      <c r="CN667" s="2110"/>
      <c r="CO667" s="2110"/>
      <c r="CP667" s="2110"/>
      <c r="CQ667" s="2110"/>
      <c r="CR667" s="2110"/>
      <c r="CS667" s="2110"/>
      <c r="CT667" s="2110"/>
      <c r="CU667" s="2110"/>
      <c r="CV667" s="2110"/>
      <c r="CW667" s="2110"/>
      <c r="CX667" s="2110"/>
      <c r="CY667" s="2110"/>
      <c r="CZ667" s="2110"/>
      <c r="DA667" s="2110"/>
      <c r="DB667" s="2110"/>
      <c r="DC667" s="2110"/>
      <c r="DD667" s="2110"/>
      <c r="DE667" s="2110"/>
      <c r="DF667" s="2110"/>
      <c r="DG667" s="2110"/>
      <c r="DH667" s="2110"/>
      <c r="DI667" s="2110"/>
      <c r="DJ667" s="2110"/>
      <c r="DK667" s="2110"/>
      <c r="DL667" s="2110"/>
      <c r="DM667" s="2110"/>
      <c r="DN667" s="2110"/>
      <c r="DO667" s="2110"/>
      <c r="DP667" s="2110"/>
      <c r="DQ667" s="2110"/>
      <c r="DR667" s="2110"/>
      <c r="DS667" s="2110"/>
      <c r="DT667" s="2110"/>
      <c r="DU667" s="2110"/>
      <c r="DV667" s="2110"/>
      <c r="DW667" s="2110"/>
      <c r="DX667" s="2110"/>
      <c r="DY667" s="2110"/>
      <c r="DZ667" s="2110"/>
      <c r="EA667" s="2110"/>
      <c r="EB667" s="2110"/>
      <c r="EC667" s="2110"/>
      <c r="ED667" s="2110"/>
      <c r="EE667" s="2110"/>
      <c r="EF667" s="2110"/>
      <c r="EG667" s="2110"/>
      <c r="EH667" s="2110"/>
      <c r="EI667" s="2110"/>
      <c r="EJ667" s="2110"/>
      <c r="EK667" s="2110"/>
      <c r="EL667" s="2110"/>
      <c r="EM667" s="2110"/>
      <c r="EN667" s="2110"/>
      <c r="EO667" s="2110"/>
      <c r="EP667" s="2110"/>
      <c r="EQ667" s="2110"/>
      <c r="ER667" s="2110"/>
      <c r="ES667" s="2110"/>
      <c r="ET667" s="2110"/>
      <c r="EU667" s="2110"/>
      <c r="EV667" s="2110"/>
      <c r="EW667" s="2110"/>
      <c r="EX667" s="2110"/>
      <c r="EY667" s="2110"/>
      <c r="EZ667" s="2110"/>
      <c r="FA667" s="2110"/>
      <c r="FB667" s="2110"/>
      <c r="FC667" s="2110"/>
      <c r="FD667" s="2110"/>
      <c r="FE667" s="2110"/>
      <c r="FF667" s="2110"/>
      <c r="FG667" s="2110"/>
      <c r="FH667" s="2110"/>
      <c r="FI667" s="2110"/>
      <c r="FJ667" s="2110"/>
      <c r="FK667" s="2110"/>
      <c r="FL667" s="2110"/>
      <c r="FM667" s="2110"/>
      <c r="FN667" s="2110"/>
      <c r="FO667" s="2110"/>
      <c r="FP667" s="2110"/>
      <c r="FQ667" s="2110"/>
      <c r="FR667" s="2110"/>
      <c r="FS667" s="2110"/>
      <c r="FT667" s="2110"/>
      <c r="FU667" s="2110"/>
      <c r="FV667" s="2110"/>
      <c r="FW667" s="2110"/>
      <c r="FX667" s="2110"/>
      <c r="FY667" s="2110"/>
      <c r="FZ667" s="2110"/>
      <c r="GA667" s="2110"/>
      <c r="GB667" s="2110"/>
      <c r="GC667" s="2110"/>
      <c r="GD667" s="2110"/>
      <c r="GE667" s="2110"/>
      <c r="GF667" s="2110"/>
      <c r="GG667" s="2110"/>
      <c r="GH667" s="2110"/>
      <c r="GI667" s="2110"/>
      <c r="GJ667" s="2110"/>
      <c r="GK667" s="2110"/>
      <c r="GL667" s="2110"/>
      <c r="GM667" s="2110"/>
      <c r="GN667" s="2110"/>
      <c r="GO667" s="2110"/>
      <c r="GP667" s="2110"/>
      <c r="GQ667" s="2110"/>
      <c r="GR667" s="2110"/>
      <c r="GS667" s="2110"/>
      <c r="GT667" s="2110"/>
      <c r="GU667" s="2110"/>
      <c r="GV667" s="2110"/>
      <c r="GW667" s="2110"/>
      <c r="GX667" s="2110"/>
      <c r="GY667" s="2110"/>
      <c r="GZ667" s="2110"/>
      <c r="HA667" s="2110"/>
      <c r="HB667" s="2110"/>
      <c r="HC667" s="2110"/>
      <c r="HD667" s="2110"/>
      <c r="HE667" s="2110"/>
      <c r="HF667" s="2110"/>
      <c r="HG667" s="2110"/>
      <c r="HH667" s="2110"/>
      <c r="HI667" s="2110"/>
      <c r="HJ667" s="2110"/>
      <c r="HK667" s="2110"/>
      <c r="HL667" s="2110"/>
      <c r="HM667" s="2110"/>
      <c r="HN667" s="2110"/>
      <c r="HO667" s="2110"/>
      <c r="HP667" s="2110"/>
      <c r="HQ667" s="2110"/>
      <c r="HR667" s="2110"/>
      <c r="HS667" s="2110"/>
      <c r="HT667" s="2110"/>
      <c r="HU667" s="2110"/>
      <c r="HV667" s="2110"/>
      <c r="HW667" s="2110"/>
      <c r="HX667" s="2110"/>
      <c r="HY667" s="2110"/>
      <c r="HZ667" s="2110"/>
      <c r="IA667" s="2110"/>
      <c r="IB667" s="2110"/>
      <c r="IC667" s="2110"/>
      <c r="ID667" s="2110"/>
      <c r="IE667" s="2110"/>
      <c r="IF667" s="2110"/>
      <c r="IG667" s="2110"/>
      <c r="IH667" s="2110"/>
      <c r="II667" s="2110"/>
      <c r="IJ667" s="2110"/>
      <c r="IK667" s="2110"/>
      <c r="IL667" s="2110"/>
      <c r="IM667" s="2110"/>
      <c r="IN667" s="2110"/>
      <c r="IO667" s="2110"/>
      <c r="IP667" s="2110"/>
      <c r="IQ667" s="2110"/>
      <c r="IR667" s="2110"/>
      <c r="IS667" s="2110"/>
      <c r="IT667" s="2110"/>
      <c r="IU667" s="2110"/>
      <c r="IV667" s="2110"/>
    </row>
    <row r="668" spans="1:256" s="1180" customFormat="1" ht="30.75" customHeight="1">
      <c r="A668" s="1170"/>
      <c r="B668" s="1172"/>
      <c r="C668" s="1900" t="s">
        <v>5090</v>
      </c>
      <c r="D668" s="1172"/>
      <c r="E668" s="1173"/>
      <c r="F668" s="1174"/>
      <c r="G668" s="1175"/>
      <c r="H668" s="1174" t="s">
        <v>65</v>
      </c>
      <c r="I668" s="1174"/>
      <c r="J668" s="1175"/>
      <c r="K668" s="1996"/>
      <c r="L668" s="1831"/>
      <c r="M668" s="1178"/>
      <c r="N668" s="1173"/>
      <c r="O668" s="1173"/>
      <c r="P668" s="1173"/>
      <c r="Q668" s="1176"/>
      <c r="R668" s="1176" t="s">
        <v>65</v>
      </c>
      <c r="S668" s="1176"/>
      <c r="T668" s="1176"/>
      <c r="U668" s="1176"/>
      <c r="V668" s="1128"/>
      <c r="W668" s="1128"/>
      <c r="X668" s="1128"/>
      <c r="Y668" s="1128"/>
      <c r="Z668" s="1128"/>
      <c r="AA668" s="1128"/>
      <c r="AB668" s="1128"/>
      <c r="AC668" s="580"/>
      <c r="AD668" s="1464"/>
      <c r="AE668" s="599"/>
      <c r="AF668" s="599"/>
      <c r="AG668" s="599"/>
      <c r="AH668" s="599"/>
    </row>
    <row r="669" spans="1:256" s="2110" customFormat="1" ht="173.25" customHeight="1">
      <c r="A669" s="2175"/>
      <c r="B669" s="2185" t="s">
        <v>5258</v>
      </c>
      <c r="C669" s="2184" t="s">
        <v>5248</v>
      </c>
      <c r="D669" s="2176" t="s">
        <v>5247</v>
      </c>
      <c r="E669" s="2177"/>
      <c r="F669" s="2186">
        <v>17850</v>
      </c>
      <c r="G669" s="2179"/>
      <c r="H669" s="2178"/>
      <c r="I669" s="2178"/>
      <c r="J669" s="2201"/>
      <c r="K669" s="2082"/>
      <c r="L669" s="2098"/>
      <c r="M669" s="2180"/>
      <c r="N669" s="2177"/>
      <c r="O669" s="2177"/>
      <c r="P669" s="2177"/>
      <c r="Q669" s="2181"/>
      <c r="R669" s="2181"/>
      <c r="S669" s="2181"/>
      <c r="T669" s="2181"/>
      <c r="U669" s="2181"/>
      <c r="V669" s="2082"/>
      <c r="W669" s="2082"/>
      <c r="X669" s="2082"/>
      <c r="Y669" s="2082"/>
      <c r="Z669" s="2082"/>
      <c r="AA669" s="2082"/>
      <c r="AB669" s="2082"/>
      <c r="AC669" s="2182"/>
      <c r="AD669" s="2183"/>
      <c r="AE669" s="2082"/>
      <c r="AF669" s="2082"/>
      <c r="AG669" s="2082"/>
      <c r="AH669" s="2082"/>
    </row>
    <row r="670" spans="1:256" s="1722" customFormat="1" ht="93.75" customHeight="1">
      <c r="A670" s="599">
        <v>8</v>
      </c>
      <c r="B670" s="2416" t="s">
        <v>4948</v>
      </c>
      <c r="C670" s="599" t="s">
        <v>4946</v>
      </c>
      <c r="D670" s="2506" t="s">
        <v>5148</v>
      </c>
      <c r="E670" s="599"/>
      <c r="F670" s="337">
        <v>2715130</v>
      </c>
      <c r="G670" s="599"/>
      <c r="H670" s="599"/>
      <c r="I670" s="599"/>
      <c r="J670" s="599"/>
      <c r="K670" s="599"/>
      <c r="L670" s="446"/>
      <c r="M670" s="446" t="s">
        <v>4947</v>
      </c>
      <c r="N670" s="599" t="s">
        <v>4946</v>
      </c>
      <c r="O670" s="1141">
        <v>1900000</v>
      </c>
      <c r="P670" s="599"/>
      <c r="Q670" s="890"/>
      <c r="R670" s="890"/>
      <c r="S670" s="890"/>
      <c r="T670" s="599"/>
      <c r="U670" s="599"/>
      <c r="V670" s="599"/>
      <c r="W670" s="599"/>
      <c r="X670" s="599"/>
      <c r="Y670" s="599"/>
      <c r="Z670" s="599"/>
      <c r="AA670" s="599"/>
      <c r="AB670" s="599"/>
      <c r="AC670" s="599"/>
      <c r="AD670" s="599"/>
      <c r="AE670" s="599"/>
      <c r="AF670" s="599"/>
      <c r="AG670" s="599"/>
      <c r="AH670" s="599"/>
      <c r="AI670" s="599"/>
      <c r="AJ670" s="599"/>
      <c r="AK670" s="599"/>
      <c r="AL670" s="599"/>
      <c r="AM670" s="599"/>
      <c r="AN670" s="599"/>
      <c r="AO670" s="599"/>
      <c r="AP670" s="599"/>
      <c r="AQ670" s="599"/>
      <c r="AR670" s="599"/>
      <c r="AS670" s="599"/>
      <c r="AT670" s="599"/>
      <c r="AU670" s="599"/>
      <c r="AV670" s="599"/>
      <c r="AW670" s="599"/>
      <c r="AX670" s="599"/>
      <c r="AY670" s="599"/>
      <c r="AZ670" s="599"/>
      <c r="BA670" s="599"/>
      <c r="BB670" s="599"/>
      <c r="BC670" s="599"/>
      <c r="BD670" s="599"/>
      <c r="BE670" s="599"/>
      <c r="BF670" s="599"/>
      <c r="BG670" s="599"/>
      <c r="BH670" s="599"/>
      <c r="BI670" s="599"/>
      <c r="BJ670" s="599"/>
      <c r="BK670" s="599"/>
      <c r="BL670" s="599"/>
      <c r="BM670" s="599"/>
      <c r="BN670" s="599"/>
      <c r="BO670" s="599"/>
      <c r="BP670" s="599"/>
      <c r="BQ670" s="599"/>
      <c r="BR670" s="599"/>
      <c r="BS670" s="599"/>
      <c r="BT670" s="599"/>
      <c r="BU670" s="599"/>
      <c r="BV670" s="599"/>
      <c r="BW670" s="599"/>
      <c r="BX670" s="599"/>
      <c r="BY670" s="599"/>
      <c r="BZ670" s="599"/>
      <c r="CA670" s="599"/>
      <c r="CB670" s="599"/>
      <c r="CC670" s="599"/>
      <c r="CD670" s="599"/>
      <c r="CE670" s="599"/>
      <c r="CF670" s="599"/>
      <c r="CG670" s="599"/>
      <c r="CH670" s="599"/>
      <c r="CI670" s="599"/>
      <c r="CJ670" s="599"/>
      <c r="CK670" s="599"/>
      <c r="CL670" s="599"/>
      <c r="CM670" s="599"/>
      <c r="CN670" s="599"/>
      <c r="CO670" s="599"/>
      <c r="CP670" s="599"/>
      <c r="CQ670" s="599"/>
      <c r="CR670" s="599"/>
      <c r="CS670" s="599"/>
      <c r="CT670" s="599"/>
      <c r="CU670" s="599"/>
      <c r="CV670" s="599"/>
      <c r="CW670" s="599"/>
      <c r="CX670" s="599"/>
      <c r="CY670" s="599"/>
      <c r="CZ670" s="599"/>
      <c r="DA670" s="599"/>
      <c r="DB670" s="599"/>
      <c r="DC670" s="599"/>
      <c r="DD670" s="599"/>
      <c r="DE670" s="599"/>
      <c r="DF670" s="599"/>
      <c r="DG670" s="599"/>
      <c r="DH670" s="599"/>
      <c r="DI670" s="599"/>
      <c r="DJ670" s="599"/>
      <c r="DK670" s="599"/>
      <c r="DL670" s="599"/>
      <c r="DM670" s="599"/>
      <c r="DN670" s="599"/>
      <c r="DO670" s="599"/>
      <c r="DP670" s="599"/>
      <c r="DQ670" s="599"/>
      <c r="DR670" s="599"/>
      <c r="DS670" s="599"/>
      <c r="DT670" s="599"/>
      <c r="DU670" s="599"/>
      <c r="DV670" s="599"/>
      <c r="DW670" s="599"/>
      <c r="DX670" s="599"/>
      <c r="DY670" s="599"/>
      <c r="DZ670" s="599"/>
      <c r="EA670" s="599"/>
      <c r="EB670" s="599"/>
      <c r="EC670" s="599"/>
      <c r="ED670" s="599"/>
      <c r="EE670" s="599"/>
      <c r="EF670" s="599"/>
      <c r="EG670" s="599"/>
      <c r="EH670" s="599"/>
      <c r="EI670" s="599"/>
      <c r="EJ670" s="599"/>
      <c r="EK670" s="599"/>
      <c r="EL670" s="599"/>
      <c r="EM670" s="599"/>
      <c r="EN670" s="599"/>
      <c r="EO670" s="599"/>
      <c r="EP670" s="599"/>
      <c r="EQ670" s="599"/>
      <c r="ER670" s="599"/>
      <c r="ES670" s="599"/>
      <c r="ET670" s="599"/>
      <c r="EU670" s="599"/>
      <c r="EV670" s="599"/>
      <c r="EW670" s="599"/>
      <c r="EX670" s="599"/>
      <c r="EY670" s="599"/>
      <c r="EZ670" s="599"/>
      <c r="FA670" s="599"/>
      <c r="FB670" s="599"/>
      <c r="FC670" s="599"/>
      <c r="FD670" s="599"/>
      <c r="FE670" s="599"/>
      <c r="FF670" s="599"/>
      <c r="FG670" s="599"/>
      <c r="FH670" s="599"/>
      <c r="FI670" s="599"/>
      <c r="FJ670" s="599"/>
      <c r="FK670" s="599"/>
      <c r="FL670" s="599"/>
      <c r="FM670" s="599"/>
      <c r="FN670" s="599"/>
      <c r="FO670" s="599"/>
      <c r="FP670" s="599"/>
      <c r="FQ670" s="599"/>
      <c r="FR670" s="599"/>
      <c r="FS670" s="599"/>
      <c r="FT670" s="599"/>
      <c r="FU670" s="599"/>
      <c r="FV670" s="599"/>
      <c r="FW670" s="599"/>
      <c r="FX670" s="599"/>
      <c r="FY670" s="599"/>
      <c r="FZ670" s="599"/>
      <c r="GA670" s="599"/>
      <c r="GB670" s="599"/>
      <c r="GC670" s="599"/>
      <c r="GD670" s="599"/>
      <c r="GE670" s="599"/>
      <c r="GF670" s="599"/>
      <c r="GG670" s="599"/>
      <c r="GH670" s="599"/>
      <c r="GI670" s="599"/>
      <c r="GJ670" s="599"/>
      <c r="GK670" s="599"/>
      <c r="GL670" s="599"/>
      <c r="GM670" s="599"/>
      <c r="GN670" s="599"/>
      <c r="GO670" s="599"/>
      <c r="GP670" s="599"/>
      <c r="GQ670" s="599"/>
      <c r="GR670" s="599"/>
      <c r="GS670" s="599"/>
      <c r="GT670" s="599"/>
      <c r="GU670" s="599"/>
      <c r="GV670" s="599"/>
      <c r="GW670" s="599"/>
      <c r="GX670" s="599"/>
      <c r="GY670" s="599"/>
      <c r="GZ670" s="599"/>
      <c r="HA670" s="599"/>
      <c r="HB670" s="599"/>
      <c r="HC670" s="599"/>
      <c r="HD670" s="599"/>
      <c r="HE670" s="599"/>
      <c r="HF670" s="599"/>
      <c r="HG670" s="599"/>
      <c r="HH670" s="599"/>
      <c r="HI670" s="599"/>
      <c r="HJ670" s="599"/>
      <c r="HK670" s="599"/>
      <c r="HL670" s="599"/>
      <c r="HM670" s="599"/>
      <c r="HN670" s="599"/>
      <c r="HO670" s="599"/>
      <c r="HP670" s="599"/>
      <c r="HQ670" s="599"/>
      <c r="HR670" s="599"/>
      <c r="HS670" s="599"/>
      <c r="HT670" s="599"/>
      <c r="HU670" s="599"/>
      <c r="HV670" s="599"/>
      <c r="HW670" s="599"/>
      <c r="HX670" s="599"/>
      <c r="HY670" s="599"/>
      <c r="HZ670" s="599"/>
      <c r="IA670" s="599"/>
      <c r="IB670" s="599"/>
      <c r="IC670" s="599"/>
      <c r="ID670" s="599"/>
      <c r="IE670" s="599"/>
      <c r="IF670" s="599"/>
      <c r="IG670" s="599"/>
      <c r="IH670" s="599"/>
      <c r="II670" s="599"/>
      <c r="IJ670" s="599"/>
      <c r="IK670" s="599"/>
      <c r="IL670" s="599"/>
      <c r="IM670" s="599"/>
      <c r="IN670" s="599"/>
      <c r="IO670" s="599"/>
      <c r="IP670" s="599"/>
      <c r="IQ670" s="599"/>
      <c r="IR670" s="599"/>
      <c r="IS670" s="599"/>
      <c r="IT670" s="599"/>
      <c r="IU670" s="599"/>
      <c r="IV670" s="599"/>
    </row>
    <row r="671" spans="1:256" ht="72.75" customHeight="1">
      <c r="A671" s="599"/>
      <c r="B671" s="2417"/>
      <c r="C671" s="599" t="s">
        <v>4950</v>
      </c>
      <c r="D671" s="2507"/>
      <c r="E671" s="599"/>
      <c r="F671" s="337">
        <v>761910.8</v>
      </c>
      <c r="G671" s="599"/>
      <c r="H671" s="599"/>
      <c r="I671" s="599"/>
      <c r="J671" s="599"/>
      <c r="K671" s="599"/>
      <c r="L671" s="446"/>
      <c r="M671" s="446" t="s">
        <v>4963</v>
      </c>
      <c r="N671" s="599" t="s">
        <v>4964</v>
      </c>
      <c r="O671" s="1141">
        <v>500000</v>
      </c>
      <c r="P671" s="599"/>
      <c r="Q671" s="890"/>
      <c r="R671" s="890"/>
      <c r="S671" s="890"/>
      <c r="T671" s="599"/>
      <c r="U671" s="599"/>
      <c r="V671" s="599"/>
      <c r="W671" s="599"/>
      <c r="X671" s="599"/>
      <c r="Y671" s="599"/>
      <c r="Z671" s="599"/>
      <c r="AA671" s="599"/>
      <c r="AB671" s="599"/>
      <c r="AC671" s="599"/>
      <c r="AD671" s="599"/>
      <c r="AE671" s="599"/>
      <c r="AF671" s="599"/>
      <c r="AG671" s="599"/>
      <c r="AH671" s="599"/>
    </row>
    <row r="672" spans="1:256" s="1722" customFormat="1" ht="151.5" customHeight="1">
      <c r="A672" s="599">
        <v>8</v>
      </c>
      <c r="B672" s="2135" t="s">
        <v>4948</v>
      </c>
      <c r="C672" s="599" t="s">
        <v>4364</v>
      </c>
      <c r="D672" s="599" t="s">
        <v>5443</v>
      </c>
      <c r="E672" s="599" t="s">
        <v>5435</v>
      </c>
      <c r="F672" s="337">
        <v>65835000</v>
      </c>
      <c r="G672" s="599" t="s">
        <v>5436</v>
      </c>
      <c r="H672" s="599"/>
      <c r="I672" s="599"/>
      <c r="J672" s="599" t="s">
        <v>4612</v>
      </c>
      <c r="K672" s="599"/>
      <c r="L672" s="446"/>
      <c r="M672" s="446"/>
      <c r="N672" s="599"/>
      <c r="O672" s="599"/>
      <c r="P672" s="599"/>
      <c r="Q672" s="890"/>
      <c r="R672" s="890"/>
      <c r="S672" s="890"/>
      <c r="T672" s="599"/>
      <c r="U672" s="599"/>
      <c r="V672" s="599"/>
      <c r="W672" s="599"/>
      <c r="X672" s="599"/>
      <c r="Y672" s="599"/>
      <c r="Z672" s="599"/>
      <c r="AA672" s="599"/>
      <c r="AB672" s="599"/>
      <c r="AC672" s="599"/>
      <c r="AD672" s="599"/>
      <c r="AE672" s="599"/>
      <c r="AF672" s="599"/>
      <c r="AG672" s="599"/>
      <c r="AH672" s="599"/>
      <c r="AI672" s="599"/>
      <c r="AJ672" s="599"/>
      <c r="AK672" s="599"/>
      <c r="AL672" s="599"/>
      <c r="AM672" s="599"/>
      <c r="AN672" s="599"/>
      <c r="AO672" s="599"/>
      <c r="AP672" s="599"/>
      <c r="AQ672" s="599"/>
      <c r="AR672" s="599"/>
      <c r="AS672" s="599"/>
      <c r="AT672" s="599"/>
      <c r="AU672" s="599"/>
      <c r="AV672" s="599"/>
      <c r="AW672" s="599"/>
      <c r="AX672" s="599"/>
      <c r="AY672" s="599"/>
      <c r="AZ672" s="599"/>
      <c r="BA672" s="599"/>
      <c r="BB672" s="599"/>
      <c r="BC672" s="599"/>
      <c r="BD672" s="599"/>
      <c r="BE672" s="599"/>
      <c r="BF672" s="599"/>
      <c r="BG672" s="599"/>
      <c r="BH672" s="599"/>
      <c r="BI672" s="599"/>
      <c r="BJ672" s="599"/>
      <c r="BK672" s="599"/>
      <c r="BL672" s="599"/>
      <c r="BM672" s="599"/>
      <c r="BN672" s="599"/>
      <c r="BO672" s="599"/>
      <c r="BP672" s="599"/>
      <c r="BQ672" s="599"/>
      <c r="BR672" s="599"/>
      <c r="BS672" s="599"/>
      <c r="BT672" s="599"/>
      <c r="BU672" s="599"/>
      <c r="BV672" s="599"/>
      <c r="BW672" s="599"/>
      <c r="BX672" s="599"/>
      <c r="BY672" s="599"/>
      <c r="BZ672" s="599"/>
      <c r="CA672" s="599"/>
      <c r="CB672" s="599"/>
      <c r="CC672" s="599"/>
      <c r="CD672" s="599"/>
      <c r="CE672" s="599"/>
      <c r="CF672" s="599"/>
      <c r="CG672" s="599"/>
      <c r="CH672" s="599"/>
      <c r="CI672" s="599"/>
      <c r="CJ672" s="599"/>
      <c r="CK672" s="599"/>
      <c r="CL672" s="599"/>
      <c r="CM672" s="599"/>
      <c r="CN672" s="599"/>
      <c r="CO672" s="599"/>
      <c r="CP672" s="599"/>
      <c r="CQ672" s="599"/>
      <c r="CR672" s="599"/>
      <c r="CS672" s="599"/>
      <c r="CT672" s="599"/>
      <c r="CU672" s="599"/>
      <c r="CV672" s="599"/>
      <c r="CW672" s="599"/>
      <c r="CX672" s="599"/>
      <c r="CY672" s="599"/>
      <c r="CZ672" s="599"/>
      <c r="DA672" s="599"/>
      <c r="DB672" s="599"/>
      <c r="DC672" s="599"/>
      <c r="DD672" s="599"/>
      <c r="DE672" s="599"/>
      <c r="DF672" s="599"/>
      <c r="DG672" s="599"/>
      <c r="DH672" s="599"/>
      <c r="DI672" s="599"/>
      <c r="DJ672" s="599"/>
      <c r="DK672" s="599"/>
      <c r="DL672" s="599"/>
      <c r="DM672" s="599"/>
      <c r="DN672" s="599"/>
      <c r="DO672" s="599"/>
      <c r="DP672" s="599"/>
      <c r="DQ672" s="599"/>
      <c r="DR672" s="599"/>
      <c r="DS672" s="599"/>
      <c r="DT672" s="599"/>
      <c r="DU672" s="599"/>
      <c r="DV672" s="599"/>
      <c r="DW672" s="599"/>
      <c r="DX672" s="599"/>
      <c r="DY672" s="599"/>
      <c r="DZ672" s="599"/>
      <c r="EA672" s="599"/>
      <c r="EB672" s="599"/>
      <c r="EC672" s="599"/>
      <c r="ED672" s="599"/>
      <c r="EE672" s="599"/>
      <c r="EF672" s="599"/>
      <c r="EG672" s="599"/>
      <c r="EH672" s="599"/>
      <c r="EI672" s="599"/>
      <c r="EJ672" s="599"/>
      <c r="EK672" s="599"/>
      <c r="EL672" s="599"/>
      <c r="EM672" s="599"/>
      <c r="EN672" s="599"/>
      <c r="EO672" s="599"/>
      <c r="EP672" s="599"/>
      <c r="EQ672" s="599"/>
      <c r="ER672" s="599"/>
      <c r="ES672" s="599"/>
      <c r="ET672" s="599"/>
      <c r="EU672" s="599"/>
      <c r="EV672" s="599"/>
      <c r="EW672" s="599"/>
      <c r="EX672" s="599"/>
      <c r="EY672" s="599"/>
      <c r="EZ672" s="599"/>
      <c r="FA672" s="599"/>
      <c r="FB672" s="599"/>
      <c r="FC672" s="599"/>
      <c r="FD672" s="599"/>
      <c r="FE672" s="599"/>
      <c r="FF672" s="599"/>
      <c r="FG672" s="599"/>
      <c r="FH672" s="599"/>
      <c r="FI672" s="599"/>
      <c r="FJ672" s="599"/>
      <c r="FK672" s="599"/>
      <c r="FL672" s="599"/>
      <c r="FM672" s="599"/>
      <c r="FN672" s="599"/>
      <c r="FO672" s="599"/>
      <c r="FP672" s="599"/>
      <c r="FQ672" s="599"/>
      <c r="FR672" s="599"/>
      <c r="FS672" s="599"/>
      <c r="FT672" s="599"/>
      <c r="FU672" s="599"/>
      <c r="FV672" s="599"/>
      <c r="FW672" s="599"/>
      <c r="FX672" s="599"/>
      <c r="FY672" s="599"/>
      <c r="FZ672" s="599"/>
      <c r="GA672" s="599"/>
      <c r="GB672" s="599"/>
      <c r="GC672" s="599"/>
      <c r="GD672" s="599"/>
      <c r="GE672" s="599"/>
      <c r="GF672" s="599"/>
      <c r="GG672" s="599"/>
      <c r="GH672" s="599"/>
      <c r="GI672" s="599"/>
      <c r="GJ672" s="599"/>
      <c r="GK672" s="599"/>
      <c r="GL672" s="599"/>
      <c r="GM672" s="599"/>
      <c r="GN672" s="599"/>
      <c r="GO672" s="599"/>
      <c r="GP672" s="599"/>
      <c r="GQ672" s="599"/>
      <c r="GR672" s="599"/>
      <c r="GS672" s="599"/>
      <c r="GT672" s="599"/>
      <c r="GU672" s="599"/>
      <c r="GV672" s="599"/>
      <c r="GW672" s="599"/>
      <c r="GX672" s="599"/>
      <c r="GY672" s="599"/>
      <c r="GZ672" s="599"/>
      <c r="HA672" s="599"/>
      <c r="HB672" s="599"/>
      <c r="HC672" s="599"/>
      <c r="HD672" s="599"/>
      <c r="HE672" s="599"/>
      <c r="HF672" s="599"/>
      <c r="HG672" s="599"/>
      <c r="HH672" s="599"/>
      <c r="HI672" s="599"/>
      <c r="HJ672" s="599"/>
      <c r="HK672" s="599"/>
      <c r="HL672" s="599"/>
      <c r="HM672" s="599"/>
      <c r="HN672" s="599"/>
      <c r="HO672" s="599"/>
      <c r="HP672" s="599"/>
      <c r="HQ672" s="599"/>
      <c r="HR672" s="599"/>
      <c r="HS672" s="599"/>
      <c r="HT672" s="599"/>
      <c r="HU672" s="599"/>
      <c r="HV672" s="599"/>
      <c r="HW672" s="599"/>
      <c r="HX672" s="599"/>
      <c r="HY672" s="599"/>
      <c r="HZ672" s="599"/>
      <c r="IA672" s="599"/>
      <c r="IB672" s="599"/>
      <c r="IC672" s="599"/>
      <c r="ID672" s="599"/>
      <c r="IE672" s="599"/>
      <c r="IF672" s="599"/>
      <c r="IG672" s="599"/>
      <c r="IH672" s="599"/>
      <c r="II672" s="599"/>
      <c r="IJ672" s="599"/>
      <c r="IK672" s="599"/>
      <c r="IL672" s="599"/>
      <c r="IM672" s="599"/>
      <c r="IN672" s="599"/>
      <c r="IO672" s="599"/>
      <c r="IP672" s="599"/>
      <c r="IQ672" s="599"/>
      <c r="IR672" s="599"/>
      <c r="IS672" s="599"/>
      <c r="IT672" s="599"/>
      <c r="IU672" s="599"/>
      <c r="IV672" s="599"/>
    </row>
    <row r="673" spans="1:256" s="973" customFormat="1" ht="132.75" customHeight="1">
      <c r="A673" s="2094"/>
      <c r="B673" s="2309" t="s">
        <v>3104</v>
      </c>
      <c r="C673" s="741" t="s">
        <v>5587</v>
      </c>
      <c r="D673" s="822" t="s">
        <v>5588</v>
      </c>
      <c r="E673" s="741" t="s">
        <v>4196</v>
      </c>
      <c r="F673" s="1124" t="s">
        <v>5589</v>
      </c>
      <c r="G673" s="1162"/>
      <c r="H673" s="2125" t="s">
        <v>4246</v>
      </c>
      <c r="I673" s="2126" t="s">
        <v>5541</v>
      </c>
      <c r="J673" s="2127" t="s">
        <v>5540</v>
      </c>
      <c r="K673" s="741" t="s">
        <v>3314</v>
      </c>
      <c r="L673" s="1875" t="s">
        <v>4247</v>
      </c>
      <c r="M673" s="843" t="s">
        <v>4197</v>
      </c>
      <c r="N673" s="741" t="s">
        <v>3243</v>
      </c>
      <c r="O673" s="741" t="s">
        <v>3315</v>
      </c>
      <c r="P673" s="1835" t="s">
        <v>4245</v>
      </c>
      <c r="Q673" s="1836" t="s">
        <v>4411</v>
      </c>
      <c r="R673" s="1944">
        <v>12240408.24</v>
      </c>
      <c r="S673" s="1945"/>
      <c r="T673" s="1954">
        <v>44916</v>
      </c>
      <c r="U673" s="599"/>
      <c r="V673" s="599"/>
      <c r="W673" s="984"/>
      <c r="X673" s="984"/>
      <c r="Y673" s="599"/>
      <c r="Z673" s="599"/>
      <c r="AA673" s="599"/>
      <c r="AB673" s="599"/>
      <c r="AC673" s="580"/>
      <c r="AD673" s="1465"/>
      <c r="AE673" s="599"/>
      <c r="AF673" s="984"/>
      <c r="AG673" s="599"/>
      <c r="AH673" s="599"/>
    </row>
    <row r="674" spans="1:256" ht="99" customHeight="1">
      <c r="A674" s="2124">
        <v>10</v>
      </c>
      <c r="B674" s="2120" t="s">
        <v>3089</v>
      </c>
      <c r="C674" s="741" t="s">
        <v>4555</v>
      </c>
      <c r="D674" s="893" t="s">
        <v>5298</v>
      </c>
      <c r="E674" s="741" t="s">
        <v>4556</v>
      </c>
      <c r="F674" s="1305">
        <v>34500000</v>
      </c>
      <c r="G674" s="599"/>
      <c r="H674" s="599"/>
      <c r="I674" s="599"/>
      <c r="J674" s="599"/>
      <c r="K674" s="890"/>
      <c r="L674" s="599"/>
      <c r="M674" s="1990" t="s">
        <v>4816</v>
      </c>
      <c r="N674" s="599" t="s">
        <v>4818</v>
      </c>
      <c r="O674" s="599">
        <v>20614140</v>
      </c>
      <c r="P674" s="599" t="s">
        <v>4611</v>
      </c>
      <c r="Q674" s="599"/>
      <c r="R674" s="599"/>
      <c r="S674" s="599"/>
      <c r="T674" s="599"/>
      <c r="U674" s="599"/>
      <c r="V674" s="599"/>
      <c r="W674" s="599"/>
      <c r="X674" s="599"/>
    </row>
    <row r="675" spans="1:256" ht="63" customHeight="1">
      <c r="A675" s="599"/>
      <c r="B675" s="2730" t="s">
        <v>5324</v>
      </c>
      <c r="C675" s="2483" t="s">
        <v>5280</v>
      </c>
      <c r="D675" s="2483" t="s">
        <v>5323</v>
      </c>
      <c r="E675" s="2483" t="s">
        <v>4949</v>
      </c>
      <c r="F675" s="2545" t="s">
        <v>5209</v>
      </c>
      <c r="G675" s="599"/>
      <c r="H675" s="599"/>
      <c r="I675" s="2733">
        <f>831000             +19260674.45                        +913376                          +1772203.39                     +18285625.23                  +6874188.22</f>
        <v>47937067.289999999</v>
      </c>
      <c r="J675" s="2483" t="s">
        <v>5536</v>
      </c>
      <c r="K675" s="2483" t="s">
        <v>5537</v>
      </c>
      <c r="L675" s="2514" t="s">
        <v>5228</v>
      </c>
      <c r="M675" s="610" t="s">
        <v>4944</v>
      </c>
      <c r="N675" s="599" t="s">
        <v>4945</v>
      </c>
      <c r="O675" s="599"/>
      <c r="P675" s="599"/>
      <c r="Q675" s="599"/>
      <c r="R675" s="599"/>
      <c r="S675" s="599"/>
      <c r="T675" s="599"/>
      <c r="U675" s="599"/>
      <c r="V675" s="599"/>
      <c r="W675" s="599"/>
    </row>
    <row r="676" spans="1:256" ht="68.25" customHeight="1">
      <c r="A676" s="599"/>
      <c r="B676" s="2731"/>
      <c r="C676" s="2484"/>
      <c r="D676" s="2484"/>
      <c r="E676" s="2484"/>
      <c r="F676" s="2546"/>
      <c r="G676" s="599"/>
      <c r="H676" s="599"/>
      <c r="I676" s="2734"/>
      <c r="J676" s="2484"/>
      <c r="K676" s="2484"/>
      <c r="L676" s="2722"/>
      <c r="M676" s="610" t="s">
        <v>5432</v>
      </c>
      <c r="N676" s="599" t="s">
        <v>5433</v>
      </c>
      <c r="O676" s="1141">
        <v>521636</v>
      </c>
      <c r="P676" s="599"/>
      <c r="Q676" s="599" t="s">
        <v>5434</v>
      </c>
      <c r="R676" s="599"/>
      <c r="S676" s="599"/>
      <c r="T676" s="599"/>
      <c r="U676" s="599"/>
      <c r="V676" s="599"/>
      <c r="W676" s="599"/>
    </row>
    <row r="677" spans="1:256" s="2189" customFormat="1" ht="73.5" customHeight="1">
      <c r="A677" s="1996"/>
      <c r="B677" s="2732"/>
      <c r="C677" s="2476"/>
      <c r="D677" s="2476"/>
      <c r="E677" s="2476"/>
      <c r="F677" s="2547"/>
      <c r="G677" s="2082"/>
      <c r="H677" s="2082"/>
      <c r="I677" s="2591"/>
      <c r="J677" s="2476"/>
      <c r="K677" s="2476"/>
      <c r="L677" s="2515"/>
      <c r="M677" s="1996" t="s">
        <v>4869</v>
      </c>
      <c r="N677" s="1996"/>
      <c r="O677" s="1996" t="s">
        <v>5253</v>
      </c>
      <c r="P677" s="1996"/>
      <c r="Q677" s="1996" t="s">
        <v>5254</v>
      </c>
      <c r="R677" s="1997" t="s">
        <v>5255</v>
      </c>
      <c r="S677" s="2187" t="s">
        <v>5256</v>
      </c>
      <c r="T677" s="1996"/>
      <c r="U677" s="1996"/>
      <c r="V677" s="1996"/>
      <c r="W677" s="1996"/>
      <c r="X677" s="2188"/>
      <c r="Y677" s="2188"/>
      <c r="Z677" s="2188"/>
      <c r="AA677" s="2188"/>
      <c r="AB677" s="2188"/>
      <c r="AC677" s="2188"/>
      <c r="AD677" s="2188"/>
      <c r="AE677" s="2188"/>
      <c r="AF677" s="2188"/>
      <c r="AG677" s="2188"/>
      <c r="AH677" s="2188"/>
      <c r="AI677" s="2188"/>
      <c r="AJ677" s="2188"/>
      <c r="AK677" s="2188"/>
      <c r="AL677" s="2188"/>
      <c r="AM677" s="2188"/>
      <c r="AN677" s="2188"/>
      <c r="AO677" s="2188"/>
      <c r="AP677" s="2188"/>
      <c r="AQ677" s="2188"/>
      <c r="AR677" s="2188"/>
      <c r="AS677" s="2188"/>
      <c r="AT677" s="2188"/>
      <c r="AU677" s="2188"/>
      <c r="AV677" s="2188"/>
      <c r="AW677" s="2188"/>
      <c r="AX677" s="2188"/>
      <c r="AY677" s="2188"/>
      <c r="AZ677" s="2188"/>
      <c r="BA677" s="2188"/>
      <c r="BB677" s="2188"/>
      <c r="BC677" s="2188"/>
      <c r="BD677" s="2188"/>
      <c r="BE677" s="2188"/>
      <c r="BF677" s="2188"/>
      <c r="BG677" s="2188"/>
      <c r="BH677" s="2188"/>
      <c r="BI677" s="2188"/>
      <c r="BJ677" s="2188"/>
      <c r="BK677" s="2188"/>
      <c r="BL677" s="2188"/>
      <c r="BM677" s="2188"/>
      <c r="BN677" s="2188"/>
      <c r="BO677" s="2188"/>
      <c r="BP677" s="2188"/>
      <c r="BQ677" s="2188"/>
      <c r="BR677" s="2188"/>
      <c r="BS677" s="2188"/>
      <c r="BT677" s="2188"/>
      <c r="BU677" s="2188"/>
      <c r="BV677" s="2188"/>
      <c r="BW677" s="2188"/>
      <c r="BX677" s="2188"/>
      <c r="BY677" s="2188"/>
      <c r="BZ677" s="2188"/>
      <c r="CA677" s="2188"/>
      <c r="CB677" s="2188"/>
      <c r="CC677" s="2188"/>
      <c r="CD677" s="2188"/>
      <c r="CE677" s="2188"/>
      <c r="CF677" s="2188"/>
      <c r="CG677" s="2188"/>
      <c r="CH677" s="2188"/>
      <c r="CI677" s="2188"/>
      <c r="CJ677" s="2188"/>
      <c r="CK677" s="2188"/>
      <c r="CL677" s="2188"/>
      <c r="CM677" s="2188"/>
      <c r="CN677" s="2188"/>
      <c r="CO677" s="2188"/>
      <c r="CP677" s="2188"/>
      <c r="CQ677" s="2188"/>
      <c r="CR677" s="2188"/>
      <c r="CS677" s="2188"/>
      <c r="CT677" s="2188"/>
      <c r="CU677" s="2188"/>
      <c r="CV677" s="2188"/>
      <c r="CW677" s="2188"/>
      <c r="CX677" s="2188"/>
      <c r="CY677" s="2188"/>
      <c r="CZ677" s="2188"/>
      <c r="DA677" s="2188"/>
      <c r="DB677" s="2188"/>
      <c r="DC677" s="2188"/>
      <c r="DD677" s="2188"/>
      <c r="DE677" s="2188"/>
      <c r="DF677" s="2188"/>
      <c r="DG677" s="2188"/>
      <c r="DH677" s="2188"/>
      <c r="DI677" s="2188"/>
      <c r="DJ677" s="2188"/>
      <c r="DK677" s="2188"/>
      <c r="DL677" s="2188"/>
      <c r="DM677" s="2188"/>
      <c r="DN677" s="2188"/>
      <c r="DO677" s="2188"/>
      <c r="DP677" s="2188"/>
      <c r="DQ677" s="2188"/>
      <c r="DR677" s="2188"/>
      <c r="DS677" s="2188"/>
      <c r="DT677" s="2188"/>
      <c r="DU677" s="2188"/>
      <c r="DV677" s="2188"/>
      <c r="DW677" s="2188"/>
      <c r="DX677" s="2188"/>
      <c r="DY677" s="2188"/>
      <c r="DZ677" s="2188"/>
      <c r="EA677" s="2188"/>
      <c r="EB677" s="2188"/>
      <c r="EC677" s="2188"/>
      <c r="ED677" s="2188"/>
      <c r="EE677" s="2188"/>
      <c r="EF677" s="2188"/>
      <c r="EG677" s="2188"/>
      <c r="EH677" s="2188"/>
      <c r="EI677" s="2188"/>
      <c r="EJ677" s="2188"/>
      <c r="EK677" s="2188"/>
      <c r="EL677" s="2188"/>
      <c r="EM677" s="2188"/>
      <c r="EN677" s="2188"/>
      <c r="EO677" s="2188"/>
      <c r="EP677" s="2188"/>
      <c r="EQ677" s="2188"/>
      <c r="ER677" s="2188"/>
      <c r="ES677" s="2188"/>
      <c r="ET677" s="2188"/>
      <c r="EU677" s="2188"/>
      <c r="EV677" s="2188"/>
      <c r="EW677" s="2188"/>
      <c r="EX677" s="2188"/>
      <c r="EY677" s="2188"/>
      <c r="EZ677" s="2188"/>
      <c r="FA677" s="2188"/>
      <c r="FB677" s="2188"/>
      <c r="FC677" s="2188"/>
      <c r="FD677" s="2188"/>
      <c r="FE677" s="2188"/>
      <c r="FF677" s="2188"/>
      <c r="FG677" s="2188"/>
      <c r="FH677" s="2188"/>
      <c r="FI677" s="2188"/>
      <c r="FJ677" s="2188"/>
      <c r="FK677" s="2188"/>
      <c r="FL677" s="2188"/>
      <c r="FM677" s="2188"/>
      <c r="FN677" s="2188"/>
      <c r="FO677" s="2188"/>
      <c r="FP677" s="2188"/>
      <c r="FQ677" s="2188"/>
      <c r="FR677" s="2188"/>
      <c r="FS677" s="2188"/>
      <c r="FT677" s="2188"/>
      <c r="FU677" s="2188"/>
      <c r="FV677" s="2188"/>
      <c r="FW677" s="2188"/>
      <c r="FX677" s="2188"/>
      <c r="FY677" s="2188"/>
      <c r="FZ677" s="2188"/>
      <c r="GA677" s="2188"/>
      <c r="GB677" s="2188"/>
      <c r="GC677" s="2188"/>
      <c r="GD677" s="2188"/>
      <c r="GE677" s="2188"/>
      <c r="GF677" s="2188"/>
      <c r="GG677" s="2188"/>
      <c r="GH677" s="2188"/>
      <c r="GI677" s="2188"/>
      <c r="GJ677" s="2188"/>
      <c r="GK677" s="2188"/>
      <c r="GL677" s="2188"/>
      <c r="GM677" s="2188"/>
      <c r="GN677" s="2188"/>
      <c r="GO677" s="2188"/>
      <c r="GP677" s="2188"/>
      <c r="GQ677" s="2188"/>
      <c r="GR677" s="2188"/>
      <c r="GS677" s="2188"/>
      <c r="GT677" s="2188"/>
      <c r="GU677" s="2188"/>
      <c r="GV677" s="2188"/>
      <c r="GW677" s="2188"/>
      <c r="GX677" s="2188"/>
      <c r="GY677" s="2188"/>
      <c r="GZ677" s="2188"/>
      <c r="HA677" s="2188"/>
      <c r="HB677" s="2188"/>
      <c r="HC677" s="2188"/>
      <c r="HD677" s="2188"/>
      <c r="HE677" s="2188"/>
      <c r="HF677" s="2188"/>
      <c r="HG677" s="2188"/>
      <c r="HH677" s="2188"/>
      <c r="HI677" s="2188"/>
      <c r="HJ677" s="2188"/>
      <c r="HK677" s="2188"/>
      <c r="HL677" s="2188"/>
      <c r="HM677" s="2188"/>
      <c r="HN677" s="2188"/>
      <c r="HO677" s="2188"/>
      <c r="HP677" s="2188"/>
      <c r="HQ677" s="2188"/>
      <c r="HR677" s="2188"/>
      <c r="HS677" s="2188"/>
      <c r="HT677" s="2188"/>
      <c r="HU677" s="2188"/>
      <c r="HV677" s="2188"/>
      <c r="HW677" s="2188"/>
      <c r="HX677" s="2188"/>
      <c r="HY677" s="2188"/>
      <c r="HZ677" s="2188"/>
      <c r="IA677" s="2188"/>
      <c r="IB677" s="2188"/>
      <c r="IC677" s="2188"/>
      <c r="ID677" s="2188"/>
      <c r="IE677" s="2188"/>
      <c r="IF677" s="2188"/>
      <c r="IG677" s="2188"/>
      <c r="IH677" s="2188"/>
      <c r="II677" s="2188"/>
      <c r="IJ677" s="2188"/>
      <c r="IK677" s="2188"/>
      <c r="IL677" s="2188"/>
      <c r="IM677" s="2188"/>
      <c r="IN677" s="2188"/>
      <c r="IO677" s="2188"/>
      <c r="IP677" s="2188"/>
      <c r="IQ677" s="2188"/>
      <c r="IR677" s="2188"/>
      <c r="IS677" s="2188"/>
      <c r="IT677" s="2188"/>
      <c r="IU677" s="2188"/>
      <c r="IV677" s="2188"/>
    </row>
    <row r="678" spans="1:256" ht="157.5" customHeight="1">
      <c r="A678" s="599"/>
      <c r="B678" s="2109" t="s">
        <v>4959</v>
      </c>
      <c r="C678" s="599" t="s">
        <v>4960</v>
      </c>
      <c r="D678" s="599" t="s">
        <v>4961</v>
      </c>
      <c r="E678" s="599" t="s">
        <v>4962</v>
      </c>
      <c r="F678" s="599" t="s">
        <v>4977</v>
      </c>
      <c r="G678" s="599">
        <f>2661649.73+2280500.3</f>
        <v>4942150.0299999993</v>
      </c>
      <c r="H678" s="601"/>
      <c r="I678" s="599"/>
      <c r="J678" s="599" t="s">
        <v>5326</v>
      </c>
      <c r="K678" s="599" t="s">
        <v>5327</v>
      </c>
      <c r="L678" s="599" t="s">
        <v>5333</v>
      </c>
      <c r="M678" s="599" t="s">
        <v>65</v>
      </c>
      <c r="N678" s="599"/>
      <c r="O678" s="599"/>
      <c r="P678" s="599"/>
      <c r="Q678" s="599"/>
      <c r="R678" s="599"/>
      <c r="S678" s="599"/>
      <c r="T678" s="599"/>
      <c r="U678" s="599"/>
      <c r="V678" s="599"/>
      <c r="W678" s="599"/>
    </row>
    <row r="679" spans="1:256" ht="81" customHeight="1">
      <c r="A679" s="599"/>
      <c r="B679" s="2176" t="s">
        <v>5544</v>
      </c>
      <c r="C679" s="599" t="s">
        <v>5306</v>
      </c>
      <c r="D679" s="2082" t="s">
        <v>5283</v>
      </c>
      <c r="E679" s="599" t="s">
        <v>5002</v>
      </c>
      <c r="F679" s="599" t="s">
        <v>5001</v>
      </c>
      <c r="G679" s="599"/>
      <c r="H679" s="890">
        <f>(4259292-1860000)/1.2-83333</f>
        <v>1916077</v>
      </c>
      <c r="I679" s="599">
        <f>100000                                 +431280                    +3728012.25</f>
        <v>4259292.25</v>
      </c>
      <c r="J679" s="2152" t="s">
        <v>5340</v>
      </c>
      <c r="K679" s="2153" t="s">
        <v>5341</v>
      </c>
      <c r="L679" s="599" t="s">
        <v>5333</v>
      </c>
      <c r="M679" s="599"/>
      <c r="N679" s="2082"/>
      <c r="O679" s="599"/>
      <c r="P679" s="599"/>
      <c r="Q679" s="599"/>
      <c r="R679" s="599"/>
      <c r="S679" s="599"/>
      <c r="T679" s="599"/>
      <c r="U679" s="599"/>
      <c r="V679" s="599"/>
      <c r="W679" s="599"/>
    </row>
    <row r="680" spans="1:256" ht="118.5" customHeight="1">
      <c r="A680" s="599"/>
      <c r="B680" s="2176" t="s">
        <v>4999</v>
      </c>
      <c r="C680" s="599" t="s">
        <v>5328</v>
      </c>
      <c r="D680" s="2082" t="s">
        <v>5329</v>
      </c>
      <c r="E680" s="599" t="s">
        <v>5330</v>
      </c>
      <c r="F680" s="2207" t="s">
        <v>5608</v>
      </c>
      <c r="G680" s="599"/>
      <c r="H680" s="890">
        <f>(4341316-1860000)/1.2</f>
        <v>2067763.3333333335</v>
      </c>
      <c r="I680" s="599"/>
      <c r="J680" s="2256">
        <v>4341316</v>
      </c>
      <c r="K680" s="2129" t="s">
        <v>5463</v>
      </c>
      <c r="L680" s="599" t="s">
        <v>5333</v>
      </c>
      <c r="M680" s="599"/>
      <c r="N680" s="2082"/>
      <c r="O680" s="599"/>
      <c r="P680" s="599"/>
      <c r="Q680" s="599"/>
      <c r="R680" s="599"/>
      <c r="S680" s="599"/>
      <c r="T680" s="599"/>
      <c r="U680" s="599"/>
      <c r="V680" s="599"/>
      <c r="W680" s="599"/>
    </row>
    <row r="681" spans="1:256" ht="81" customHeight="1">
      <c r="A681" s="599"/>
      <c r="B681" s="2245" t="s">
        <v>5335</v>
      </c>
      <c r="C681" s="599" t="s">
        <v>5420</v>
      </c>
      <c r="D681" s="2082" t="s">
        <v>5419</v>
      </c>
      <c r="E681" s="599" t="s">
        <v>5572</v>
      </c>
      <c r="F681" s="599">
        <v>1460000</v>
      </c>
      <c r="G681" s="1809" t="s">
        <v>5573</v>
      </c>
      <c r="H681" s="599"/>
      <c r="I681" s="599"/>
      <c r="J681" s="2152"/>
      <c r="K681" s="2153"/>
      <c r="L681" s="599"/>
      <c r="M681" s="599"/>
      <c r="N681" s="2082"/>
      <c r="O681" s="599"/>
      <c r="P681" s="599"/>
      <c r="Q681" s="599"/>
      <c r="R681" s="599"/>
      <c r="S681" s="599"/>
      <c r="T681" s="599"/>
      <c r="U681" s="599"/>
      <c r="V681" s="599"/>
      <c r="W681" s="599"/>
    </row>
    <row r="682" spans="1:256" ht="217.5" customHeight="1">
      <c r="A682" s="599"/>
      <c r="B682" s="2244" t="s">
        <v>5086</v>
      </c>
      <c r="C682" s="599" t="s">
        <v>5087</v>
      </c>
      <c r="D682" s="599" t="s">
        <v>5279</v>
      </c>
      <c r="E682" s="599" t="s">
        <v>5088</v>
      </c>
      <c r="F682" s="599">
        <v>830000</v>
      </c>
      <c r="G682" s="599"/>
      <c r="H682" s="599"/>
      <c r="I682" s="599"/>
      <c r="J682" s="599">
        <v>830000</v>
      </c>
      <c r="K682" s="1094" t="s">
        <v>5442</v>
      </c>
      <c r="L682" s="599" t="s">
        <v>2588</v>
      </c>
      <c r="M682" s="599" t="s">
        <v>5120</v>
      </c>
      <c r="N682" s="599"/>
      <c r="O682" s="599"/>
      <c r="P682" s="599"/>
      <c r="Q682" s="890" t="s">
        <v>5243</v>
      </c>
      <c r="R682" s="1337" t="s">
        <v>5242</v>
      </c>
      <c r="S682" s="1094"/>
      <c r="T682" s="599"/>
      <c r="U682" s="599"/>
      <c r="V682" s="599"/>
      <c r="W682" s="599"/>
      <c r="X682" s="599"/>
      <c r="Y682" s="599"/>
      <c r="Z682" s="599"/>
      <c r="AA682" s="599"/>
      <c r="AB682" s="599"/>
      <c r="AC682" s="599"/>
      <c r="AD682" s="599"/>
      <c r="AE682" s="599"/>
      <c r="AF682" s="599"/>
      <c r="AG682" s="599"/>
      <c r="AH682" s="599"/>
    </row>
    <row r="683" spans="1:256" ht="72" customHeight="1">
      <c r="A683" s="599"/>
      <c r="B683" s="2244" t="s">
        <v>4824</v>
      </c>
      <c r="C683" s="446" t="s">
        <v>5565</v>
      </c>
      <c r="D683" s="599" t="s">
        <v>4997</v>
      </c>
      <c r="E683" s="599" t="s">
        <v>4826</v>
      </c>
      <c r="F683" s="601" t="s">
        <v>4998</v>
      </c>
      <c r="G683" s="599"/>
      <c r="H683" s="599"/>
      <c r="I683" s="599"/>
      <c r="J683" s="2098"/>
      <c r="K683" s="2223"/>
      <c r="L683" s="2082" t="s">
        <v>5121</v>
      </c>
      <c r="M683" s="599" t="s">
        <v>4727</v>
      </c>
      <c r="N683" s="599" t="s">
        <v>4825</v>
      </c>
      <c r="O683" s="599"/>
      <c r="P683" s="599"/>
      <c r="Q683" s="599"/>
      <c r="R683" s="599"/>
      <c r="S683" s="599"/>
      <c r="T683" s="599"/>
      <c r="U683" s="599"/>
      <c r="V683" s="599"/>
      <c r="W683" s="599"/>
    </row>
    <row r="684" spans="1:256" s="2139" customFormat="1" ht="83.25" customHeight="1">
      <c r="A684" s="2082"/>
      <c r="B684" s="2251" t="s">
        <v>4824</v>
      </c>
      <c r="C684" s="2082" t="s">
        <v>4887</v>
      </c>
      <c r="D684" s="2082" t="s">
        <v>4914</v>
      </c>
      <c r="E684" s="2082" t="s">
        <v>4898</v>
      </c>
      <c r="F684" s="2198">
        <v>5754243.2400000002</v>
      </c>
      <c r="G684" s="2082"/>
      <c r="H684" s="2082">
        <f>1409392.38                 +1060500</f>
        <v>2469892.38</v>
      </c>
      <c r="I684" s="2130">
        <f>1409392.38+1060500+1757148.22+1527202.64</f>
        <v>5754243.2399999993</v>
      </c>
      <c r="J684" s="2130" t="s">
        <v>5545</v>
      </c>
      <c r="K684" s="2131" t="s">
        <v>5414</v>
      </c>
      <c r="L684" s="1809" t="s">
        <v>5121</v>
      </c>
      <c r="M684" s="2191" t="s">
        <v>5292</v>
      </c>
      <c r="N684" s="599" t="s">
        <v>5293</v>
      </c>
      <c r="O684" s="599">
        <v>200000</v>
      </c>
      <c r="P684" s="599"/>
      <c r="Q684" s="599"/>
      <c r="R684" s="2082"/>
      <c r="S684" s="2082"/>
      <c r="T684" s="2082"/>
      <c r="U684" s="2082"/>
      <c r="V684" s="2082"/>
      <c r="W684" s="2082"/>
      <c r="X684" s="2110"/>
      <c r="Y684" s="2110"/>
      <c r="Z684" s="2110"/>
      <c r="AA684" s="2110"/>
      <c r="AB684" s="2110"/>
      <c r="AC684" s="2110"/>
      <c r="AD684" s="2138"/>
      <c r="AE684" s="2138"/>
      <c r="AF684" s="2138"/>
      <c r="AG684" s="2138"/>
      <c r="AH684" s="2138"/>
      <c r="AI684" s="2138"/>
      <c r="AJ684" s="2138"/>
      <c r="AK684" s="2138"/>
      <c r="AL684" s="2138"/>
      <c r="AM684" s="2138"/>
      <c r="AN684" s="2138"/>
      <c r="AO684" s="2138"/>
      <c r="AP684" s="2138"/>
      <c r="AQ684" s="2138"/>
      <c r="AR684" s="2138"/>
      <c r="AS684" s="2138"/>
      <c r="AT684" s="2138"/>
      <c r="AU684" s="2138"/>
      <c r="AV684" s="2138"/>
      <c r="AW684" s="2138"/>
      <c r="AX684" s="2138"/>
      <c r="AY684" s="2138"/>
      <c r="AZ684" s="2138"/>
      <c r="BA684" s="2138"/>
      <c r="BB684" s="2138"/>
      <c r="BC684" s="2138"/>
      <c r="BD684" s="2138"/>
      <c r="BE684" s="2138"/>
      <c r="BF684" s="2138"/>
      <c r="BG684" s="2138"/>
      <c r="BH684" s="2138"/>
      <c r="BI684" s="2138"/>
      <c r="BJ684" s="2138"/>
      <c r="BK684" s="2138"/>
      <c r="BL684" s="2138"/>
      <c r="BM684" s="2138"/>
      <c r="BN684" s="2138"/>
      <c r="BO684" s="2138"/>
      <c r="BP684" s="2138"/>
      <c r="BQ684" s="2138"/>
      <c r="BR684" s="2138"/>
      <c r="BS684" s="2138"/>
      <c r="BT684" s="2138"/>
      <c r="BU684" s="2138"/>
      <c r="BV684" s="2138"/>
      <c r="BW684" s="2138"/>
      <c r="BX684" s="2138"/>
      <c r="BY684" s="2138"/>
      <c r="BZ684" s="2138"/>
      <c r="CA684" s="2138"/>
      <c r="CB684" s="2138"/>
      <c r="CC684" s="2138"/>
      <c r="CD684" s="2138"/>
      <c r="CE684" s="2138"/>
      <c r="CF684" s="2138"/>
      <c r="CG684" s="2138"/>
      <c r="CH684" s="2138"/>
      <c r="CI684" s="2138"/>
      <c r="CJ684" s="2138"/>
      <c r="CK684" s="2138"/>
      <c r="CL684" s="2138"/>
      <c r="CM684" s="2138"/>
      <c r="CN684" s="2138"/>
      <c r="CO684" s="2138"/>
      <c r="CP684" s="2138"/>
      <c r="CQ684" s="2138"/>
      <c r="CR684" s="2138"/>
      <c r="CS684" s="2138"/>
      <c r="CT684" s="2138"/>
      <c r="CU684" s="2138"/>
      <c r="CV684" s="2138"/>
      <c r="CW684" s="2138"/>
      <c r="CX684" s="2138"/>
      <c r="CY684" s="2138"/>
      <c r="CZ684" s="2138"/>
      <c r="DA684" s="2138"/>
      <c r="DB684" s="2138"/>
      <c r="DC684" s="2138"/>
      <c r="DD684" s="2138"/>
      <c r="DE684" s="2138"/>
      <c r="DF684" s="2138"/>
      <c r="DG684" s="2138"/>
      <c r="DH684" s="2138"/>
      <c r="DI684" s="2138"/>
      <c r="DJ684" s="2138"/>
      <c r="DK684" s="2138"/>
      <c r="DL684" s="2138"/>
      <c r="DM684" s="2138"/>
      <c r="DN684" s="2138"/>
      <c r="DO684" s="2138"/>
      <c r="DP684" s="2138"/>
      <c r="DQ684" s="2138"/>
      <c r="DR684" s="2138"/>
      <c r="DS684" s="2138"/>
      <c r="DT684" s="2138"/>
      <c r="DU684" s="2138"/>
      <c r="DV684" s="2138"/>
      <c r="DW684" s="2138"/>
      <c r="DX684" s="2138"/>
      <c r="DY684" s="2138"/>
      <c r="DZ684" s="2138"/>
      <c r="EA684" s="2138"/>
      <c r="EB684" s="2138"/>
      <c r="EC684" s="2138"/>
      <c r="ED684" s="2138"/>
      <c r="EE684" s="2138"/>
      <c r="EF684" s="2138"/>
      <c r="EG684" s="2138"/>
      <c r="EH684" s="2138"/>
      <c r="EI684" s="2138"/>
      <c r="EJ684" s="2138"/>
      <c r="EK684" s="2138"/>
      <c r="EL684" s="2138"/>
      <c r="EM684" s="2138"/>
      <c r="EN684" s="2138"/>
      <c r="EO684" s="2138"/>
      <c r="EP684" s="2138"/>
      <c r="EQ684" s="2138"/>
      <c r="ER684" s="2138"/>
      <c r="ES684" s="2138"/>
      <c r="ET684" s="2138"/>
      <c r="EU684" s="2138"/>
      <c r="EV684" s="2138"/>
      <c r="EW684" s="2138"/>
      <c r="EX684" s="2138"/>
      <c r="EY684" s="2138"/>
      <c r="EZ684" s="2138"/>
      <c r="FA684" s="2138"/>
      <c r="FB684" s="2138"/>
      <c r="FC684" s="2138"/>
      <c r="FD684" s="2138"/>
      <c r="FE684" s="2138"/>
      <c r="FF684" s="2138"/>
      <c r="FG684" s="2138"/>
      <c r="FH684" s="2138"/>
      <c r="FI684" s="2138"/>
      <c r="FJ684" s="2138"/>
      <c r="FK684" s="2138"/>
      <c r="FL684" s="2138"/>
      <c r="FM684" s="2138"/>
      <c r="FN684" s="2138"/>
      <c r="FO684" s="2138"/>
      <c r="FP684" s="2138"/>
      <c r="FQ684" s="2138"/>
      <c r="FR684" s="2138"/>
      <c r="FS684" s="2138"/>
      <c r="FT684" s="2138"/>
      <c r="FU684" s="2138"/>
      <c r="FV684" s="2138"/>
      <c r="FW684" s="2138"/>
      <c r="FX684" s="2138"/>
      <c r="FY684" s="2138"/>
      <c r="FZ684" s="2138"/>
      <c r="GA684" s="2138"/>
      <c r="GB684" s="2138"/>
      <c r="GC684" s="2138"/>
      <c r="GD684" s="2138"/>
      <c r="GE684" s="2138"/>
      <c r="GF684" s="2138"/>
      <c r="GG684" s="2138"/>
      <c r="GH684" s="2138"/>
      <c r="GI684" s="2138"/>
      <c r="GJ684" s="2138"/>
      <c r="GK684" s="2138"/>
      <c r="GL684" s="2138"/>
      <c r="GM684" s="2138"/>
      <c r="GN684" s="2138"/>
      <c r="GO684" s="2138"/>
      <c r="GP684" s="2138"/>
      <c r="GQ684" s="2138"/>
      <c r="GR684" s="2138"/>
      <c r="GS684" s="2138"/>
      <c r="GT684" s="2138"/>
      <c r="GU684" s="2138"/>
      <c r="GV684" s="2138"/>
      <c r="GW684" s="2138"/>
      <c r="GX684" s="2138"/>
      <c r="GY684" s="2138"/>
      <c r="GZ684" s="2138"/>
      <c r="HA684" s="2138"/>
      <c r="HB684" s="2138"/>
      <c r="HC684" s="2138"/>
      <c r="HD684" s="2138"/>
      <c r="HE684" s="2138"/>
      <c r="HF684" s="2138"/>
      <c r="HG684" s="2138"/>
      <c r="HH684" s="2138"/>
      <c r="HI684" s="2138"/>
      <c r="HJ684" s="2138"/>
      <c r="HK684" s="2138"/>
      <c r="HL684" s="2138"/>
      <c r="HM684" s="2138"/>
      <c r="HN684" s="2138"/>
      <c r="HO684" s="2138"/>
      <c r="HP684" s="2138"/>
      <c r="HQ684" s="2138"/>
      <c r="HR684" s="2138"/>
      <c r="HS684" s="2138"/>
      <c r="HT684" s="2138"/>
      <c r="HU684" s="2138"/>
      <c r="HV684" s="2138"/>
      <c r="HW684" s="2138"/>
      <c r="HX684" s="2138"/>
      <c r="HY684" s="2138"/>
      <c r="HZ684" s="2138"/>
      <c r="IA684" s="2138"/>
      <c r="IB684" s="2138"/>
      <c r="IC684" s="2138"/>
      <c r="ID684" s="2138"/>
      <c r="IE684" s="2138"/>
      <c r="IF684" s="2138"/>
      <c r="IG684" s="2138"/>
      <c r="IH684" s="2138"/>
      <c r="II684" s="2138"/>
      <c r="IJ684" s="2138"/>
      <c r="IK684" s="2138"/>
      <c r="IL684" s="2138"/>
      <c r="IM684" s="2138"/>
      <c r="IN684" s="2138"/>
      <c r="IO684" s="2138"/>
      <c r="IP684" s="2138"/>
      <c r="IQ684" s="2138"/>
      <c r="IR684" s="2138"/>
      <c r="IS684" s="2138"/>
      <c r="IT684" s="2138"/>
      <c r="IU684" s="2138"/>
      <c r="IV684" s="2138"/>
    </row>
    <row r="685" spans="1:256" s="2111" customFormat="1" ht="150.75" customHeight="1">
      <c r="A685" s="2082"/>
      <c r="B685" s="2251" t="s">
        <v>3427</v>
      </c>
      <c r="C685" s="2082" t="s">
        <v>5304</v>
      </c>
      <c r="D685" s="2082" t="s">
        <v>5220</v>
      </c>
      <c r="E685" s="1744" t="s">
        <v>5222</v>
      </c>
      <c r="F685" s="2082" t="s">
        <v>5221</v>
      </c>
      <c r="G685" s="2082"/>
      <c r="H685" s="2082"/>
      <c r="I685" s="2082"/>
      <c r="J685" s="2098"/>
      <c r="K685" s="2082"/>
      <c r="L685" s="2082"/>
      <c r="M685" s="2082"/>
      <c r="N685" s="2082"/>
      <c r="O685" s="2082"/>
      <c r="P685" s="2082"/>
      <c r="Q685" s="2082"/>
      <c r="R685" s="2082"/>
      <c r="S685" s="2082"/>
      <c r="T685" s="2082"/>
      <c r="U685" s="2082"/>
      <c r="V685" s="2082"/>
      <c r="W685" s="2082"/>
      <c r="X685" s="2110"/>
      <c r="Y685" s="2110"/>
      <c r="Z685" s="2110"/>
      <c r="AA685" s="2110"/>
      <c r="AB685" s="2110"/>
      <c r="AC685" s="2110"/>
      <c r="AD685" s="2110"/>
      <c r="AE685" s="2110"/>
      <c r="AF685" s="2110"/>
      <c r="AG685" s="2110"/>
      <c r="AH685" s="2110"/>
      <c r="AI685" s="2110"/>
      <c r="AJ685" s="2110"/>
      <c r="AK685" s="2110"/>
      <c r="AL685" s="2110"/>
      <c r="AM685" s="2110"/>
      <c r="AN685" s="2110"/>
      <c r="AO685" s="2110"/>
      <c r="AP685" s="2110"/>
      <c r="AQ685" s="2110"/>
      <c r="AR685" s="2110"/>
      <c r="AS685" s="2110"/>
      <c r="AT685" s="2110"/>
      <c r="AU685" s="2110"/>
      <c r="AV685" s="2110"/>
      <c r="AW685" s="2110"/>
      <c r="AX685" s="2110"/>
      <c r="AY685" s="2110"/>
      <c r="AZ685" s="2110"/>
      <c r="BA685" s="2110"/>
      <c r="BB685" s="2110"/>
      <c r="BC685" s="2110"/>
      <c r="BD685" s="2110"/>
      <c r="BE685" s="2110"/>
      <c r="BF685" s="2110"/>
      <c r="BG685" s="2110"/>
      <c r="BH685" s="2110"/>
      <c r="BI685" s="2110"/>
      <c r="BJ685" s="2110"/>
      <c r="BK685" s="2110"/>
      <c r="BL685" s="2110"/>
      <c r="BM685" s="2110"/>
      <c r="BN685" s="2110"/>
      <c r="BO685" s="2110"/>
      <c r="BP685" s="2110"/>
      <c r="BQ685" s="2110"/>
      <c r="BR685" s="2110"/>
      <c r="BS685" s="2110"/>
      <c r="BT685" s="2110"/>
      <c r="BU685" s="2110"/>
      <c r="BV685" s="2110"/>
      <c r="BW685" s="2110"/>
      <c r="BX685" s="2110"/>
      <c r="BY685" s="2110"/>
      <c r="BZ685" s="2110"/>
      <c r="CA685" s="2110"/>
      <c r="CB685" s="2110"/>
      <c r="CC685" s="2110"/>
      <c r="CD685" s="2110"/>
      <c r="CE685" s="2110"/>
      <c r="CF685" s="2110"/>
      <c r="CG685" s="2110"/>
      <c r="CH685" s="2110"/>
      <c r="CI685" s="2110"/>
      <c r="CJ685" s="2110"/>
      <c r="CK685" s="2110"/>
      <c r="CL685" s="2110"/>
      <c r="CM685" s="2110"/>
      <c r="CN685" s="2110"/>
      <c r="CO685" s="2110"/>
      <c r="CP685" s="2110"/>
      <c r="CQ685" s="2110"/>
      <c r="CR685" s="2110"/>
      <c r="CS685" s="2110"/>
      <c r="CT685" s="2110"/>
      <c r="CU685" s="2110"/>
      <c r="CV685" s="2110"/>
      <c r="CW685" s="2110"/>
      <c r="CX685" s="2110"/>
      <c r="CY685" s="2110"/>
      <c r="CZ685" s="2110"/>
      <c r="DA685" s="2110"/>
      <c r="DB685" s="2110"/>
      <c r="DC685" s="2110"/>
      <c r="DD685" s="2110"/>
      <c r="DE685" s="2110"/>
      <c r="DF685" s="2110"/>
      <c r="DG685" s="2110"/>
      <c r="DH685" s="2110"/>
      <c r="DI685" s="2110"/>
      <c r="DJ685" s="2110"/>
      <c r="DK685" s="2110"/>
      <c r="DL685" s="2110"/>
      <c r="DM685" s="2110"/>
      <c r="DN685" s="2110"/>
      <c r="DO685" s="2110"/>
      <c r="DP685" s="2110"/>
      <c r="DQ685" s="2110"/>
      <c r="DR685" s="2110"/>
      <c r="DS685" s="2110"/>
      <c r="DT685" s="2110"/>
      <c r="DU685" s="2110"/>
      <c r="DV685" s="2110"/>
      <c r="DW685" s="2110"/>
      <c r="DX685" s="2110"/>
      <c r="DY685" s="2110"/>
      <c r="DZ685" s="2110"/>
      <c r="EA685" s="2110"/>
      <c r="EB685" s="2110"/>
      <c r="EC685" s="2110"/>
      <c r="ED685" s="2110"/>
      <c r="EE685" s="2110"/>
      <c r="EF685" s="2110"/>
      <c r="EG685" s="2110"/>
      <c r="EH685" s="2110"/>
      <c r="EI685" s="2110"/>
      <c r="EJ685" s="2110"/>
      <c r="EK685" s="2110"/>
      <c r="EL685" s="2110"/>
      <c r="EM685" s="2110"/>
      <c r="EN685" s="2110"/>
      <c r="EO685" s="2110"/>
      <c r="EP685" s="2110"/>
      <c r="EQ685" s="2110"/>
      <c r="ER685" s="2110"/>
      <c r="ES685" s="2110"/>
      <c r="ET685" s="2110"/>
      <c r="EU685" s="2110"/>
      <c r="EV685" s="2110"/>
      <c r="EW685" s="2110"/>
      <c r="EX685" s="2110"/>
      <c r="EY685" s="2110"/>
      <c r="EZ685" s="2110"/>
      <c r="FA685" s="2110"/>
      <c r="FB685" s="2110"/>
      <c r="FC685" s="2110"/>
      <c r="FD685" s="2110"/>
      <c r="FE685" s="2110"/>
      <c r="FF685" s="2110"/>
      <c r="FG685" s="2110"/>
      <c r="FH685" s="2110"/>
      <c r="FI685" s="2110"/>
      <c r="FJ685" s="2110"/>
      <c r="FK685" s="2110"/>
      <c r="FL685" s="2110"/>
      <c r="FM685" s="2110"/>
      <c r="FN685" s="2110"/>
      <c r="FO685" s="2110"/>
      <c r="FP685" s="2110"/>
      <c r="FQ685" s="2110"/>
      <c r="FR685" s="2110"/>
      <c r="FS685" s="2110"/>
      <c r="FT685" s="2110"/>
      <c r="FU685" s="2110"/>
      <c r="FV685" s="2110"/>
      <c r="FW685" s="2110"/>
      <c r="FX685" s="2110"/>
      <c r="FY685" s="2110"/>
      <c r="FZ685" s="2110"/>
      <c r="GA685" s="2110"/>
      <c r="GB685" s="2110"/>
      <c r="GC685" s="2110"/>
      <c r="GD685" s="2110"/>
      <c r="GE685" s="2110"/>
      <c r="GF685" s="2110"/>
      <c r="GG685" s="2110"/>
      <c r="GH685" s="2110"/>
      <c r="GI685" s="2110"/>
      <c r="GJ685" s="2110"/>
      <c r="GK685" s="2110"/>
      <c r="GL685" s="2110"/>
      <c r="GM685" s="2110"/>
      <c r="GN685" s="2110"/>
      <c r="GO685" s="2110"/>
      <c r="GP685" s="2110"/>
      <c r="GQ685" s="2110"/>
      <c r="GR685" s="2110"/>
      <c r="GS685" s="2110"/>
      <c r="GT685" s="2110"/>
      <c r="GU685" s="2110"/>
      <c r="GV685" s="2110"/>
      <c r="GW685" s="2110"/>
      <c r="GX685" s="2110"/>
      <c r="GY685" s="2110"/>
      <c r="GZ685" s="2110"/>
      <c r="HA685" s="2110"/>
      <c r="HB685" s="2110"/>
      <c r="HC685" s="2110"/>
      <c r="HD685" s="2110"/>
      <c r="HE685" s="2110"/>
      <c r="HF685" s="2110"/>
      <c r="HG685" s="2110"/>
      <c r="HH685" s="2110"/>
      <c r="HI685" s="2110"/>
      <c r="HJ685" s="2110"/>
      <c r="HK685" s="2110"/>
      <c r="HL685" s="2110"/>
      <c r="HM685" s="2110"/>
      <c r="HN685" s="2110"/>
      <c r="HO685" s="2110"/>
      <c r="HP685" s="2110"/>
      <c r="HQ685" s="2110"/>
      <c r="HR685" s="2110"/>
      <c r="HS685" s="2110"/>
      <c r="HT685" s="2110"/>
      <c r="HU685" s="2110"/>
      <c r="HV685" s="2110"/>
      <c r="HW685" s="2110"/>
      <c r="HX685" s="2110"/>
      <c r="HY685" s="2110"/>
      <c r="HZ685" s="2110"/>
      <c r="IA685" s="2110"/>
      <c r="IB685" s="2110"/>
      <c r="IC685" s="2110"/>
      <c r="ID685" s="2110"/>
      <c r="IE685" s="2110"/>
      <c r="IF685" s="2110"/>
      <c r="IG685" s="2110"/>
      <c r="IH685" s="2110"/>
      <c r="II685" s="2110"/>
      <c r="IJ685" s="2110"/>
      <c r="IK685" s="2110"/>
      <c r="IL685" s="2110"/>
      <c r="IM685" s="2110"/>
      <c r="IN685" s="2110"/>
      <c r="IO685" s="2110"/>
      <c r="IP685" s="2110"/>
      <c r="IQ685" s="2110"/>
      <c r="IR685" s="2110"/>
      <c r="IS685" s="2110"/>
      <c r="IT685" s="2110"/>
      <c r="IU685" s="2110"/>
      <c r="IV685" s="2110"/>
    </row>
    <row r="686" spans="1:256" ht="69" customHeight="1">
      <c r="A686" s="599"/>
      <c r="B686" s="2244" t="s">
        <v>3427</v>
      </c>
      <c r="C686" s="599" t="s">
        <v>5162</v>
      </c>
      <c r="D686" s="599" t="s">
        <v>5164</v>
      </c>
      <c r="E686" s="599" t="s">
        <v>5165</v>
      </c>
      <c r="F686" s="1141">
        <v>240000</v>
      </c>
      <c r="G686" s="599"/>
      <c r="H686" s="599"/>
      <c r="I686" s="599"/>
      <c r="J686" s="1141">
        <v>240000</v>
      </c>
      <c r="K686" s="1793" t="s">
        <v>5171</v>
      </c>
      <c r="L686" s="599"/>
      <c r="M686" s="599"/>
      <c r="N686" s="599"/>
      <c r="O686" s="599"/>
      <c r="P686" s="599"/>
      <c r="Q686" s="599"/>
      <c r="R686" s="599"/>
      <c r="S686" s="599"/>
      <c r="T686" s="2132"/>
      <c r="U686" s="599"/>
      <c r="V686" s="599"/>
      <c r="W686" s="599"/>
    </row>
    <row r="687" spans="1:256" ht="51" hidden="1" customHeight="1">
      <c r="A687" s="741"/>
      <c r="B687" s="2037" t="s">
        <v>5153</v>
      </c>
      <c r="C687" s="2227" t="s">
        <v>5303</v>
      </c>
      <c r="D687" s="2230" t="s">
        <v>5193</v>
      </c>
      <c r="E687" s="741" t="s">
        <v>4826</v>
      </c>
      <c r="F687" s="741" t="s">
        <v>5170</v>
      </c>
      <c r="G687" s="599"/>
      <c r="H687" s="599"/>
      <c r="I687" s="599"/>
      <c r="J687" s="890"/>
      <c r="K687" s="1337"/>
      <c r="L687" s="1981"/>
      <c r="M687" s="446"/>
      <c r="N687" s="502"/>
      <c r="O687" s="2176"/>
      <c r="P687" s="599"/>
      <c r="Q687" s="599"/>
      <c r="R687" s="599"/>
      <c r="S687" s="599"/>
      <c r="T687" s="599"/>
      <c r="U687" s="599"/>
      <c r="V687" s="599"/>
      <c r="W687" s="599"/>
      <c r="X687" s="741"/>
      <c r="Y687" s="741"/>
      <c r="Z687" s="741"/>
      <c r="AA687" s="741"/>
      <c r="AB687" s="741"/>
      <c r="AC687" s="741"/>
      <c r="AD687" s="741"/>
      <c r="AE687" s="741"/>
      <c r="AF687" s="997"/>
      <c r="AG687" s="741"/>
      <c r="AH687" s="741"/>
    </row>
    <row r="688" spans="1:256" ht="71.25" customHeight="1">
      <c r="A688" s="599"/>
      <c r="B688" s="2244" t="s">
        <v>3427</v>
      </c>
      <c r="C688" s="599" t="s">
        <v>5385</v>
      </c>
      <c r="D688" s="599" t="s">
        <v>5386</v>
      </c>
      <c r="E688" s="599" t="s">
        <v>712</v>
      </c>
      <c r="F688" s="1141">
        <v>125000</v>
      </c>
      <c r="G688" s="599"/>
      <c r="H688" s="599"/>
      <c r="I688" s="599"/>
      <c r="J688" s="1141">
        <v>125000</v>
      </c>
      <c r="K688" s="1094" t="s">
        <v>5388</v>
      </c>
      <c r="L688" s="599"/>
      <c r="M688" s="599"/>
      <c r="N688" s="599"/>
      <c r="O688" s="599"/>
      <c r="P688" s="599"/>
      <c r="Q688" s="599"/>
      <c r="R688" s="599"/>
      <c r="S688" s="599"/>
      <c r="T688" s="2132"/>
      <c r="U688" s="599"/>
      <c r="V688" s="599"/>
      <c r="W688" s="599"/>
    </row>
    <row r="689" spans="1:256" ht="81.75" customHeight="1">
      <c r="A689" s="599"/>
      <c r="B689" s="2244" t="s">
        <v>3427</v>
      </c>
      <c r="C689" s="599" t="s">
        <v>5400</v>
      </c>
      <c r="D689" s="599" t="s">
        <v>5384</v>
      </c>
      <c r="E689" s="599" t="s">
        <v>5387</v>
      </c>
      <c r="F689" s="1141">
        <v>140000</v>
      </c>
      <c r="G689" s="599"/>
      <c r="H689" s="599"/>
      <c r="I689" s="599"/>
      <c r="J689" s="1906" t="s">
        <v>5519</v>
      </c>
      <c r="K689" s="2233"/>
      <c r="L689" s="599"/>
      <c r="M689" s="599"/>
      <c r="N689" s="599"/>
      <c r="O689" s="599"/>
      <c r="P689" s="599"/>
      <c r="Q689" s="599"/>
      <c r="R689" s="599"/>
      <c r="S689" s="599"/>
      <c r="T689" s="2132"/>
      <c r="U689" s="599"/>
      <c r="V689" s="599"/>
      <c r="W689" s="599"/>
    </row>
    <row r="690" spans="1:256" ht="183" customHeight="1">
      <c r="A690" s="599"/>
      <c r="B690" s="2244" t="s">
        <v>3427</v>
      </c>
      <c r="C690" s="599" t="s">
        <v>5437</v>
      </c>
      <c r="D690" s="599" t="s">
        <v>5438</v>
      </c>
      <c r="E690" s="599" t="s">
        <v>712</v>
      </c>
      <c r="F690" s="1141">
        <v>280000</v>
      </c>
      <c r="G690" s="599"/>
      <c r="H690" s="599"/>
      <c r="I690" s="599"/>
      <c r="J690" s="2254" t="s">
        <v>5538</v>
      </c>
      <c r="K690" s="2223" t="s">
        <v>5539</v>
      </c>
      <c r="L690" s="599"/>
      <c r="M690" s="599"/>
      <c r="N690" s="599"/>
      <c r="O690" s="599"/>
      <c r="P690" s="599"/>
      <c r="Q690" s="599"/>
      <c r="R690" s="599"/>
      <c r="S690" s="599"/>
      <c r="T690" s="2132"/>
      <c r="U690" s="599"/>
      <c r="V690" s="599"/>
      <c r="W690" s="599"/>
    </row>
    <row r="691" spans="1:256" ht="106.5" customHeight="1">
      <c r="A691" s="599"/>
      <c r="B691" s="2243" t="s">
        <v>5153</v>
      </c>
      <c r="C691" s="2228" t="s">
        <v>5303</v>
      </c>
      <c r="D691" s="2231" t="s">
        <v>5382</v>
      </c>
      <c r="E691" s="607" t="s">
        <v>4826</v>
      </c>
      <c r="F691" s="607" t="s">
        <v>5383</v>
      </c>
      <c r="G691" s="599"/>
      <c r="H691" s="2226"/>
      <c r="I691" s="599" t="s">
        <v>5444</v>
      </c>
      <c r="J691" s="1791">
        <v>5385600</v>
      </c>
      <c r="K691" s="1791" t="s">
        <v>5322</v>
      </c>
      <c r="L691" s="599" t="s">
        <v>5334</v>
      </c>
      <c r="M691" s="446" t="s">
        <v>5261</v>
      </c>
      <c r="N691" s="502" t="s">
        <v>5257</v>
      </c>
      <c r="O691" s="2176" t="s">
        <v>5260</v>
      </c>
      <c r="P691" s="2206">
        <v>45763</v>
      </c>
      <c r="Q691" s="2186"/>
      <c r="R691" s="599"/>
      <c r="S691" s="599"/>
      <c r="T691" s="2070" t="s">
        <v>5319</v>
      </c>
      <c r="U691" s="599"/>
      <c r="V691" s="599"/>
      <c r="W691" s="599"/>
      <c r="X691" s="599"/>
      <c r="Y691" s="599"/>
      <c r="Z691" s="599"/>
      <c r="AA691" s="599"/>
      <c r="AB691" s="599"/>
      <c r="AC691" s="599"/>
      <c r="AD691" s="599"/>
      <c r="AE691" s="599"/>
      <c r="AF691" s="599"/>
      <c r="AG691" s="599"/>
      <c r="AH691" s="599"/>
    </row>
    <row r="692" spans="1:256" ht="104.25" customHeight="1">
      <c r="A692" s="599"/>
      <c r="B692" s="446" t="s">
        <v>5166</v>
      </c>
      <c r="C692" s="2021" t="s">
        <v>5305</v>
      </c>
      <c r="D692" s="610" t="s">
        <v>5167</v>
      </c>
      <c r="E692" s="610" t="s">
        <v>5169</v>
      </c>
      <c r="F692" s="610">
        <v>340000</v>
      </c>
      <c r="G692" s="599"/>
      <c r="H692" s="599"/>
      <c r="I692" s="599"/>
      <c r="J692" s="1808">
        <v>340000</v>
      </c>
      <c r="K692" s="2137">
        <v>45770</v>
      </c>
      <c r="L692" s="599" t="s">
        <v>5297</v>
      </c>
      <c r="M692" s="599" t="s">
        <v>4670</v>
      </c>
      <c r="N692" s="599"/>
      <c r="O692" s="599"/>
      <c r="P692" s="599"/>
      <c r="Q692" s="599"/>
      <c r="R692" s="599"/>
      <c r="S692" s="599"/>
      <c r="T692" s="599"/>
      <c r="U692" s="599"/>
      <c r="V692" s="599"/>
      <c r="W692" s="599"/>
      <c r="X692" s="599"/>
      <c r="Y692" s="599"/>
      <c r="Z692" s="599"/>
      <c r="AA692" s="599"/>
      <c r="AB692" s="599"/>
      <c r="AC692" s="599"/>
      <c r="AD692" s="599"/>
      <c r="AE692" s="599"/>
      <c r="AF692" s="599"/>
      <c r="AG692" s="599"/>
      <c r="AH692" s="599"/>
    </row>
    <row r="693" spans="1:256" ht="104.25" customHeight="1">
      <c r="A693" s="599"/>
      <c r="B693" s="446" t="s">
        <v>5198</v>
      </c>
      <c r="C693" s="610" t="s">
        <v>5184</v>
      </c>
      <c r="D693" s="610" t="s">
        <v>5168</v>
      </c>
      <c r="E693" s="610" t="s">
        <v>5169</v>
      </c>
      <c r="F693" s="610">
        <v>250000</v>
      </c>
      <c r="G693" s="599"/>
      <c r="H693" s="599"/>
      <c r="I693" s="599"/>
      <c r="J693" s="1808">
        <v>250000</v>
      </c>
      <c r="K693" s="2137">
        <v>45770</v>
      </c>
      <c r="L693" s="599" t="str">
        <f>L692</f>
        <v>отв.Кузнезов А.</v>
      </c>
      <c r="M693" s="599"/>
      <c r="N693" s="599"/>
      <c r="O693" s="599"/>
      <c r="P693" s="599"/>
      <c r="Q693" s="599"/>
      <c r="R693" s="599"/>
      <c r="S693" s="599"/>
      <c r="T693" s="599"/>
      <c r="U693" s="599"/>
      <c r="V693" s="599"/>
      <c r="W693" s="599"/>
      <c r="X693" s="599"/>
      <c r="Y693" s="599"/>
      <c r="Z693" s="599"/>
      <c r="AA693" s="599"/>
      <c r="AB693" s="599"/>
      <c r="AC693" s="599"/>
      <c r="AD693" s="599"/>
      <c r="AE693" s="599"/>
      <c r="AF693" s="599"/>
      <c r="AG693" s="599"/>
      <c r="AH693" s="599"/>
    </row>
    <row r="694" spans="1:256" s="2139" customFormat="1" ht="88.5" customHeight="1">
      <c r="A694" s="1809"/>
      <c r="B694" s="2190" t="s">
        <v>5175</v>
      </c>
      <c r="C694" s="1977" t="s">
        <v>5520</v>
      </c>
      <c r="D694" s="1977" t="s">
        <v>5174</v>
      </c>
      <c r="E694" s="1977"/>
      <c r="F694" s="1977"/>
      <c r="G694" s="1809"/>
      <c r="H694" s="1809"/>
      <c r="I694" s="1809"/>
      <c r="J694" s="1809"/>
      <c r="K694" s="1809"/>
      <c r="L694" s="1809"/>
      <c r="M694" s="1809"/>
      <c r="N694" s="1809"/>
      <c r="O694" s="1809"/>
      <c r="P694" s="1809"/>
      <c r="Q694" s="1809"/>
      <c r="R694" s="1809"/>
      <c r="S694" s="1809"/>
      <c r="T694" s="1809"/>
      <c r="U694" s="1809"/>
      <c r="V694" s="1809"/>
      <c r="W694" s="1809"/>
      <c r="X694" s="1809"/>
      <c r="Y694" s="1809"/>
      <c r="Z694" s="1809"/>
      <c r="AA694" s="1809"/>
      <c r="AB694" s="1809"/>
      <c r="AC694" s="1809"/>
      <c r="AD694" s="1809"/>
      <c r="AE694" s="1809"/>
      <c r="AF694" s="1809"/>
      <c r="AG694" s="1809"/>
      <c r="AH694" s="1809"/>
      <c r="AI694" s="2138"/>
      <c r="AJ694" s="2138"/>
      <c r="AK694" s="2138"/>
      <c r="AL694" s="2138"/>
      <c r="AM694" s="2138"/>
      <c r="AN694" s="2138"/>
      <c r="AO694" s="2138"/>
      <c r="AP694" s="2138"/>
      <c r="AQ694" s="2138"/>
      <c r="AR694" s="2138"/>
      <c r="AS694" s="2138"/>
      <c r="AT694" s="2138"/>
      <c r="AU694" s="2138"/>
      <c r="AV694" s="2138"/>
      <c r="AW694" s="2138"/>
      <c r="AX694" s="2138"/>
      <c r="AY694" s="2138"/>
      <c r="AZ694" s="2138"/>
      <c r="BA694" s="2138"/>
      <c r="BB694" s="2138"/>
      <c r="BC694" s="2138"/>
      <c r="BD694" s="2138"/>
      <c r="BE694" s="2138"/>
      <c r="BF694" s="2138"/>
      <c r="BG694" s="2138"/>
      <c r="BH694" s="2138"/>
      <c r="BI694" s="2138"/>
      <c r="BJ694" s="2138"/>
      <c r="BK694" s="2138"/>
      <c r="BL694" s="2138"/>
      <c r="BM694" s="2138"/>
      <c r="BN694" s="2138"/>
      <c r="BO694" s="2138"/>
      <c r="BP694" s="2138"/>
      <c r="BQ694" s="2138"/>
      <c r="BR694" s="2138"/>
      <c r="BS694" s="2138"/>
      <c r="BT694" s="2138"/>
      <c r="BU694" s="2138"/>
      <c r="BV694" s="2138"/>
      <c r="BW694" s="2138"/>
      <c r="BX694" s="2138"/>
      <c r="BY694" s="2138"/>
      <c r="BZ694" s="2138"/>
      <c r="CA694" s="2138"/>
      <c r="CB694" s="2138"/>
      <c r="CC694" s="2138"/>
      <c r="CD694" s="2138"/>
      <c r="CE694" s="2138"/>
      <c r="CF694" s="2138"/>
      <c r="CG694" s="2138"/>
      <c r="CH694" s="2138"/>
      <c r="CI694" s="2138"/>
      <c r="CJ694" s="2138"/>
      <c r="CK694" s="2138"/>
      <c r="CL694" s="2138"/>
      <c r="CM694" s="2138"/>
      <c r="CN694" s="2138"/>
      <c r="CO694" s="2138"/>
      <c r="CP694" s="2138"/>
      <c r="CQ694" s="2138"/>
      <c r="CR694" s="2138"/>
      <c r="CS694" s="2138"/>
      <c r="CT694" s="2138"/>
      <c r="CU694" s="2138"/>
      <c r="CV694" s="2138"/>
      <c r="CW694" s="2138"/>
      <c r="CX694" s="2138"/>
      <c r="CY694" s="2138"/>
      <c r="CZ694" s="2138"/>
      <c r="DA694" s="2138"/>
      <c r="DB694" s="2138"/>
      <c r="DC694" s="2138"/>
      <c r="DD694" s="2138"/>
      <c r="DE694" s="2138"/>
      <c r="DF694" s="2138"/>
      <c r="DG694" s="2138"/>
      <c r="DH694" s="2138"/>
      <c r="DI694" s="2138"/>
      <c r="DJ694" s="2138"/>
      <c r="DK694" s="2138"/>
      <c r="DL694" s="2138"/>
      <c r="DM694" s="2138"/>
      <c r="DN694" s="2138"/>
      <c r="DO694" s="2138"/>
      <c r="DP694" s="2138"/>
      <c r="DQ694" s="2138"/>
      <c r="DR694" s="2138"/>
      <c r="DS694" s="2138"/>
      <c r="DT694" s="2138"/>
      <c r="DU694" s="2138"/>
      <c r="DV694" s="2138"/>
      <c r="DW694" s="2138"/>
      <c r="DX694" s="2138"/>
      <c r="DY694" s="2138"/>
      <c r="DZ694" s="2138"/>
      <c r="EA694" s="2138"/>
      <c r="EB694" s="2138"/>
      <c r="EC694" s="2138"/>
      <c r="ED694" s="2138"/>
      <c r="EE694" s="2138"/>
      <c r="EF694" s="2138"/>
      <c r="EG694" s="2138"/>
      <c r="EH694" s="2138"/>
      <c r="EI694" s="2138"/>
      <c r="EJ694" s="2138"/>
      <c r="EK694" s="2138"/>
      <c r="EL694" s="2138"/>
      <c r="EM694" s="2138"/>
      <c r="EN694" s="2138"/>
      <c r="EO694" s="2138"/>
      <c r="EP694" s="2138"/>
      <c r="EQ694" s="2138"/>
      <c r="ER694" s="2138"/>
      <c r="ES694" s="2138"/>
      <c r="ET694" s="2138"/>
      <c r="EU694" s="2138"/>
      <c r="EV694" s="2138"/>
      <c r="EW694" s="2138"/>
      <c r="EX694" s="2138"/>
      <c r="EY694" s="2138"/>
      <c r="EZ694" s="2138"/>
      <c r="FA694" s="2138"/>
      <c r="FB694" s="2138"/>
      <c r="FC694" s="2138"/>
      <c r="FD694" s="2138"/>
      <c r="FE694" s="2138"/>
      <c r="FF694" s="2138"/>
      <c r="FG694" s="2138"/>
      <c r="FH694" s="2138"/>
      <c r="FI694" s="2138"/>
      <c r="FJ694" s="2138"/>
      <c r="FK694" s="2138"/>
      <c r="FL694" s="2138"/>
      <c r="FM694" s="2138"/>
      <c r="FN694" s="2138"/>
      <c r="FO694" s="2138"/>
      <c r="FP694" s="2138"/>
      <c r="FQ694" s="2138"/>
      <c r="FR694" s="2138"/>
      <c r="FS694" s="2138"/>
      <c r="FT694" s="2138"/>
      <c r="FU694" s="2138"/>
      <c r="FV694" s="2138"/>
      <c r="FW694" s="2138"/>
      <c r="FX694" s="2138"/>
      <c r="FY694" s="2138"/>
      <c r="FZ694" s="2138"/>
      <c r="GA694" s="2138"/>
      <c r="GB694" s="2138"/>
      <c r="GC694" s="2138"/>
      <c r="GD694" s="2138"/>
      <c r="GE694" s="2138"/>
      <c r="GF694" s="2138"/>
      <c r="GG694" s="2138"/>
      <c r="GH694" s="2138"/>
      <c r="GI694" s="2138"/>
      <c r="GJ694" s="2138"/>
      <c r="GK694" s="2138"/>
      <c r="GL694" s="2138"/>
      <c r="GM694" s="2138"/>
      <c r="GN694" s="2138"/>
      <c r="GO694" s="2138"/>
      <c r="GP694" s="2138"/>
      <c r="GQ694" s="2138"/>
      <c r="GR694" s="2138"/>
      <c r="GS694" s="2138"/>
      <c r="GT694" s="2138"/>
      <c r="GU694" s="2138"/>
      <c r="GV694" s="2138"/>
      <c r="GW694" s="2138"/>
      <c r="GX694" s="2138"/>
      <c r="GY694" s="2138"/>
      <c r="GZ694" s="2138"/>
      <c r="HA694" s="2138"/>
      <c r="HB694" s="2138"/>
      <c r="HC694" s="2138"/>
      <c r="HD694" s="2138"/>
      <c r="HE694" s="2138"/>
      <c r="HF694" s="2138"/>
      <c r="HG694" s="2138"/>
      <c r="HH694" s="2138"/>
      <c r="HI694" s="2138"/>
      <c r="HJ694" s="2138"/>
      <c r="HK694" s="2138"/>
      <c r="HL694" s="2138"/>
      <c r="HM694" s="2138"/>
      <c r="HN694" s="2138"/>
      <c r="HO694" s="2138"/>
      <c r="HP694" s="2138"/>
      <c r="HQ694" s="2138"/>
      <c r="HR694" s="2138"/>
      <c r="HS694" s="2138"/>
      <c r="HT694" s="2138"/>
      <c r="HU694" s="2138"/>
      <c r="HV694" s="2138"/>
      <c r="HW694" s="2138"/>
      <c r="HX694" s="2138"/>
      <c r="HY694" s="2138"/>
      <c r="HZ694" s="2138"/>
      <c r="IA694" s="2138"/>
      <c r="IB694" s="2138"/>
      <c r="IC694" s="2138"/>
      <c r="ID694" s="2138"/>
      <c r="IE694" s="2138"/>
      <c r="IF694" s="2138"/>
      <c r="IG694" s="2138"/>
      <c r="IH694" s="2138"/>
      <c r="II694" s="2138"/>
      <c r="IJ694" s="2138"/>
      <c r="IK694" s="2138"/>
      <c r="IL694" s="2138"/>
      <c r="IM694" s="2138"/>
      <c r="IN694" s="2138"/>
      <c r="IO694" s="2138"/>
      <c r="IP694" s="2138"/>
      <c r="IQ694" s="2138"/>
      <c r="IR694" s="2138"/>
      <c r="IS694" s="2138"/>
      <c r="IT694" s="2138"/>
      <c r="IU694" s="2138"/>
      <c r="IV694" s="2138"/>
    </row>
    <row r="695" spans="1:256" ht="123" customHeight="1">
      <c r="A695" s="599"/>
      <c r="B695" s="446" t="s">
        <v>5181</v>
      </c>
      <c r="C695" s="610" t="s">
        <v>5182</v>
      </c>
      <c r="D695" s="610" t="s">
        <v>5183</v>
      </c>
      <c r="E695" s="610"/>
      <c r="F695" s="610">
        <v>274500</v>
      </c>
      <c r="G695" s="599"/>
      <c r="H695" s="599"/>
      <c r="I695" s="599"/>
      <c r="J695" s="2192">
        <v>274500</v>
      </c>
      <c r="K695" s="2129">
        <v>45754</v>
      </c>
      <c r="L695" s="599"/>
      <c r="M695" s="599"/>
      <c r="N695" s="599"/>
      <c r="O695" s="599"/>
      <c r="P695" s="599"/>
      <c r="Q695" s="599"/>
      <c r="R695" s="599"/>
      <c r="S695" s="599"/>
      <c r="T695" s="599"/>
      <c r="U695" s="599"/>
      <c r="V695" s="599"/>
      <c r="W695" s="599"/>
      <c r="X695" s="599"/>
      <c r="Y695" s="599"/>
      <c r="Z695" s="599"/>
      <c r="AA695" s="599"/>
      <c r="AB695" s="599"/>
      <c r="AC695" s="599"/>
      <c r="AD695" s="599"/>
      <c r="AE695" s="599"/>
      <c r="AF695" s="599"/>
      <c r="AG695" s="599"/>
      <c r="AH695" s="599"/>
    </row>
    <row r="696" spans="1:256" s="2151" customFormat="1" ht="78" customHeight="1">
      <c r="A696" s="890"/>
      <c r="B696" s="2154" t="s">
        <v>5199</v>
      </c>
      <c r="C696" s="446" t="s">
        <v>5281</v>
      </c>
      <c r="D696" s="599" t="s">
        <v>5282</v>
      </c>
      <c r="E696" s="599"/>
      <c r="F696" s="599">
        <v>1968444</v>
      </c>
      <c r="G696" s="890"/>
      <c r="H696" s="890"/>
      <c r="I696" s="890"/>
      <c r="J696" s="599">
        <v>1968444</v>
      </c>
      <c r="K696" s="1094">
        <v>45869</v>
      </c>
      <c r="L696" s="599" t="s">
        <v>5336</v>
      </c>
      <c r="M696" s="890" t="s">
        <v>5300</v>
      </c>
      <c r="N696" s="890"/>
      <c r="O696" s="890"/>
      <c r="P696" s="890"/>
      <c r="Q696" s="890"/>
      <c r="R696" s="890"/>
      <c r="S696" s="1337"/>
      <c r="T696" s="890"/>
      <c r="U696" s="890"/>
      <c r="V696" s="890"/>
      <c r="W696" s="890"/>
      <c r="X696" s="890"/>
      <c r="Y696" s="890"/>
      <c r="Z696" s="890"/>
      <c r="AA696" s="890"/>
      <c r="AB696" s="890"/>
      <c r="AC696" s="890"/>
      <c r="AD696" s="890"/>
      <c r="AE696" s="890"/>
      <c r="AF696" s="890"/>
      <c r="AG696" s="890"/>
      <c r="AH696" s="890"/>
      <c r="AI696" s="1085"/>
      <c r="AJ696" s="1085"/>
      <c r="AK696" s="1085"/>
      <c r="AL696" s="1085"/>
      <c r="AM696" s="1085"/>
      <c r="AN696" s="1085"/>
      <c r="AO696" s="1085"/>
      <c r="AP696" s="1085"/>
      <c r="AQ696" s="1085"/>
      <c r="AR696" s="1085"/>
      <c r="AS696" s="1085"/>
      <c r="AT696" s="1085"/>
      <c r="AU696" s="1085"/>
      <c r="AV696" s="1085"/>
      <c r="AW696" s="1085"/>
      <c r="AX696" s="1085"/>
      <c r="AY696" s="1085"/>
      <c r="AZ696" s="1085"/>
      <c r="BA696" s="1085"/>
      <c r="BB696" s="1085"/>
      <c r="BC696" s="1085"/>
      <c r="BD696" s="1085"/>
      <c r="BE696" s="1085"/>
      <c r="BF696" s="1085"/>
      <c r="BG696" s="1085"/>
      <c r="BH696" s="1085"/>
      <c r="BI696" s="1085"/>
      <c r="BJ696" s="1085"/>
      <c r="BK696" s="1085"/>
      <c r="BL696" s="1085"/>
      <c r="BM696" s="1085"/>
      <c r="BN696" s="1085"/>
      <c r="BO696" s="1085"/>
      <c r="BP696" s="1085"/>
      <c r="BQ696" s="1085"/>
      <c r="BR696" s="1085"/>
      <c r="BS696" s="1085"/>
      <c r="BT696" s="1085"/>
      <c r="BU696" s="1085"/>
      <c r="BV696" s="1085"/>
      <c r="BW696" s="1085"/>
      <c r="BX696" s="1085"/>
      <c r="BY696" s="1085"/>
      <c r="BZ696" s="1085"/>
      <c r="CA696" s="1085"/>
      <c r="CB696" s="1085"/>
      <c r="CC696" s="1085"/>
      <c r="CD696" s="1085"/>
      <c r="CE696" s="1085"/>
      <c r="CF696" s="1085"/>
      <c r="CG696" s="1085"/>
      <c r="CH696" s="1085"/>
      <c r="CI696" s="1085"/>
      <c r="CJ696" s="1085"/>
      <c r="CK696" s="1085"/>
      <c r="CL696" s="1085"/>
      <c r="CM696" s="1085"/>
      <c r="CN696" s="1085"/>
      <c r="CO696" s="1085"/>
      <c r="CP696" s="1085"/>
      <c r="CQ696" s="1085"/>
      <c r="CR696" s="1085"/>
      <c r="CS696" s="1085"/>
      <c r="CT696" s="1085"/>
      <c r="CU696" s="1085"/>
      <c r="CV696" s="1085"/>
      <c r="CW696" s="1085"/>
      <c r="CX696" s="1085"/>
      <c r="CY696" s="1085"/>
      <c r="CZ696" s="1085"/>
      <c r="DA696" s="1085"/>
      <c r="DB696" s="1085"/>
      <c r="DC696" s="1085"/>
      <c r="DD696" s="1085"/>
      <c r="DE696" s="1085"/>
      <c r="DF696" s="1085"/>
      <c r="DG696" s="1085"/>
      <c r="DH696" s="1085"/>
      <c r="DI696" s="1085"/>
      <c r="DJ696" s="1085"/>
      <c r="DK696" s="1085"/>
      <c r="DL696" s="1085"/>
      <c r="DM696" s="1085"/>
      <c r="DN696" s="1085"/>
      <c r="DO696" s="1085"/>
      <c r="DP696" s="1085"/>
      <c r="DQ696" s="1085"/>
      <c r="DR696" s="1085"/>
      <c r="DS696" s="1085"/>
      <c r="DT696" s="1085"/>
      <c r="DU696" s="1085"/>
      <c r="DV696" s="1085"/>
      <c r="DW696" s="1085"/>
      <c r="DX696" s="1085"/>
      <c r="DY696" s="1085"/>
      <c r="DZ696" s="1085"/>
      <c r="EA696" s="1085"/>
      <c r="EB696" s="1085"/>
      <c r="EC696" s="1085"/>
      <c r="ED696" s="1085"/>
      <c r="EE696" s="1085"/>
      <c r="EF696" s="1085"/>
      <c r="EG696" s="1085"/>
      <c r="EH696" s="1085"/>
      <c r="EI696" s="1085"/>
      <c r="EJ696" s="1085"/>
      <c r="EK696" s="1085"/>
      <c r="EL696" s="1085"/>
      <c r="EM696" s="1085"/>
      <c r="EN696" s="1085"/>
      <c r="EO696" s="1085"/>
      <c r="EP696" s="1085"/>
      <c r="EQ696" s="1085"/>
      <c r="ER696" s="1085"/>
      <c r="ES696" s="1085"/>
      <c r="ET696" s="1085"/>
      <c r="EU696" s="1085"/>
      <c r="EV696" s="1085"/>
      <c r="EW696" s="1085"/>
      <c r="EX696" s="1085"/>
      <c r="EY696" s="1085"/>
      <c r="EZ696" s="1085"/>
      <c r="FA696" s="1085"/>
      <c r="FB696" s="1085"/>
      <c r="FC696" s="1085"/>
      <c r="FD696" s="1085"/>
      <c r="FE696" s="1085"/>
      <c r="FF696" s="1085"/>
      <c r="FG696" s="1085"/>
      <c r="FH696" s="1085"/>
      <c r="FI696" s="1085"/>
      <c r="FJ696" s="1085"/>
      <c r="FK696" s="1085"/>
      <c r="FL696" s="1085"/>
      <c r="FM696" s="1085"/>
      <c r="FN696" s="1085"/>
      <c r="FO696" s="1085"/>
      <c r="FP696" s="1085"/>
      <c r="FQ696" s="1085"/>
      <c r="FR696" s="1085"/>
      <c r="FS696" s="1085"/>
      <c r="FT696" s="1085"/>
      <c r="FU696" s="1085"/>
      <c r="FV696" s="1085"/>
      <c r="FW696" s="1085"/>
      <c r="FX696" s="1085"/>
      <c r="FY696" s="1085"/>
      <c r="FZ696" s="1085"/>
      <c r="GA696" s="1085"/>
      <c r="GB696" s="1085"/>
      <c r="GC696" s="1085"/>
      <c r="GD696" s="1085"/>
      <c r="GE696" s="1085"/>
      <c r="GF696" s="1085"/>
      <c r="GG696" s="1085"/>
      <c r="GH696" s="1085"/>
      <c r="GI696" s="1085"/>
      <c r="GJ696" s="1085"/>
      <c r="GK696" s="1085"/>
      <c r="GL696" s="1085"/>
      <c r="GM696" s="1085"/>
      <c r="GN696" s="1085"/>
      <c r="GO696" s="1085"/>
      <c r="GP696" s="1085"/>
      <c r="GQ696" s="1085"/>
      <c r="GR696" s="1085"/>
      <c r="GS696" s="1085"/>
      <c r="GT696" s="1085"/>
      <c r="GU696" s="1085"/>
      <c r="GV696" s="1085"/>
      <c r="GW696" s="1085"/>
      <c r="GX696" s="1085"/>
      <c r="GY696" s="1085"/>
      <c r="GZ696" s="1085"/>
      <c r="HA696" s="1085"/>
      <c r="HB696" s="1085"/>
      <c r="HC696" s="1085"/>
      <c r="HD696" s="1085"/>
      <c r="HE696" s="1085"/>
      <c r="HF696" s="1085"/>
      <c r="HG696" s="1085"/>
      <c r="HH696" s="1085"/>
      <c r="HI696" s="1085"/>
      <c r="HJ696" s="1085"/>
      <c r="HK696" s="1085"/>
      <c r="HL696" s="1085"/>
      <c r="HM696" s="1085"/>
      <c r="HN696" s="1085"/>
      <c r="HO696" s="1085"/>
      <c r="HP696" s="1085"/>
      <c r="HQ696" s="1085"/>
      <c r="HR696" s="1085"/>
      <c r="HS696" s="1085"/>
      <c r="HT696" s="1085"/>
      <c r="HU696" s="1085"/>
      <c r="HV696" s="1085"/>
      <c r="HW696" s="1085"/>
      <c r="HX696" s="1085"/>
      <c r="HY696" s="1085"/>
      <c r="HZ696" s="1085"/>
      <c r="IA696" s="1085"/>
      <c r="IB696" s="1085"/>
      <c r="IC696" s="1085"/>
      <c r="ID696" s="1085"/>
      <c r="IE696" s="1085"/>
      <c r="IF696" s="1085"/>
      <c r="IG696" s="1085"/>
      <c r="IH696" s="1085"/>
      <c r="II696" s="1085"/>
      <c r="IJ696" s="1085"/>
      <c r="IK696" s="1085"/>
      <c r="IL696" s="1085"/>
      <c r="IM696" s="1085"/>
      <c r="IN696" s="1085"/>
      <c r="IO696" s="1085"/>
      <c r="IP696" s="1085"/>
      <c r="IQ696" s="1085"/>
      <c r="IR696" s="1085"/>
      <c r="IS696" s="1085"/>
      <c r="IT696" s="1085"/>
      <c r="IU696" s="1085"/>
      <c r="IV696" s="1085"/>
    </row>
    <row r="697" spans="1:256" ht="116.25" customHeight="1">
      <c r="A697" s="599"/>
      <c r="B697" s="2249" t="s">
        <v>5201</v>
      </c>
      <c r="C697" s="599" t="s">
        <v>5259</v>
      </c>
      <c r="D697" s="599" t="s">
        <v>5574</v>
      </c>
      <c r="E697" s="599"/>
      <c r="F697" s="599">
        <v>1250000</v>
      </c>
      <c r="G697" s="599"/>
      <c r="H697" s="599"/>
      <c r="I697" s="599"/>
      <c r="J697" s="2130">
        <f>1100000                          + 100000                         +50000</f>
        <v>1250000</v>
      </c>
      <c r="K697" s="2131" t="s">
        <v>5609</v>
      </c>
      <c r="L697" s="599" t="s">
        <v>5336</v>
      </c>
      <c r="M697" s="599"/>
      <c r="N697" s="890"/>
      <c r="O697" s="599"/>
      <c r="P697" s="599"/>
      <c r="Q697" s="890"/>
      <c r="R697" s="1337"/>
      <c r="S697" s="599"/>
      <c r="T697" s="599"/>
      <c r="U697" s="599"/>
      <c r="V697" s="599"/>
      <c r="W697" s="599"/>
      <c r="X697" s="599"/>
      <c r="Y697" s="599"/>
      <c r="Z697" s="599"/>
      <c r="AA697" s="599"/>
      <c r="AB697" s="599"/>
      <c r="AC697" s="599"/>
      <c r="AD697" s="599"/>
      <c r="AE697" s="599"/>
      <c r="AF697" s="599"/>
      <c r="AG697" s="599"/>
      <c r="AH697" s="599"/>
    </row>
    <row r="698" spans="1:256" s="2151" customFormat="1" ht="127.5" customHeight="1">
      <c r="A698" s="890"/>
      <c r="B698" s="2250" t="s">
        <v>5262</v>
      </c>
      <c r="C698" s="599" t="s">
        <v>5284</v>
      </c>
      <c r="D698" s="599" t="s">
        <v>5263</v>
      </c>
      <c r="E698" s="599"/>
      <c r="F698" s="599">
        <v>240000</v>
      </c>
      <c r="G698" s="890"/>
      <c r="H698" s="890"/>
      <c r="I698" s="890"/>
      <c r="J698" s="599">
        <v>240000</v>
      </c>
      <c r="K698" s="1094">
        <v>45818</v>
      </c>
      <c r="L698" s="890"/>
      <c r="M698" s="890"/>
      <c r="N698" s="890"/>
      <c r="O698" s="890"/>
      <c r="P698" s="890"/>
      <c r="Q698" s="890"/>
      <c r="R698" s="890"/>
      <c r="S698" s="890"/>
      <c r="T698" s="890"/>
      <c r="U698" s="890"/>
      <c r="V698" s="890"/>
      <c r="W698" s="890"/>
      <c r="X698" s="890"/>
      <c r="Y698" s="890"/>
      <c r="Z698" s="890"/>
      <c r="AA698" s="890"/>
      <c r="AB698" s="890"/>
      <c r="AC698" s="890"/>
      <c r="AD698" s="890"/>
      <c r="AE698" s="890"/>
      <c r="AF698" s="890"/>
      <c r="AG698" s="890"/>
      <c r="AH698" s="890"/>
      <c r="AI698" s="1085"/>
      <c r="AJ698" s="1085"/>
      <c r="AK698" s="1085"/>
      <c r="AL698" s="1085"/>
      <c r="AM698" s="1085"/>
      <c r="AN698" s="1085"/>
      <c r="AO698" s="1085"/>
      <c r="AP698" s="1085"/>
      <c r="AQ698" s="1085"/>
      <c r="AR698" s="1085"/>
      <c r="AS698" s="1085"/>
      <c r="AT698" s="1085"/>
      <c r="AU698" s="1085"/>
      <c r="AV698" s="1085"/>
      <c r="AW698" s="1085"/>
      <c r="AX698" s="1085"/>
      <c r="AY698" s="1085"/>
      <c r="AZ698" s="1085"/>
      <c r="BA698" s="1085"/>
      <c r="BB698" s="1085"/>
      <c r="BC698" s="1085"/>
      <c r="BD698" s="1085"/>
      <c r="BE698" s="1085"/>
      <c r="BF698" s="1085"/>
      <c r="BG698" s="1085"/>
      <c r="BH698" s="1085"/>
      <c r="BI698" s="1085"/>
      <c r="BJ698" s="1085"/>
      <c r="BK698" s="1085"/>
      <c r="BL698" s="1085"/>
      <c r="BM698" s="1085"/>
      <c r="BN698" s="1085"/>
      <c r="BO698" s="1085"/>
      <c r="BP698" s="1085"/>
      <c r="BQ698" s="1085"/>
      <c r="BR698" s="1085"/>
      <c r="BS698" s="1085"/>
      <c r="BT698" s="1085"/>
      <c r="BU698" s="1085"/>
      <c r="BV698" s="1085"/>
      <c r="BW698" s="1085"/>
      <c r="BX698" s="1085"/>
      <c r="BY698" s="1085"/>
      <c r="BZ698" s="1085"/>
      <c r="CA698" s="1085"/>
      <c r="CB698" s="1085"/>
      <c r="CC698" s="1085"/>
      <c r="CD698" s="1085"/>
      <c r="CE698" s="1085"/>
      <c r="CF698" s="1085"/>
      <c r="CG698" s="1085"/>
      <c r="CH698" s="1085"/>
      <c r="CI698" s="1085"/>
      <c r="CJ698" s="1085"/>
      <c r="CK698" s="1085"/>
      <c r="CL698" s="1085"/>
      <c r="CM698" s="1085"/>
      <c r="CN698" s="1085"/>
      <c r="CO698" s="1085"/>
      <c r="CP698" s="1085"/>
      <c r="CQ698" s="1085"/>
      <c r="CR698" s="1085"/>
      <c r="CS698" s="1085"/>
      <c r="CT698" s="1085"/>
      <c r="CU698" s="1085"/>
      <c r="CV698" s="1085"/>
      <c r="CW698" s="1085"/>
      <c r="CX698" s="1085"/>
      <c r="CY698" s="1085"/>
      <c r="CZ698" s="1085"/>
      <c r="DA698" s="1085"/>
      <c r="DB698" s="1085"/>
      <c r="DC698" s="1085"/>
      <c r="DD698" s="1085"/>
      <c r="DE698" s="1085"/>
      <c r="DF698" s="1085"/>
      <c r="DG698" s="1085"/>
      <c r="DH698" s="1085"/>
      <c r="DI698" s="1085"/>
      <c r="DJ698" s="1085"/>
      <c r="DK698" s="1085"/>
      <c r="DL698" s="1085"/>
      <c r="DM698" s="1085"/>
      <c r="DN698" s="1085"/>
      <c r="DO698" s="1085"/>
      <c r="DP698" s="1085"/>
      <c r="DQ698" s="1085"/>
      <c r="DR698" s="1085"/>
      <c r="DS698" s="1085"/>
      <c r="DT698" s="1085"/>
      <c r="DU698" s="1085"/>
      <c r="DV698" s="1085"/>
      <c r="DW698" s="1085"/>
      <c r="DX698" s="1085"/>
      <c r="DY698" s="1085"/>
      <c r="DZ698" s="1085"/>
      <c r="EA698" s="1085"/>
      <c r="EB698" s="1085"/>
      <c r="EC698" s="1085"/>
      <c r="ED698" s="1085"/>
      <c r="EE698" s="1085"/>
      <c r="EF698" s="1085"/>
      <c r="EG698" s="1085"/>
      <c r="EH698" s="1085"/>
      <c r="EI698" s="1085"/>
      <c r="EJ698" s="1085"/>
      <c r="EK698" s="1085"/>
      <c r="EL698" s="1085"/>
      <c r="EM698" s="1085"/>
      <c r="EN698" s="1085"/>
      <c r="EO698" s="1085"/>
      <c r="EP698" s="1085"/>
      <c r="EQ698" s="1085"/>
      <c r="ER698" s="1085"/>
      <c r="ES698" s="1085"/>
      <c r="ET698" s="1085"/>
      <c r="EU698" s="1085"/>
      <c r="EV698" s="1085"/>
      <c r="EW698" s="1085"/>
      <c r="EX698" s="1085"/>
      <c r="EY698" s="1085"/>
      <c r="EZ698" s="1085"/>
      <c r="FA698" s="1085"/>
      <c r="FB698" s="1085"/>
      <c r="FC698" s="1085"/>
      <c r="FD698" s="1085"/>
      <c r="FE698" s="1085"/>
      <c r="FF698" s="1085"/>
      <c r="FG698" s="1085"/>
      <c r="FH698" s="1085"/>
      <c r="FI698" s="1085"/>
      <c r="FJ698" s="1085"/>
      <c r="FK698" s="1085"/>
      <c r="FL698" s="1085"/>
      <c r="FM698" s="1085"/>
      <c r="FN698" s="1085"/>
      <c r="FO698" s="1085"/>
      <c r="FP698" s="1085"/>
      <c r="FQ698" s="1085"/>
      <c r="FR698" s="1085"/>
      <c r="FS698" s="1085"/>
      <c r="FT698" s="1085"/>
      <c r="FU698" s="1085"/>
      <c r="FV698" s="1085"/>
      <c r="FW698" s="1085"/>
      <c r="FX698" s="1085"/>
      <c r="FY698" s="1085"/>
      <c r="FZ698" s="1085"/>
      <c r="GA698" s="1085"/>
      <c r="GB698" s="1085"/>
      <c r="GC698" s="1085"/>
      <c r="GD698" s="1085"/>
      <c r="GE698" s="1085"/>
      <c r="GF698" s="1085"/>
      <c r="GG698" s="1085"/>
      <c r="GH698" s="1085"/>
      <c r="GI698" s="1085"/>
      <c r="GJ698" s="1085"/>
      <c r="GK698" s="1085"/>
      <c r="GL698" s="1085"/>
      <c r="GM698" s="1085"/>
      <c r="GN698" s="1085"/>
      <c r="GO698" s="1085"/>
      <c r="GP698" s="1085"/>
      <c r="GQ698" s="1085"/>
      <c r="GR698" s="1085"/>
      <c r="GS698" s="1085"/>
      <c r="GT698" s="1085"/>
      <c r="GU698" s="1085"/>
      <c r="GV698" s="1085"/>
      <c r="GW698" s="1085"/>
      <c r="GX698" s="1085"/>
      <c r="GY698" s="1085"/>
      <c r="GZ698" s="1085"/>
      <c r="HA698" s="1085"/>
      <c r="HB698" s="1085"/>
      <c r="HC698" s="1085"/>
      <c r="HD698" s="1085"/>
      <c r="HE698" s="1085"/>
      <c r="HF698" s="1085"/>
      <c r="HG698" s="1085"/>
      <c r="HH698" s="1085"/>
      <c r="HI698" s="1085"/>
      <c r="HJ698" s="1085"/>
      <c r="HK698" s="1085"/>
      <c r="HL698" s="1085"/>
      <c r="HM698" s="1085"/>
      <c r="HN698" s="1085"/>
      <c r="HO698" s="1085"/>
      <c r="HP698" s="1085"/>
      <c r="HQ698" s="1085"/>
      <c r="HR698" s="1085"/>
      <c r="HS698" s="1085"/>
      <c r="HT698" s="1085"/>
      <c r="HU698" s="1085"/>
      <c r="HV698" s="1085"/>
      <c r="HW698" s="1085"/>
      <c r="HX698" s="1085"/>
      <c r="HY698" s="1085"/>
      <c r="HZ698" s="1085"/>
      <c r="IA698" s="1085"/>
      <c r="IB698" s="1085"/>
      <c r="IC698" s="1085"/>
      <c r="ID698" s="1085"/>
      <c r="IE698" s="1085"/>
      <c r="IF698" s="1085"/>
      <c r="IG698" s="1085"/>
      <c r="IH698" s="1085"/>
      <c r="II698" s="1085"/>
      <c r="IJ698" s="1085"/>
      <c r="IK698" s="1085"/>
      <c r="IL698" s="1085"/>
      <c r="IM698" s="1085"/>
      <c r="IN698" s="1085"/>
      <c r="IO698" s="1085"/>
      <c r="IP698" s="1085"/>
      <c r="IQ698" s="1085"/>
      <c r="IR698" s="1085"/>
      <c r="IS698" s="1085"/>
      <c r="IT698" s="1085"/>
      <c r="IU698" s="1085"/>
      <c r="IV698" s="1085"/>
    </row>
    <row r="699" spans="1:256" ht="81.75" customHeight="1">
      <c r="A699" s="599"/>
      <c r="B699" s="2230" t="s">
        <v>5225</v>
      </c>
      <c r="C699" s="2227" t="s">
        <v>5226</v>
      </c>
      <c r="D699" s="599" t="s">
        <v>5362</v>
      </c>
      <c r="E699" s="599"/>
      <c r="F699" s="599"/>
      <c r="G699" s="599"/>
      <c r="H699" s="599"/>
      <c r="I699" s="599"/>
      <c r="J699" s="2479" t="s">
        <v>5543</v>
      </c>
      <c r="K699" s="2223"/>
      <c r="L699" s="599"/>
      <c r="M699" s="1882" t="s">
        <v>5361</v>
      </c>
      <c r="N699" s="890"/>
      <c r="O699" s="599"/>
      <c r="P699" s="599"/>
      <c r="Q699" s="890"/>
      <c r="R699" s="1337"/>
      <c r="S699" s="599"/>
      <c r="T699" s="599"/>
      <c r="U699" s="599"/>
      <c r="V699" s="599"/>
      <c r="W699" s="599"/>
      <c r="X699" s="599"/>
      <c r="Y699" s="599"/>
      <c r="Z699" s="599"/>
      <c r="AA699" s="599"/>
      <c r="AB699" s="599"/>
      <c r="AC699" s="599"/>
      <c r="AD699" s="599"/>
      <c r="AE699" s="599"/>
      <c r="AF699" s="599"/>
      <c r="AG699" s="599"/>
      <c r="AH699" s="599"/>
    </row>
    <row r="700" spans="1:256" s="2151" customFormat="1" ht="117.75" customHeight="1">
      <c r="A700" s="890"/>
      <c r="B700" s="2231"/>
      <c r="C700" s="2228"/>
      <c r="D700" s="610" t="s">
        <v>5360</v>
      </c>
      <c r="E700" s="599"/>
      <c r="F700" s="2021">
        <v>39353105</v>
      </c>
      <c r="G700" s="890"/>
      <c r="H700" s="890"/>
      <c r="I700" s="890" t="s">
        <v>5457</v>
      </c>
      <c r="J700" s="2480"/>
      <c r="K700" s="890" t="s">
        <v>5446</v>
      </c>
      <c r="L700" s="890"/>
      <c r="M700" s="2196" t="s">
        <v>5490</v>
      </c>
      <c r="N700" s="2136" t="s">
        <v>5291</v>
      </c>
      <c r="O700" s="2197">
        <v>3640000</v>
      </c>
      <c r="P700" s="890" t="s">
        <v>5290</v>
      </c>
      <c r="Q700" s="599" t="s">
        <v>5491</v>
      </c>
      <c r="R700" s="1337"/>
      <c r="S700" s="890"/>
      <c r="T700" s="890"/>
      <c r="U700" s="890"/>
      <c r="V700" s="890"/>
      <c r="W700" s="890"/>
      <c r="X700" s="890"/>
      <c r="Y700" s="890"/>
      <c r="Z700" s="890"/>
      <c r="AA700" s="890"/>
      <c r="AB700" s="890"/>
      <c r="AC700" s="890"/>
      <c r="AD700" s="890"/>
      <c r="AE700" s="890"/>
      <c r="AF700" s="890"/>
      <c r="AG700" s="890"/>
      <c r="AH700" s="890"/>
      <c r="AI700" s="1085"/>
      <c r="AJ700" s="1085"/>
      <c r="AK700" s="1085"/>
      <c r="AL700" s="1085"/>
      <c r="AM700" s="1085"/>
      <c r="AN700" s="1085"/>
      <c r="AO700" s="1085"/>
      <c r="AP700" s="1085"/>
      <c r="AQ700" s="1085"/>
      <c r="AR700" s="1085"/>
      <c r="AS700" s="1085"/>
      <c r="AT700" s="1085"/>
      <c r="AU700" s="1085"/>
      <c r="AV700" s="1085"/>
      <c r="AW700" s="1085"/>
      <c r="AX700" s="1085"/>
      <c r="AY700" s="1085"/>
      <c r="AZ700" s="1085"/>
      <c r="BA700" s="1085"/>
      <c r="BB700" s="1085"/>
      <c r="BC700" s="1085"/>
      <c r="BD700" s="1085"/>
      <c r="BE700" s="1085"/>
      <c r="BF700" s="1085"/>
      <c r="BG700" s="1085"/>
      <c r="BH700" s="1085"/>
      <c r="BI700" s="1085"/>
      <c r="BJ700" s="1085"/>
      <c r="BK700" s="1085"/>
      <c r="BL700" s="1085"/>
      <c r="BM700" s="1085"/>
      <c r="BN700" s="1085"/>
      <c r="BO700" s="1085"/>
      <c r="BP700" s="1085"/>
      <c r="BQ700" s="1085"/>
      <c r="BR700" s="1085"/>
      <c r="BS700" s="1085"/>
      <c r="BT700" s="1085"/>
      <c r="BU700" s="1085"/>
      <c r="BV700" s="1085"/>
      <c r="BW700" s="1085"/>
      <c r="BX700" s="1085"/>
      <c r="BY700" s="1085"/>
      <c r="BZ700" s="1085"/>
      <c r="CA700" s="1085"/>
      <c r="CB700" s="1085"/>
      <c r="CC700" s="1085"/>
      <c r="CD700" s="1085"/>
      <c r="CE700" s="1085"/>
      <c r="CF700" s="1085"/>
      <c r="CG700" s="1085"/>
      <c r="CH700" s="1085"/>
      <c r="CI700" s="1085"/>
      <c r="CJ700" s="1085"/>
      <c r="CK700" s="1085"/>
      <c r="CL700" s="1085"/>
      <c r="CM700" s="1085"/>
      <c r="CN700" s="1085"/>
      <c r="CO700" s="1085"/>
      <c r="CP700" s="1085"/>
      <c r="CQ700" s="1085"/>
      <c r="CR700" s="1085"/>
      <c r="CS700" s="1085"/>
      <c r="CT700" s="1085"/>
      <c r="CU700" s="1085"/>
      <c r="CV700" s="1085"/>
      <c r="CW700" s="1085"/>
      <c r="CX700" s="1085"/>
      <c r="CY700" s="1085"/>
      <c r="CZ700" s="1085"/>
      <c r="DA700" s="1085"/>
      <c r="DB700" s="1085"/>
      <c r="DC700" s="1085"/>
      <c r="DD700" s="1085"/>
      <c r="DE700" s="1085"/>
      <c r="DF700" s="1085"/>
      <c r="DG700" s="1085"/>
      <c r="DH700" s="1085"/>
      <c r="DI700" s="1085"/>
      <c r="DJ700" s="1085"/>
      <c r="DK700" s="1085"/>
      <c r="DL700" s="1085"/>
      <c r="DM700" s="1085"/>
      <c r="DN700" s="1085"/>
      <c r="DO700" s="1085"/>
      <c r="DP700" s="1085"/>
      <c r="DQ700" s="1085"/>
      <c r="DR700" s="1085"/>
      <c r="DS700" s="1085"/>
      <c r="DT700" s="1085"/>
      <c r="DU700" s="1085"/>
      <c r="DV700" s="1085"/>
      <c r="DW700" s="1085"/>
      <c r="DX700" s="1085"/>
      <c r="DY700" s="1085"/>
      <c r="DZ700" s="1085"/>
      <c r="EA700" s="1085"/>
      <c r="EB700" s="1085"/>
      <c r="EC700" s="1085"/>
      <c r="ED700" s="1085"/>
      <c r="EE700" s="1085"/>
      <c r="EF700" s="1085"/>
      <c r="EG700" s="1085"/>
      <c r="EH700" s="1085"/>
      <c r="EI700" s="1085"/>
      <c r="EJ700" s="1085"/>
      <c r="EK700" s="1085"/>
      <c r="EL700" s="1085"/>
      <c r="EM700" s="1085"/>
      <c r="EN700" s="1085"/>
      <c r="EO700" s="1085"/>
      <c r="EP700" s="1085"/>
      <c r="EQ700" s="1085"/>
      <c r="ER700" s="1085"/>
      <c r="ES700" s="1085"/>
      <c r="ET700" s="1085"/>
      <c r="EU700" s="1085"/>
      <c r="EV700" s="1085"/>
      <c r="EW700" s="1085"/>
      <c r="EX700" s="1085"/>
      <c r="EY700" s="1085"/>
      <c r="EZ700" s="1085"/>
      <c r="FA700" s="1085"/>
      <c r="FB700" s="1085"/>
      <c r="FC700" s="1085"/>
      <c r="FD700" s="1085"/>
      <c r="FE700" s="1085"/>
      <c r="FF700" s="1085"/>
      <c r="FG700" s="1085"/>
      <c r="FH700" s="1085"/>
      <c r="FI700" s="1085"/>
      <c r="FJ700" s="1085"/>
      <c r="FK700" s="1085"/>
      <c r="FL700" s="1085"/>
      <c r="FM700" s="1085"/>
      <c r="FN700" s="1085"/>
      <c r="FO700" s="1085"/>
      <c r="FP700" s="1085"/>
      <c r="FQ700" s="1085"/>
      <c r="FR700" s="1085"/>
      <c r="FS700" s="1085"/>
      <c r="FT700" s="1085"/>
      <c r="FU700" s="1085"/>
      <c r="FV700" s="1085"/>
      <c r="FW700" s="1085"/>
      <c r="FX700" s="1085"/>
      <c r="FY700" s="1085"/>
      <c r="FZ700" s="1085"/>
      <c r="GA700" s="1085"/>
      <c r="GB700" s="1085"/>
      <c r="GC700" s="1085"/>
      <c r="GD700" s="1085"/>
      <c r="GE700" s="1085"/>
      <c r="GF700" s="1085"/>
      <c r="GG700" s="1085"/>
      <c r="GH700" s="1085"/>
      <c r="GI700" s="1085"/>
      <c r="GJ700" s="1085"/>
      <c r="GK700" s="1085"/>
      <c r="GL700" s="1085"/>
      <c r="GM700" s="1085"/>
      <c r="GN700" s="1085"/>
      <c r="GO700" s="1085"/>
      <c r="GP700" s="1085"/>
      <c r="GQ700" s="1085"/>
      <c r="GR700" s="1085"/>
      <c r="GS700" s="1085"/>
      <c r="GT700" s="1085"/>
      <c r="GU700" s="1085"/>
      <c r="GV700" s="1085"/>
      <c r="GW700" s="1085"/>
      <c r="GX700" s="1085"/>
      <c r="GY700" s="1085"/>
      <c r="GZ700" s="1085"/>
      <c r="HA700" s="1085"/>
      <c r="HB700" s="1085"/>
      <c r="HC700" s="1085"/>
      <c r="HD700" s="1085"/>
      <c r="HE700" s="1085"/>
      <c r="HF700" s="1085"/>
      <c r="HG700" s="1085"/>
      <c r="HH700" s="1085"/>
      <c r="HI700" s="1085"/>
      <c r="HJ700" s="1085"/>
      <c r="HK700" s="1085"/>
      <c r="HL700" s="1085"/>
      <c r="HM700" s="1085"/>
      <c r="HN700" s="1085"/>
      <c r="HO700" s="1085"/>
      <c r="HP700" s="1085"/>
      <c r="HQ700" s="1085"/>
      <c r="HR700" s="1085"/>
      <c r="HS700" s="1085"/>
      <c r="HT700" s="1085"/>
      <c r="HU700" s="1085"/>
      <c r="HV700" s="1085"/>
      <c r="HW700" s="1085"/>
      <c r="HX700" s="1085"/>
      <c r="HY700" s="1085"/>
      <c r="HZ700" s="1085"/>
      <c r="IA700" s="1085"/>
      <c r="IB700" s="1085"/>
      <c r="IC700" s="1085"/>
      <c r="ID700" s="1085"/>
      <c r="IE700" s="1085"/>
      <c r="IF700" s="1085"/>
      <c r="IG700" s="1085"/>
      <c r="IH700" s="1085"/>
      <c r="II700" s="1085"/>
      <c r="IJ700" s="1085"/>
      <c r="IK700" s="1085"/>
      <c r="IL700" s="1085"/>
      <c r="IM700" s="1085"/>
      <c r="IN700" s="1085"/>
      <c r="IO700" s="1085"/>
      <c r="IP700" s="1085"/>
      <c r="IQ700" s="1085"/>
      <c r="IR700" s="1085"/>
      <c r="IS700" s="1085"/>
      <c r="IT700" s="1085"/>
      <c r="IU700" s="1085"/>
      <c r="IV700" s="1085"/>
    </row>
    <row r="701" spans="1:256" s="2151" customFormat="1" ht="188.25" customHeight="1">
      <c r="A701" s="890"/>
      <c r="B701" s="2250" t="s">
        <v>5364</v>
      </c>
      <c r="C701" s="2224" t="s">
        <v>5371</v>
      </c>
      <c r="D701" s="610" t="s">
        <v>5365</v>
      </c>
      <c r="E701" s="890" t="s">
        <v>5369</v>
      </c>
      <c r="F701" s="2061" t="s">
        <v>5580</v>
      </c>
      <c r="G701" s="1185" t="s">
        <v>5370</v>
      </c>
      <c r="H701" s="890" t="s">
        <v>5578</v>
      </c>
      <c r="I701" s="890" t="s">
        <v>5466</v>
      </c>
      <c r="J701" s="2242" t="s">
        <v>5579</v>
      </c>
      <c r="K701" s="610" t="s">
        <v>5465</v>
      </c>
      <c r="L701" s="890"/>
      <c r="M701" s="2196" t="s">
        <v>5509</v>
      </c>
      <c r="N701" s="2136"/>
      <c r="O701" s="2197"/>
      <c r="P701" s="890"/>
      <c r="Q701" s="599"/>
      <c r="R701" s="1337"/>
      <c r="S701" s="890"/>
      <c r="T701" s="890"/>
      <c r="U701" s="890"/>
      <c r="V701" s="890"/>
      <c r="W701" s="890"/>
      <c r="X701" s="890"/>
      <c r="Y701" s="890"/>
      <c r="Z701" s="890"/>
      <c r="AA701" s="890"/>
      <c r="AB701" s="890"/>
      <c r="AC701" s="890"/>
      <c r="AD701" s="890"/>
      <c r="AE701" s="890"/>
      <c r="AF701" s="890"/>
      <c r="AG701" s="890"/>
      <c r="AH701" s="890"/>
      <c r="AI701" s="1085"/>
      <c r="AJ701" s="1085"/>
      <c r="AK701" s="1085"/>
      <c r="AL701" s="1085"/>
      <c r="AM701" s="1085"/>
      <c r="AN701" s="1085"/>
      <c r="AO701" s="1085"/>
      <c r="AP701" s="1085"/>
      <c r="AQ701" s="1085"/>
      <c r="AR701" s="1085"/>
      <c r="AS701" s="1085"/>
      <c r="AT701" s="1085"/>
      <c r="AU701" s="1085"/>
      <c r="AV701" s="1085"/>
      <c r="AW701" s="1085"/>
      <c r="AX701" s="1085"/>
      <c r="AY701" s="1085"/>
      <c r="AZ701" s="1085"/>
      <c r="BA701" s="1085"/>
      <c r="BB701" s="1085"/>
      <c r="BC701" s="1085"/>
      <c r="BD701" s="1085"/>
      <c r="BE701" s="1085"/>
      <c r="BF701" s="1085"/>
      <c r="BG701" s="1085"/>
      <c r="BH701" s="1085"/>
      <c r="BI701" s="1085"/>
      <c r="BJ701" s="1085"/>
      <c r="BK701" s="1085"/>
      <c r="BL701" s="1085"/>
      <c r="BM701" s="1085"/>
      <c r="BN701" s="1085"/>
      <c r="BO701" s="1085"/>
      <c r="BP701" s="1085"/>
      <c r="BQ701" s="1085"/>
      <c r="BR701" s="1085"/>
      <c r="BS701" s="1085"/>
      <c r="BT701" s="1085"/>
      <c r="BU701" s="1085"/>
      <c r="BV701" s="1085"/>
      <c r="BW701" s="1085"/>
      <c r="BX701" s="1085"/>
      <c r="BY701" s="1085"/>
      <c r="BZ701" s="1085"/>
      <c r="CA701" s="1085"/>
      <c r="CB701" s="1085"/>
      <c r="CC701" s="1085"/>
      <c r="CD701" s="1085"/>
      <c r="CE701" s="1085"/>
      <c r="CF701" s="1085"/>
      <c r="CG701" s="1085"/>
      <c r="CH701" s="1085"/>
      <c r="CI701" s="1085"/>
      <c r="CJ701" s="1085"/>
      <c r="CK701" s="1085"/>
      <c r="CL701" s="1085"/>
      <c r="CM701" s="1085"/>
      <c r="CN701" s="1085"/>
      <c r="CO701" s="1085"/>
      <c r="CP701" s="1085"/>
      <c r="CQ701" s="1085"/>
      <c r="CR701" s="1085"/>
      <c r="CS701" s="1085"/>
      <c r="CT701" s="1085"/>
      <c r="CU701" s="1085"/>
      <c r="CV701" s="1085"/>
      <c r="CW701" s="1085"/>
      <c r="CX701" s="1085"/>
      <c r="CY701" s="1085"/>
      <c r="CZ701" s="1085"/>
      <c r="DA701" s="1085"/>
      <c r="DB701" s="1085"/>
      <c r="DC701" s="1085"/>
      <c r="DD701" s="1085"/>
      <c r="DE701" s="1085"/>
      <c r="DF701" s="1085"/>
      <c r="DG701" s="1085"/>
      <c r="DH701" s="1085"/>
      <c r="DI701" s="1085"/>
      <c r="DJ701" s="1085"/>
      <c r="DK701" s="1085"/>
      <c r="DL701" s="1085"/>
      <c r="DM701" s="1085"/>
      <c r="DN701" s="1085"/>
      <c r="DO701" s="1085"/>
      <c r="DP701" s="1085"/>
      <c r="DQ701" s="1085"/>
      <c r="DR701" s="1085"/>
      <c r="DS701" s="1085"/>
      <c r="DT701" s="1085"/>
      <c r="DU701" s="1085"/>
      <c r="DV701" s="1085"/>
      <c r="DW701" s="1085"/>
      <c r="DX701" s="1085"/>
      <c r="DY701" s="1085"/>
      <c r="DZ701" s="1085"/>
      <c r="EA701" s="1085"/>
      <c r="EB701" s="1085"/>
      <c r="EC701" s="1085"/>
      <c r="ED701" s="1085"/>
      <c r="EE701" s="1085"/>
      <c r="EF701" s="1085"/>
      <c r="EG701" s="1085"/>
      <c r="EH701" s="1085"/>
      <c r="EI701" s="1085"/>
      <c r="EJ701" s="1085"/>
      <c r="EK701" s="1085"/>
      <c r="EL701" s="1085"/>
      <c r="EM701" s="1085"/>
      <c r="EN701" s="1085"/>
      <c r="EO701" s="1085"/>
      <c r="EP701" s="1085"/>
      <c r="EQ701" s="1085"/>
      <c r="ER701" s="1085"/>
      <c r="ES701" s="1085"/>
      <c r="ET701" s="1085"/>
      <c r="EU701" s="1085"/>
      <c r="EV701" s="1085"/>
      <c r="EW701" s="1085"/>
      <c r="EX701" s="1085"/>
      <c r="EY701" s="1085"/>
      <c r="EZ701" s="1085"/>
      <c r="FA701" s="1085"/>
      <c r="FB701" s="1085"/>
      <c r="FC701" s="1085"/>
      <c r="FD701" s="1085"/>
      <c r="FE701" s="1085"/>
      <c r="FF701" s="1085"/>
      <c r="FG701" s="1085"/>
      <c r="FH701" s="1085"/>
      <c r="FI701" s="1085"/>
      <c r="FJ701" s="1085"/>
      <c r="FK701" s="1085"/>
      <c r="FL701" s="1085"/>
      <c r="FM701" s="1085"/>
      <c r="FN701" s="1085"/>
      <c r="FO701" s="1085"/>
      <c r="FP701" s="1085"/>
      <c r="FQ701" s="1085"/>
      <c r="FR701" s="1085"/>
      <c r="FS701" s="1085"/>
      <c r="FT701" s="1085"/>
      <c r="FU701" s="1085"/>
      <c r="FV701" s="1085"/>
      <c r="FW701" s="1085"/>
      <c r="FX701" s="1085"/>
      <c r="FY701" s="1085"/>
      <c r="FZ701" s="1085"/>
      <c r="GA701" s="1085"/>
      <c r="GB701" s="1085"/>
      <c r="GC701" s="1085"/>
      <c r="GD701" s="1085"/>
      <c r="GE701" s="1085"/>
      <c r="GF701" s="1085"/>
      <c r="GG701" s="1085"/>
      <c r="GH701" s="1085"/>
      <c r="GI701" s="1085"/>
      <c r="GJ701" s="1085"/>
      <c r="GK701" s="1085"/>
      <c r="GL701" s="1085"/>
      <c r="GM701" s="1085"/>
      <c r="GN701" s="1085"/>
      <c r="GO701" s="1085"/>
      <c r="GP701" s="1085"/>
      <c r="GQ701" s="1085"/>
      <c r="GR701" s="1085"/>
      <c r="GS701" s="1085"/>
      <c r="GT701" s="1085"/>
      <c r="GU701" s="1085"/>
      <c r="GV701" s="1085"/>
      <c r="GW701" s="1085"/>
      <c r="GX701" s="1085"/>
      <c r="GY701" s="1085"/>
      <c r="GZ701" s="1085"/>
      <c r="HA701" s="1085"/>
      <c r="HB701" s="1085"/>
      <c r="HC701" s="1085"/>
      <c r="HD701" s="1085"/>
      <c r="HE701" s="1085"/>
      <c r="HF701" s="1085"/>
      <c r="HG701" s="1085"/>
      <c r="HH701" s="1085"/>
      <c r="HI701" s="1085"/>
      <c r="HJ701" s="1085"/>
      <c r="HK701" s="1085"/>
      <c r="HL701" s="1085"/>
      <c r="HM701" s="1085"/>
      <c r="HN701" s="1085"/>
      <c r="HO701" s="1085"/>
      <c r="HP701" s="1085"/>
      <c r="HQ701" s="1085"/>
      <c r="HR701" s="1085"/>
      <c r="HS701" s="1085"/>
      <c r="HT701" s="1085"/>
      <c r="HU701" s="1085"/>
      <c r="HV701" s="1085"/>
      <c r="HW701" s="1085"/>
      <c r="HX701" s="1085"/>
      <c r="HY701" s="1085"/>
      <c r="HZ701" s="1085"/>
      <c r="IA701" s="1085"/>
      <c r="IB701" s="1085"/>
      <c r="IC701" s="1085"/>
      <c r="ID701" s="1085"/>
      <c r="IE701" s="1085"/>
      <c r="IF701" s="1085"/>
      <c r="IG701" s="1085"/>
      <c r="IH701" s="1085"/>
      <c r="II701" s="1085"/>
      <c r="IJ701" s="1085"/>
      <c r="IK701" s="1085"/>
      <c r="IL701" s="1085"/>
      <c r="IM701" s="1085"/>
      <c r="IN701" s="1085"/>
      <c r="IO701" s="1085"/>
      <c r="IP701" s="1085"/>
      <c r="IQ701" s="1085"/>
      <c r="IR701" s="1085"/>
      <c r="IS701" s="1085"/>
      <c r="IT701" s="1085"/>
      <c r="IU701" s="1085"/>
      <c r="IV701" s="1085"/>
    </row>
    <row r="702" spans="1:256" s="2151" customFormat="1" ht="82.5" customHeight="1">
      <c r="A702" s="890"/>
      <c r="B702" s="2250" t="s">
        <v>5363</v>
      </c>
      <c r="C702" s="599" t="s">
        <v>5264</v>
      </c>
      <c r="D702" s="599" t="s">
        <v>5265</v>
      </c>
      <c r="E702" s="599" t="s">
        <v>5450</v>
      </c>
      <c r="F702" s="599" t="s">
        <v>5266</v>
      </c>
      <c r="G702" s="890"/>
      <c r="H702" s="890"/>
      <c r="I702" s="1808"/>
      <c r="J702" s="1808" t="s">
        <v>5566</v>
      </c>
      <c r="K702" s="1337"/>
      <c r="L702" s="890"/>
      <c r="M702" s="599" t="s">
        <v>5297</v>
      </c>
      <c r="N702" s="890"/>
      <c r="O702" s="890"/>
      <c r="P702" s="890"/>
      <c r="Q702" s="890"/>
      <c r="R702" s="890"/>
      <c r="S702" s="890"/>
      <c r="T702" s="890"/>
      <c r="U702" s="890"/>
      <c r="V702" s="890"/>
      <c r="W702" s="890"/>
      <c r="X702" s="890"/>
      <c r="Y702" s="890"/>
      <c r="Z702" s="890"/>
      <c r="AA702" s="890"/>
      <c r="AB702" s="890"/>
      <c r="AC702" s="890"/>
      <c r="AD702" s="890"/>
      <c r="AE702" s="890"/>
      <c r="AF702" s="890"/>
      <c r="AG702" s="890"/>
      <c r="AH702" s="890"/>
      <c r="AI702" s="1085"/>
      <c r="AJ702" s="1085"/>
      <c r="AK702" s="1085"/>
      <c r="AL702" s="1085"/>
      <c r="AM702" s="1085"/>
      <c r="AN702" s="1085"/>
      <c r="AO702" s="1085"/>
      <c r="AP702" s="1085"/>
      <c r="AQ702" s="1085"/>
      <c r="AR702" s="1085"/>
      <c r="AS702" s="1085"/>
      <c r="AT702" s="1085"/>
      <c r="AU702" s="1085"/>
      <c r="AV702" s="1085"/>
      <c r="AW702" s="1085"/>
      <c r="AX702" s="1085"/>
      <c r="AY702" s="1085"/>
      <c r="AZ702" s="1085"/>
      <c r="BA702" s="1085"/>
      <c r="BB702" s="1085"/>
      <c r="BC702" s="1085"/>
      <c r="BD702" s="1085"/>
      <c r="BE702" s="1085"/>
      <c r="BF702" s="1085"/>
      <c r="BG702" s="1085"/>
      <c r="BH702" s="1085"/>
      <c r="BI702" s="1085"/>
      <c r="BJ702" s="1085"/>
      <c r="BK702" s="1085"/>
      <c r="BL702" s="1085"/>
      <c r="BM702" s="1085"/>
      <c r="BN702" s="1085"/>
      <c r="BO702" s="1085"/>
      <c r="BP702" s="1085"/>
      <c r="BQ702" s="1085"/>
      <c r="BR702" s="1085"/>
      <c r="BS702" s="1085"/>
      <c r="BT702" s="1085"/>
      <c r="BU702" s="1085"/>
      <c r="BV702" s="1085"/>
      <c r="BW702" s="1085"/>
      <c r="BX702" s="1085"/>
      <c r="BY702" s="1085"/>
      <c r="BZ702" s="1085"/>
      <c r="CA702" s="1085"/>
      <c r="CB702" s="1085"/>
      <c r="CC702" s="1085"/>
      <c r="CD702" s="1085"/>
      <c r="CE702" s="1085"/>
      <c r="CF702" s="1085"/>
      <c r="CG702" s="1085"/>
      <c r="CH702" s="1085"/>
      <c r="CI702" s="1085"/>
      <c r="CJ702" s="1085"/>
      <c r="CK702" s="1085"/>
      <c r="CL702" s="1085"/>
      <c r="CM702" s="1085"/>
      <c r="CN702" s="1085"/>
      <c r="CO702" s="1085"/>
      <c r="CP702" s="1085"/>
      <c r="CQ702" s="1085"/>
      <c r="CR702" s="1085"/>
      <c r="CS702" s="1085"/>
      <c r="CT702" s="1085"/>
      <c r="CU702" s="1085"/>
      <c r="CV702" s="1085"/>
      <c r="CW702" s="1085"/>
      <c r="CX702" s="1085"/>
      <c r="CY702" s="1085"/>
      <c r="CZ702" s="1085"/>
      <c r="DA702" s="1085"/>
      <c r="DB702" s="1085"/>
      <c r="DC702" s="1085"/>
      <c r="DD702" s="1085"/>
      <c r="DE702" s="1085"/>
      <c r="DF702" s="1085"/>
      <c r="DG702" s="1085"/>
      <c r="DH702" s="1085"/>
      <c r="DI702" s="1085"/>
      <c r="DJ702" s="1085"/>
      <c r="DK702" s="1085"/>
      <c r="DL702" s="1085"/>
      <c r="DM702" s="1085"/>
      <c r="DN702" s="1085"/>
      <c r="DO702" s="1085"/>
      <c r="DP702" s="1085"/>
      <c r="DQ702" s="1085"/>
      <c r="DR702" s="1085"/>
      <c r="DS702" s="1085"/>
      <c r="DT702" s="1085"/>
      <c r="DU702" s="1085"/>
      <c r="DV702" s="1085"/>
      <c r="DW702" s="1085"/>
      <c r="DX702" s="1085"/>
      <c r="DY702" s="1085"/>
      <c r="DZ702" s="1085"/>
      <c r="EA702" s="1085"/>
      <c r="EB702" s="1085"/>
      <c r="EC702" s="1085"/>
      <c r="ED702" s="1085"/>
      <c r="EE702" s="1085"/>
      <c r="EF702" s="1085"/>
      <c r="EG702" s="1085"/>
      <c r="EH702" s="1085"/>
      <c r="EI702" s="1085"/>
      <c r="EJ702" s="1085"/>
      <c r="EK702" s="1085"/>
      <c r="EL702" s="1085"/>
      <c r="EM702" s="1085"/>
      <c r="EN702" s="1085"/>
      <c r="EO702" s="1085"/>
      <c r="EP702" s="1085"/>
      <c r="EQ702" s="1085"/>
      <c r="ER702" s="1085"/>
      <c r="ES702" s="1085"/>
      <c r="ET702" s="1085"/>
      <c r="EU702" s="1085"/>
      <c r="EV702" s="1085"/>
      <c r="EW702" s="1085"/>
      <c r="EX702" s="1085"/>
      <c r="EY702" s="1085"/>
      <c r="EZ702" s="1085"/>
      <c r="FA702" s="1085"/>
      <c r="FB702" s="1085"/>
      <c r="FC702" s="1085"/>
      <c r="FD702" s="1085"/>
      <c r="FE702" s="1085"/>
      <c r="FF702" s="1085"/>
      <c r="FG702" s="1085"/>
      <c r="FH702" s="1085"/>
      <c r="FI702" s="1085"/>
      <c r="FJ702" s="1085"/>
      <c r="FK702" s="1085"/>
      <c r="FL702" s="1085"/>
      <c r="FM702" s="1085"/>
      <c r="FN702" s="1085"/>
      <c r="FO702" s="1085"/>
      <c r="FP702" s="1085"/>
      <c r="FQ702" s="1085"/>
      <c r="FR702" s="1085"/>
      <c r="FS702" s="1085"/>
      <c r="FT702" s="1085"/>
      <c r="FU702" s="1085"/>
      <c r="FV702" s="1085"/>
      <c r="FW702" s="1085"/>
      <c r="FX702" s="1085"/>
      <c r="FY702" s="1085"/>
      <c r="FZ702" s="1085"/>
      <c r="GA702" s="1085"/>
      <c r="GB702" s="1085"/>
      <c r="GC702" s="1085"/>
      <c r="GD702" s="1085"/>
      <c r="GE702" s="1085"/>
      <c r="GF702" s="1085"/>
      <c r="GG702" s="1085"/>
      <c r="GH702" s="1085"/>
      <c r="GI702" s="1085"/>
      <c r="GJ702" s="1085"/>
      <c r="GK702" s="1085"/>
      <c r="GL702" s="1085"/>
      <c r="GM702" s="1085"/>
      <c r="GN702" s="1085"/>
      <c r="GO702" s="1085"/>
      <c r="GP702" s="1085"/>
      <c r="GQ702" s="1085"/>
      <c r="GR702" s="1085"/>
      <c r="GS702" s="1085"/>
      <c r="GT702" s="1085"/>
      <c r="GU702" s="1085"/>
      <c r="GV702" s="1085"/>
      <c r="GW702" s="1085"/>
      <c r="GX702" s="1085"/>
      <c r="GY702" s="1085"/>
      <c r="GZ702" s="1085"/>
      <c r="HA702" s="1085"/>
      <c r="HB702" s="1085"/>
      <c r="HC702" s="1085"/>
      <c r="HD702" s="1085"/>
      <c r="HE702" s="1085"/>
      <c r="HF702" s="1085"/>
      <c r="HG702" s="1085"/>
      <c r="HH702" s="1085"/>
      <c r="HI702" s="1085"/>
      <c r="HJ702" s="1085"/>
      <c r="HK702" s="1085"/>
      <c r="HL702" s="1085"/>
      <c r="HM702" s="1085"/>
      <c r="HN702" s="1085"/>
      <c r="HO702" s="1085"/>
      <c r="HP702" s="1085"/>
      <c r="HQ702" s="1085"/>
      <c r="HR702" s="1085"/>
      <c r="HS702" s="1085"/>
      <c r="HT702" s="1085"/>
      <c r="HU702" s="1085"/>
      <c r="HV702" s="1085"/>
      <c r="HW702" s="1085"/>
      <c r="HX702" s="1085"/>
      <c r="HY702" s="1085"/>
      <c r="HZ702" s="1085"/>
      <c r="IA702" s="1085"/>
      <c r="IB702" s="1085"/>
      <c r="IC702" s="1085"/>
      <c r="ID702" s="1085"/>
      <c r="IE702" s="1085"/>
      <c r="IF702" s="1085"/>
      <c r="IG702" s="1085"/>
      <c r="IH702" s="1085"/>
      <c r="II702" s="1085"/>
      <c r="IJ702" s="1085"/>
      <c r="IK702" s="1085"/>
      <c r="IL702" s="1085"/>
      <c r="IM702" s="1085"/>
      <c r="IN702" s="1085"/>
      <c r="IO702" s="1085"/>
      <c r="IP702" s="1085"/>
      <c r="IQ702" s="1085"/>
      <c r="IR702" s="1085"/>
      <c r="IS702" s="1085"/>
      <c r="IT702" s="1085"/>
      <c r="IU702" s="1085"/>
      <c r="IV702" s="1085"/>
    </row>
    <row r="703" spans="1:256" s="2151" customFormat="1" ht="54.75" customHeight="1">
      <c r="A703" s="890"/>
      <c r="B703" s="2250" t="s">
        <v>5267</v>
      </c>
      <c r="C703" s="599" t="s">
        <v>5426</v>
      </c>
      <c r="D703" s="599" t="s">
        <v>5489</v>
      </c>
      <c r="E703" s="599" t="s">
        <v>5424</v>
      </c>
      <c r="F703" s="599">
        <v>350000</v>
      </c>
      <c r="G703" s="890" t="s">
        <v>5425</v>
      </c>
      <c r="H703" s="890"/>
      <c r="I703" s="890"/>
      <c r="J703" s="890"/>
      <c r="K703" s="1337"/>
      <c r="L703" s="890"/>
      <c r="M703" s="599" t="s">
        <v>5297</v>
      </c>
      <c r="N703" s="890"/>
      <c r="O703" s="890"/>
      <c r="P703" s="890"/>
      <c r="Q703" s="890"/>
      <c r="R703" s="890"/>
      <c r="S703" s="890"/>
      <c r="T703" s="890"/>
      <c r="U703" s="890"/>
      <c r="V703" s="890"/>
      <c r="W703" s="890"/>
      <c r="X703" s="890"/>
      <c r="Y703" s="890"/>
      <c r="Z703" s="890"/>
      <c r="AA703" s="890"/>
      <c r="AB703" s="890"/>
      <c r="AC703" s="890"/>
      <c r="AD703" s="890"/>
      <c r="AE703" s="890"/>
      <c r="AF703" s="890"/>
      <c r="AG703" s="890"/>
      <c r="AH703" s="890"/>
      <c r="AI703" s="1085"/>
      <c r="AJ703" s="1085"/>
      <c r="AK703" s="1085"/>
      <c r="AL703" s="1085"/>
      <c r="AM703" s="1085"/>
      <c r="AN703" s="1085"/>
      <c r="AO703" s="1085"/>
      <c r="AP703" s="1085"/>
      <c r="AQ703" s="1085"/>
      <c r="AR703" s="1085"/>
      <c r="AS703" s="1085"/>
      <c r="AT703" s="1085"/>
      <c r="AU703" s="1085"/>
      <c r="AV703" s="1085"/>
      <c r="AW703" s="1085"/>
      <c r="AX703" s="1085"/>
      <c r="AY703" s="1085"/>
      <c r="AZ703" s="1085"/>
      <c r="BA703" s="1085"/>
      <c r="BB703" s="1085"/>
      <c r="BC703" s="1085"/>
      <c r="BD703" s="1085"/>
      <c r="BE703" s="1085"/>
      <c r="BF703" s="1085"/>
      <c r="BG703" s="1085"/>
      <c r="BH703" s="1085"/>
      <c r="BI703" s="1085"/>
      <c r="BJ703" s="1085"/>
      <c r="BK703" s="1085"/>
      <c r="BL703" s="1085"/>
      <c r="BM703" s="1085"/>
      <c r="BN703" s="1085"/>
      <c r="BO703" s="1085"/>
      <c r="BP703" s="1085"/>
      <c r="BQ703" s="1085"/>
      <c r="BR703" s="1085"/>
      <c r="BS703" s="1085"/>
      <c r="BT703" s="1085"/>
      <c r="BU703" s="1085"/>
      <c r="BV703" s="1085"/>
      <c r="BW703" s="1085"/>
      <c r="BX703" s="1085"/>
      <c r="BY703" s="1085"/>
      <c r="BZ703" s="1085"/>
      <c r="CA703" s="1085"/>
      <c r="CB703" s="1085"/>
      <c r="CC703" s="1085"/>
      <c r="CD703" s="1085"/>
      <c r="CE703" s="1085"/>
      <c r="CF703" s="1085"/>
      <c r="CG703" s="1085"/>
      <c r="CH703" s="1085"/>
      <c r="CI703" s="1085"/>
      <c r="CJ703" s="1085"/>
      <c r="CK703" s="1085"/>
      <c r="CL703" s="1085"/>
      <c r="CM703" s="1085"/>
      <c r="CN703" s="1085"/>
      <c r="CO703" s="1085"/>
      <c r="CP703" s="1085"/>
      <c r="CQ703" s="1085"/>
      <c r="CR703" s="1085"/>
      <c r="CS703" s="1085"/>
      <c r="CT703" s="1085"/>
      <c r="CU703" s="1085"/>
      <c r="CV703" s="1085"/>
      <c r="CW703" s="1085"/>
      <c r="CX703" s="1085"/>
      <c r="CY703" s="1085"/>
      <c r="CZ703" s="1085"/>
      <c r="DA703" s="1085"/>
      <c r="DB703" s="1085"/>
      <c r="DC703" s="1085"/>
      <c r="DD703" s="1085"/>
      <c r="DE703" s="1085"/>
      <c r="DF703" s="1085"/>
      <c r="DG703" s="1085"/>
      <c r="DH703" s="1085"/>
      <c r="DI703" s="1085"/>
      <c r="DJ703" s="1085"/>
      <c r="DK703" s="1085"/>
      <c r="DL703" s="1085"/>
      <c r="DM703" s="1085"/>
      <c r="DN703" s="1085"/>
      <c r="DO703" s="1085"/>
      <c r="DP703" s="1085"/>
      <c r="DQ703" s="1085"/>
      <c r="DR703" s="1085"/>
      <c r="DS703" s="1085"/>
      <c r="DT703" s="1085"/>
      <c r="DU703" s="1085"/>
      <c r="DV703" s="1085"/>
      <c r="DW703" s="1085"/>
      <c r="DX703" s="1085"/>
      <c r="DY703" s="1085"/>
      <c r="DZ703" s="1085"/>
      <c r="EA703" s="1085"/>
      <c r="EB703" s="1085"/>
      <c r="EC703" s="1085"/>
      <c r="ED703" s="1085"/>
      <c r="EE703" s="1085"/>
      <c r="EF703" s="1085"/>
      <c r="EG703" s="1085"/>
      <c r="EH703" s="1085"/>
      <c r="EI703" s="1085"/>
      <c r="EJ703" s="1085"/>
      <c r="EK703" s="1085"/>
      <c r="EL703" s="1085"/>
      <c r="EM703" s="1085"/>
      <c r="EN703" s="1085"/>
      <c r="EO703" s="1085"/>
      <c r="EP703" s="1085"/>
      <c r="EQ703" s="1085"/>
      <c r="ER703" s="1085"/>
      <c r="ES703" s="1085"/>
      <c r="ET703" s="1085"/>
      <c r="EU703" s="1085"/>
      <c r="EV703" s="1085"/>
      <c r="EW703" s="1085"/>
      <c r="EX703" s="1085"/>
      <c r="EY703" s="1085"/>
      <c r="EZ703" s="1085"/>
      <c r="FA703" s="1085"/>
      <c r="FB703" s="1085"/>
      <c r="FC703" s="1085"/>
      <c r="FD703" s="1085"/>
      <c r="FE703" s="1085"/>
      <c r="FF703" s="1085"/>
      <c r="FG703" s="1085"/>
      <c r="FH703" s="1085"/>
      <c r="FI703" s="1085"/>
      <c r="FJ703" s="1085"/>
      <c r="FK703" s="1085"/>
      <c r="FL703" s="1085"/>
      <c r="FM703" s="1085"/>
      <c r="FN703" s="1085"/>
      <c r="FO703" s="1085"/>
      <c r="FP703" s="1085"/>
      <c r="FQ703" s="1085"/>
      <c r="FR703" s="1085"/>
      <c r="FS703" s="1085"/>
      <c r="FT703" s="1085"/>
      <c r="FU703" s="1085"/>
      <c r="FV703" s="1085"/>
      <c r="FW703" s="1085"/>
      <c r="FX703" s="1085"/>
      <c r="FY703" s="1085"/>
      <c r="FZ703" s="1085"/>
      <c r="GA703" s="1085"/>
      <c r="GB703" s="1085"/>
      <c r="GC703" s="1085"/>
      <c r="GD703" s="1085"/>
      <c r="GE703" s="1085"/>
      <c r="GF703" s="1085"/>
      <c r="GG703" s="1085"/>
      <c r="GH703" s="1085"/>
      <c r="GI703" s="1085"/>
      <c r="GJ703" s="1085"/>
      <c r="GK703" s="1085"/>
      <c r="GL703" s="1085"/>
      <c r="GM703" s="1085"/>
      <c r="GN703" s="1085"/>
      <c r="GO703" s="1085"/>
      <c r="GP703" s="1085"/>
      <c r="GQ703" s="1085"/>
      <c r="GR703" s="1085"/>
      <c r="GS703" s="1085"/>
      <c r="GT703" s="1085"/>
      <c r="GU703" s="1085"/>
      <c r="GV703" s="1085"/>
      <c r="GW703" s="1085"/>
      <c r="GX703" s="1085"/>
      <c r="GY703" s="1085"/>
      <c r="GZ703" s="1085"/>
      <c r="HA703" s="1085"/>
      <c r="HB703" s="1085"/>
      <c r="HC703" s="1085"/>
      <c r="HD703" s="1085"/>
      <c r="HE703" s="1085"/>
      <c r="HF703" s="1085"/>
      <c r="HG703" s="1085"/>
      <c r="HH703" s="1085"/>
      <c r="HI703" s="1085"/>
      <c r="HJ703" s="1085"/>
      <c r="HK703" s="1085"/>
      <c r="HL703" s="1085"/>
      <c r="HM703" s="1085"/>
      <c r="HN703" s="1085"/>
      <c r="HO703" s="1085"/>
      <c r="HP703" s="1085"/>
      <c r="HQ703" s="1085"/>
      <c r="HR703" s="1085"/>
      <c r="HS703" s="1085"/>
      <c r="HT703" s="1085"/>
      <c r="HU703" s="1085"/>
      <c r="HV703" s="1085"/>
      <c r="HW703" s="1085"/>
      <c r="HX703" s="1085"/>
      <c r="HY703" s="1085"/>
      <c r="HZ703" s="1085"/>
      <c r="IA703" s="1085"/>
      <c r="IB703" s="1085"/>
      <c r="IC703" s="1085"/>
      <c r="ID703" s="1085"/>
      <c r="IE703" s="1085"/>
      <c r="IF703" s="1085"/>
      <c r="IG703" s="1085"/>
      <c r="IH703" s="1085"/>
      <c r="II703" s="1085"/>
      <c r="IJ703" s="1085"/>
      <c r="IK703" s="1085"/>
      <c r="IL703" s="1085"/>
      <c r="IM703" s="1085"/>
      <c r="IN703" s="1085"/>
      <c r="IO703" s="1085"/>
      <c r="IP703" s="1085"/>
      <c r="IQ703" s="1085"/>
      <c r="IR703" s="1085"/>
      <c r="IS703" s="1085"/>
      <c r="IT703" s="1085"/>
      <c r="IU703" s="1085"/>
      <c r="IV703" s="1085"/>
    </row>
    <row r="704" spans="1:256" s="2151" customFormat="1" ht="95.25" customHeight="1">
      <c r="A704" s="890"/>
      <c r="B704" s="2310" t="s">
        <v>5267</v>
      </c>
      <c r="C704" s="599" t="s">
        <v>5422</v>
      </c>
      <c r="D704" s="599" t="s">
        <v>5421</v>
      </c>
      <c r="E704" s="599" t="s">
        <v>5330</v>
      </c>
      <c r="F704" s="599" t="s">
        <v>5423</v>
      </c>
      <c r="G704" s="890"/>
      <c r="H704" s="890"/>
      <c r="I704" s="890"/>
      <c r="J704" s="890" t="s">
        <v>5492</v>
      </c>
      <c r="K704" s="1337" t="s">
        <v>5493</v>
      </c>
      <c r="L704" s="890"/>
      <c r="M704" s="599" t="s">
        <v>5297</v>
      </c>
      <c r="N704" s="890"/>
      <c r="O704" s="890"/>
      <c r="P704" s="890"/>
      <c r="Q704" s="890"/>
      <c r="R704" s="890"/>
      <c r="S704" s="890"/>
      <c r="T704" s="890"/>
      <c r="U704" s="890"/>
      <c r="V704" s="890"/>
      <c r="W704" s="890"/>
      <c r="X704" s="890"/>
      <c r="Y704" s="890"/>
      <c r="Z704" s="890"/>
      <c r="AA704" s="890"/>
      <c r="AB704" s="890"/>
      <c r="AC704" s="890"/>
      <c r="AD704" s="890"/>
      <c r="AE704" s="890"/>
      <c r="AF704" s="890"/>
      <c r="AG704" s="890"/>
      <c r="AH704" s="890"/>
      <c r="AI704" s="1085"/>
      <c r="AJ704" s="1085"/>
      <c r="AK704" s="1085"/>
      <c r="AL704" s="1085"/>
      <c r="AM704" s="1085"/>
      <c r="AN704" s="1085"/>
      <c r="AO704" s="1085"/>
      <c r="AP704" s="1085"/>
      <c r="AQ704" s="1085"/>
      <c r="AR704" s="1085"/>
      <c r="AS704" s="1085"/>
      <c r="AT704" s="1085"/>
      <c r="AU704" s="1085"/>
      <c r="AV704" s="1085"/>
      <c r="AW704" s="1085"/>
      <c r="AX704" s="1085"/>
      <c r="AY704" s="1085"/>
      <c r="AZ704" s="1085"/>
      <c r="BA704" s="1085"/>
      <c r="BB704" s="1085"/>
      <c r="BC704" s="1085"/>
      <c r="BD704" s="1085"/>
      <c r="BE704" s="1085"/>
      <c r="BF704" s="1085"/>
      <c r="BG704" s="1085"/>
      <c r="BH704" s="1085"/>
      <c r="BI704" s="1085"/>
      <c r="BJ704" s="1085"/>
      <c r="BK704" s="1085"/>
      <c r="BL704" s="1085"/>
      <c r="BM704" s="1085"/>
      <c r="BN704" s="1085"/>
      <c r="BO704" s="1085"/>
      <c r="BP704" s="1085"/>
      <c r="BQ704" s="1085"/>
      <c r="BR704" s="1085"/>
      <c r="BS704" s="1085"/>
      <c r="BT704" s="1085"/>
      <c r="BU704" s="1085"/>
      <c r="BV704" s="1085"/>
      <c r="BW704" s="1085"/>
      <c r="BX704" s="1085"/>
      <c r="BY704" s="1085"/>
      <c r="BZ704" s="1085"/>
      <c r="CA704" s="1085"/>
      <c r="CB704" s="1085"/>
      <c r="CC704" s="1085"/>
      <c r="CD704" s="1085"/>
      <c r="CE704" s="1085"/>
      <c r="CF704" s="1085"/>
      <c r="CG704" s="1085"/>
      <c r="CH704" s="1085"/>
      <c r="CI704" s="1085"/>
      <c r="CJ704" s="1085"/>
      <c r="CK704" s="1085"/>
      <c r="CL704" s="1085"/>
      <c r="CM704" s="1085"/>
      <c r="CN704" s="1085"/>
      <c r="CO704" s="1085"/>
      <c r="CP704" s="1085"/>
      <c r="CQ704" s="1085"/>
      <c r="CR704" s="1085"/>
      <c r="CS704" s="1085"/>
      <c r="CT704" s="1085"/>
      <c r="CU704" s="1085"/>
      <c r="CV704" s="1085"/>
      <c r="CW704" s="1085"/>
      <c r="CX704" s="1085"/>
      <c r="CY704" s="1085"/>
      <c r="CZ704" s="1085"/>
      <c r="DA704" s="1085"/>
      <c r="DB704" s="1085"/>
      <c r="DC704" s="1085"/>
      <c r="DD704" s="1085"/>
      <c r="DE704" s="1085"/>
      <c r="DF704" s="1085"/>
      <c r="DG704" s="1085"/>
      <c r="DH704" s="1085"/>
      <c r="DI704" s="1085"/>
      <c r="DJ704" s="1085"/>
      <c r="DK704" s="1085"/>
      <c r="DL704" s="1085"/>
      <c r="DM704" s="1085"/>
      <c r="DN704" s="1085"/>
      <c r="DO704" s="1085"/>
      <c r="DP704" s="1085"/>
      <c r="DQ704" s="1085"/>
      <c r="DR704" s="1085"/>
      <c r="DS704" s="1085"/>
      <c r="DT704" s="1085"/>
      <c r="DU704" s="1085"/>
      <c r="DV704" s="1085"/>
      <c r="DW704" s="1085"/>
      <c r="DX704" s="1085"/>
      <c r="DY704" s="1085"/>
      <c r="DZ704" s="1085"/>
      <c r="EA704" s="1085"/>
      <c r="EB704" s="1085"/>
      <c r="EC704" s="1085"/>
      <c r="ED704" s="1085"/>
      <c r="EE704" s="1085"/>
      <c r="EF704" s="1085"/>
      <c r="EG704" s="1085"/>
      <c r="EH704" s="1085"/>
      <c r="EI704" s="1085"/>
      <c r="EJ704" s="1085"/>
      <c r="EK704" s="1085"/>
      <c r="EL704" s="1085"/>
      <c r="EM704" s="1085"/>
      <c r="EN704" s="1085"/>
      <c r="EO704" s="1085"/>
      <c r="EP704" s="1085"/>
      <c r="EQ704" s="1085"/>
      <c r="ER704" s="1085"/>
      <c r="ES704" s="1085"/>
      <c r="ET704" s="1085"/>
      <c r="EU704" s="1085"/>
      <c r="EV704" s="1085"/>
      <c r="EW704" s="1085"/>
      <c r="EX704" s="1085"/>
      <c r="EY704" s="1085"/>
      <c r="EZ704" s="1085"/>
      <c r="FA704" s="1085"/>
      <c r="FB704" s="1085"/>
      <c r="FC704" s="1085"/>
      <c r="FD704" s="1085"/>
      <c r="FE704" s="1085"/>
      <c r="FF704" s="1085"/>
      <c r="FG704" s="1085"/>
      <c r="FH704" s="1085"/>
      <c r="FI704" s="1085"/>
      <c r="FJ704" s="1085"/>
      <c r="FK704" s="1085"/>
      <c r="FL704" s="1085"/>
      <c r="FM704" s="1085"/>
      <c r="FN704" s="1085"/>
      <c r="FO704" s="1085"/>
      <c r="FP704" s="1085"/>
      <c r="FQ704" s="1085"/>
      <c r="FR704" s="1085"/>
      <c r="FS704" s="1085"/>
      <c r="FT704" s="1085"/>
      <c r="FU704" s="1085"/>
      <c r="FV704" s="1085"/>
      <c r="FW704" s="1085"/>
      <c r="FX704" s="1085"/>
      <c r="FY704" s="1085"/>
      <c r="FZ704" s="1085"/>
      <c r="GA704" s="1085"/>
      <c r="GB704" s="1085"/>
      <c r="GC704" s="1085"/>
      <c r="GD704" s="1085"/>
      <c r="GE704" s="1085"/>
      <c r="GF704" s="1085"/>
      <c r="GG704" s="1085"/>
      <c r="GH704" s="1085"/>
      <c r="GI704" s="1085"/>
      <c r="GJ704" s="1085"/>
      <c r="GK704" s="1085"/>
      <c r="GL704" s="1085"/>
      <c r="GM704" s="1085"/>
      <c r="GN704" s="1085"/>
      <c r="GO704" s="1085"/>
      <c r="GP704" s="1085"/>
      <c r="GQ704" s="1085"/>
      <c r="GR704" s="1085"/>
      <c r="GS704" s="1085"/>
      <c r="GT704" s="1085"/>
      <c r="GU704" s="1085"/>
      <c r="GV704" s="1085"/>
      <c r="GW704" s="1085"/>
      <c r="GX704" s="1085"/>
      <c r="GY704" s="1085"/>
      <c r="GZ704" s="1085"/>
      <c r="HA704" s="1085"/>
      <c r="HB704" s="1085"/>
      <c r="HC704" s="1085"/>
      <c r="HD704" s="1085"/>
      <c r="HE704" s="1085"/>
      <c r="HF704" s="1085"/>
      <c r="HG704" s="1085"/>
      <c r="HH704" s="1085"/>
      <c r="HI704" s="1085"/>
      <c r="HJ704" s="1085"/>
      <c r="HK704" s="1085"/>
      <c r="HL704" s="1085"/>
      <c r="HM704" s="1085"/>
      <c r="HN704" s="1085"/>
      <c r="HO704" s="1085"/>
      <c r="HP704" s="1085"/>
      <c r="HQ704" s="1085"/>
      <c r="HR704" s="1085"/>
      <c r="HS704" s="1085"/>
      <c r="HT704" s="1085"/>
      <c r="HU704" s="1085"/>
      <c r="HV704" s="1085"/>
      <c r="HW704" s="1085"/>
      <c r="HX704" s="1085"/>
      <c r="HY704" s="1085"/>
      <c r="HZ704" s="1085"/>
      <c r="IA704" s="1085"/>
      <c r="IB704" s="1085"/>
      <c r="IC704" s="1085"/>
      <c r="ID704" s="1085"/>
      <c r="IE704" s="1085"/>
      <c r="IF704" s="1085"/>
      <c r="IG704" s="1085"/>
      <c r="IH704" s="1085"/>
      <c r="II704" s="1085"/>
      <c r="IJ704" s="1085"/>
      <c r="IK704" s="1085"/>
      <c r="IL704" s="1085"/>
      <c r="IM704" s="1085"/>
      <c r="IN704" s="1085"/>
      <c r="IO704" s="1085"/>
      <c r="IP704" s="1085"/>
      <c r="IQ704" s="1085"/>
      <c r="IR704" s="1085"/>
      <c r="IS704" s="1085"/>
      <c r="IT704" s="1085"/>
      <c r="IU704" s="1085"/>
      <c r="IV704" s="1085"/>
    </row>
    <row r="705" spans="1:261" s="2151" customFormat="1" ht="93.75" customHeight="1">
      <c r="A705" s="890"/>
      <c r="B705" s="2310" t="s">
        <v>5268</v>
      </c>
      <c r="C705" s="599" t="s">
        <v>5269</v>
      </c>
      <c r="D705" s="599" t="s">
        <v>5270</v>
      </c>
      <c r="E705" s="599"/>
      <c r="F705" s="599" t="s">
        <v>5272</v>
      </c>
      <c r="G705" s="890"/>
      <c r="H705" s="890"/>
      <c r="I705" s="890" t="s">
        <v>5271</v>
      </c>
      <c r="J705" s="1808"/>
      <c r="K705" s="1337"/>
      <c r="L705" s="890"/>
      <c r="M705" s="890"/>
      <c r="N705" s="890"/>
      <c r="O705" s="890"/>
      <c r="P705" s="890"/>
      <c r="Q705" s="890"/>
      <c r="R705" s="890"/>
      <c r="S705" s="890"/>
      <c r="T705" s="890"/>
      <c r="U705" s="890"/>
      <c r="V705" s="890"/>
      <c r="W705" s="890"/>
      <c r="X705" s="890"/>
      <c r="Y705" s="890"/>
      <c r="Z705" s="890"/>
      <c r="AA705" s="890"/>
      <c r="AB705" s="890"/>
      <c r="AC705" s="890"/>
      <c r="AD705" s="890"/>
      <c r="AE705" s="890"/>
      <c r="AF705" s="890"/>
      <c r="AG705" s="890"/>
      <c r="AH705" s="890"/>
      <c r="AI705" s="1085"/>
      <c r="AJ705" s="1085"/>
      <c r="AK705" s="1085"/>
      <c r="AL705" s="1085"/>
      <c r="AM705" s="1085"/>
      <c r="AN705" s="1085"/>
      <c r="AO705" s="1085"/>
      <c r="AP705" s="1085"/>
      <c r="AQ705" s="1085"/>
      <c r="AR705" s="1085"/>
      <c r="AS705" s="1085"/>
      <c r="AT705" s="1085"/>
      <c r="AU705" s="1085"/>
      <c r="AV705" s="1085"/>
      <c r="AW705" s="1085"/>
      <c r="AX705" s="1085"/>
      <c r="AY705" s="1085"/>
      <c r="AZ705" s="1085"/>
      <c r="BA705" s="1085"/>
      <c r="BB705" s="1085"/>
      <c r="BC705" s="1085"/>
      <c r="BD705" s="1085"/>
      <c r="BE705" s="1085"/>
      <c r="BF705" s="1085"/>
      <c r="BG705" s="1085"/>
      <c r="BH705" s="1085"/>
      <c r="BI705" s="1085"/>
      <c r="BJ705" s="1085"/>
      <c r="BK705" s="1085"/>
      <c r="BL705" s="1085"/>
      <c r="BM705" s="1085"/>
      <c r="BN705" s="1085"/>
      <c r="BO705" s="1085"/>
      <c r="BP705" s="1085"/>
      <c r="BQ705" s="1085"/>
      <c r="BR705" s="1085"/>
      <c r="BS705" s="1085"/>
      <c r="BT705" s="1085"/>
      <c r="BU705" s="1085"/>
      <c r="BV705" s="1085"/>
      <c r="BW705" s="1085"/>
      <c r="BX705" s="1085"/>
      <c r="BY705" s="1085"/>
      <c r="BZ705" s="1085"/>
      <c r="CA705" s="1085"/>
      <c r="CB705" s="1085"/>
      <c r="CC705" s="1085"/>
      <c r="CD705" s="1085"/>
      <c r="CE705" s="1085"/>
      <c r="CF705" s="1085"/>
      <c r="CG705" s="1085"/>
      <c r="CH705" s="1085"/>
      <c r="CI705" s="1085"/>
      <c r="CJ705" s="1085"/>
      <c r="CK705" s="1085"/>
      <c r="CL705" s="1085"/>
      <c r="CM705" s="1085"/>
      <c r="CN705" s="1085"/>
      <c r="CO705" s="1085"/>
      <c r="CP705" s="1085"/>
      <c r="CQ705" s="1085"/>
      <c r="CR705" s="1085"/>
      <c r="CS705" s="1085"/>
      <c r="CT705" s="1085"/>
      <c r="CU705" s="1085"/>
      <c r="CV705" s="1085"/>
      <c r="CW705" s="1085"/>
      <c r="CX705" s="1085"/>
      <c r="CY705" s="1085"/>
      <c r="CZ705" s="1085"/>
      <c r="DA705" s="1085"/>
      <c r="DB705" s="1085"/>
      <c r="DC705" s="1085"/>
      <c r="DD705" s="1085"/>
      <c r="DE705" s="1085"/>
      <c r="DF705" s="1085"/>
      <c r="DG705" s="1085"/>
      <c r="DH705" s="1085"/>
      <c r="DI705" s="1085"/>
      <c r="DJ705" s="1085"/>
      <c r="DK705" s="1085"/>
      <c r="DL705" s="1085"/>
      <c r="DM705" s="1085"/>
      <c r="DN705" s="1085"/>
      <c r="DO705" s="1085"/>
      <c r="DP705" s="1085"/>
      <c r="DQ705" s="1085"/>
      <c r="DR705" s="1085"/>
      <c r="DS705" s="1085"/>
      <c r="DT705" s="1085"/>
      <c r="DU705" s="1085"/>
      <c r="DV705" s="1085"/>
      <c r="DW705" s="1085"/>
      <c r="DX705" s="1085"/>
      <c r="DY705" s="1085"/>
      <c r="DZ705" s="1085"/>
      <c r="EA705" s="1085"/>
      <c r="EB705" s="1085"/>
      <c r="EC705" s="1085"/>
      <c r="ED705" s="1085"/>
      <c r="EE705" s="1085"/>
      <c r="EF705" s="1085"/>
      <c r="EG705" s="1085"/>
      <c r="EH705" s="1085"/>
      <c r="EI705" s="1085"/>
      <c r="EJ705" s="1085"/>
      <c r="EK705" s="1085"/>
      <c r="EL705" s="1085"/>
      <c r="EM705" s="1085"/>
      <c r="EN705" s="1085"/>
      <c r="EO705" s="1085"/>
      <c r="EP705" s="1085"/>
      <c r="EQ705" s="1085"/>
      <c r="ER705" s="1085"/>
      <c r="ES705" s="1085"/>
      <c r="ET705" s="1085"/>
      <c r="EU705" s="1085"/>
      <c r="EV705" s="1085"/>
      <c r="EW705" s="1085"/>
      <c r="EX705" s="1085"/>
      <c r="EY705" s="1085"/>
      <c r="EZ705" s="1085"/>
      <c r="FA705" s="1085"/>
      <c r="FB705" s="1085"/>
      <c r="FC705" s="1085"/>
      <c r="FD705" s="1085"/>
      <c r="FE705" s="1085"/>
      <c r="FF705" s="1085"/>
      <c r="FG705" s="1085"/>
      <c r="FH705" s="1085"/>
      <c r="FI705" s="1085"/>
      <c r="FJ705" s="1085"/>
      <c r="FK705" s="1085"/>
      <c r="FL705" s="1085"/>
      <c r="FM705" s="1085"/>
      <c r="FN705" s="1085"/>
      <c r="FO705" s="1085"/>
      <c r="FP705" s="1085"/>
      <c r="FQ705" s="1085"/>
      <c r="FR705" s="1085"/>
      <c r="FS705" s="1085"/>
      <c r="FT705" s="1085"/>
      <c r="FU705" s="1085"/>
      <c r="FV705" s="1085"/>
      <c r="FW705" s="1085"/>
      <c r="FX705" s="1085"/>
      <c r="FY705" s="1085"/>
      <c r="FZ705" s="1085"/>
      <c r="GA705" s="1085"/>
      <c r="GB705" s="1085"/>
      <c r="GC705" s="1085"/>
      <c r="GD705" s="1085"/>
      <c r="GE705" s="1085"/>
      <c r="GF705" s="1085"/>
      <c r="GG705" s="1085"/>
      <c r="GH705" s="1085"/>
      <c r="GI705" s="1085"/>
      <c r="GJ705" s="1085"/>
      <c r="GK705" s="1085"/>
      <c r="GL705" s="1085"/>
      <c r="GM705" s="1085"/>
      <c r="GN705" s="1085"/>
      <c r="GO705" s="1085"/>
      <c r="GP705" s="1085"/>
      <c r="GQ705" s="1085"/>
      <c r="GR705" s="1085"/>
      <c r="GS705" s="1085"/>
      <c r="GT705" s="1085"/>
      <c r="GU705" s="1085"/>
      <c r="GV705" s="1085"/>
      <c r="GW705" s="1085"/>
      <c r="GX705" s="1085"/>
      <c r="GY705" s="1085"/>
      <c r="GZ705" s="1085"/>
      <c r="HA705" s="1085"/>
      <c r="HB705" s="1085"/>
      <c r="HC705" s="1085"/>
      <c r="HD705" s="1085"/>
      <c r="HE705" s="1085"/>
      <c r="HF705" s="1085"/>
      <c r="HG705" s="1085"/>
      <c r="HH705" s="1085"/>
      <c r="HI705" s="1085"/>
      <c r="HJ705" s="1085"/>
      <c r="HK705" s="1085"/>
      <c r="HL705" s="1085"/>
      <c r="HM705" s="1085"/>
      <c r="HN705" s="1085"/>
      <c r="HO705" s="1085"/>
      <c r="HP705" s="1085"/>
      <c r="HQ705" s="1085"/>
      <c r="HR705" s="1085"/>
      <c r="HS705" s="1085"/>
      <c r="HT705" s="1085"/>
      <c r="HU705" s="1085"/>
      <c r="HV705" s="1085"/>
      <c r="HW705" s="1085"/>
      <c r="HX705" s="1085"/>
      <c r="HY705" s="1085"/>
      <c r="HZ705" s="1085"/>
      <c r="IA705" s="1085"/>
      <c r="IB705" s="1085"/>
      <c r="IC705" s="1085"/>
      <c r="ID705" s="1085"/>
      <c r="IE705" s="1085"/>
      <c r="IF705" s="1085"/>
      <c r="IG705" s="1085"/>
      <c r="IH705" s="1085"/>
      <c r="II705" s="1085"/>
      <c r="IJ705" s="1085"/>
      <c r="IK705" s="1085"/>
      <c r="IL705" s="1085"/>
      <c r="IM705" s="1085"/>
      <c r="IN705" s="1085"/>
      <c r="IO705" s="1085"/>
      <c r="IP705" s="1085"/>
      <c r="IQ705" s="1085"/>
      <c r="IR705" s="1085"/>
      <c r="IS705" s="1085"/>
      <c r="IT705" s="1085"/>
      <c r="IU705" s="1085"/>
      <c r="IV705" s="1085"/>
    </row>
    <row r="706" spans="1:261" s="2151" customFormat="1" ht="196.5" customHeight="1">
      <c r="A706" s="890"/>
      <c r="B706" s="2496" t="s">
        <v>5273</v>
      </c>
      <c r="C706" s="2483" t="s">
        <v>5274</v>
      </c>
      <c r="D706" s="2483" t="s">
        <v>5585</v>
      </c>
      <c r="E706" s="599"/>
      <c r="F706" s="2483" t="s">
        <v>5275</v>
      </c>
      <c r="G706" s="890"/>
      <c r="H706" s="890"/>
      <c r="I706" s="890"/>
      <c r="J706" s="890"/>
      <c r="K706" s="1337"/>
      <c r="L706" s="890"/>
      <c r="M706" s="1880" t="s">
        <v>5278</v>
      </c>
      <c r="N706" s="2255" t="s">
        <v>5495</v>
      </c>
      <c r="O706" s="890">
        <v>4700000</v>
      </c>
      <c r="P706" s="890">
        <f>200000                      +550000                              +180000                       +550000                         +140000                               +450000                        +1083000</f>
        <v>3153000</v>
      </c>
      <c r="Q706" s="502" t="s">
        <v>5500</v>
      </c>
      <c r="R706" s="890" t="s">
        <v>5455</v>
      </c>
      <c r="S706" s="890" t="s">
        <v>5456</v>
      </c>
      <c r="T706" s="890"/>
      <c r="U706" s="890"/>
      <c r="V706" s="890"/>
      <c r="W706" s="890"/>
      <c r="X706" s="890"/>
      <c r="Y706" s="890"/>
      <c r="Z706" s="890"/>
      <c r="AA706" s="890"/>
      <c r="AB706" s="890"/>
      <c r="AC706" s="890"/>
      <c r="AD706" s="890"/>
      <c r="AE706" s="890"/>
      <c r="AF706" s="890"/>
      <c r="AG706" s="890"/>
      <c r="AH706" s="890"/>
      <c r="AI706" s="1085"/>
      <c r="AJ706" s="1085"/>
      <c r="AK706" s="1085"/>
      <c r="AL706" s="1085"/>
      <c r="AM706" s="1085"/>
      <c r="AN706" s="1085"/>
      <c r="AO706" s="1085"/>
      <c r="AP706" s="1085"/>
      <c r="AQ706" s="1085"/>
      <c r="AR706" s="1085"/>
      <c r="AS706" s="1085"/>
      <c r="AT706" s="1085"/>
      <c r="AU706" s="1085"/>
      <c r="AV706" s="1085"/>
      <c r="AW706" s="1085"/>
      <c r="AX706" s="1085"/>
      <c r="AY706" s="1085"/>
      <c r="AZ706" s="1085"/>
      <c r="BA706" s="1085"/>
      <c r="BB706" s="1085"/>
      <c r="BC706" s="1085"/>
      <c r="BD706" s="1085"/>
      <c r="BE706" s="1085"/>
      <c r="BF706" s="1085"/>
      <c r="BG706" s="1085"/>
      <c r="BH706" s="1085"/>
      <c r="BI706" s="1085"/>
      <c r="BJ706" s="1085"/>
      <c r="BK706" s="1085"/>
      <c r="BL706" s="1085"/>
      <c r="BM706" s="1085"/>
      <c r="BN706" s="1085"/>
      <c r="BO706" s="1085"/>
      <c r="BP706" s="1085"/>
      <c r="BQ706" s="1085"/>
      <c r="BR706" s="1085"/>
      <c r="BS706" s="1085"/>
      <c r="BT706" s="1085"/>
      <c r="BU706" s="1085"/>
      <c r="BV706" s="1085"/>
      <c r="BW706" s="1085"/>
      <c r="BX706" s="1085"/>
      <c r="BY706" s="1085"/>
      <c r="BZ706" s="1085"/>
      <c r="CA706" s="1085"/>
      <c r="CB706" s="1085"/>
      <c r="CC706" s="1085"/>
      <c r="CD706" s="1085"/>
      <c r="CE706" s="1085"/>
      <c r="CF706" s="1085"/>
      <c r="CG706" s="1085"/>
      <c r="CH706" s="1085"/>
      <c r="CI706" s="1085"/>
      <c r="CJ706" s="1085"/>
      <c r="CK706" s="1085"/>
      <c r="CL706" s="1085"/>
      <c r="CM706" s="1085"/>
      <c r="CN706" s="1085"/>
      <c r="CO706" s="1085"/>
      <c r="CP706" s="1085"/>
      <c r="CQ706" s="1085"/>
      <c r="CR706" s="1085"/>
      <c r="CS706" s="1085"/>
      <c r="CT706" s="1085"/>
      <c r="CU706" s="1085"/>
      <c r="CV706" s="1085"/>
      <c r="CW706" s="1085"/>
      <c r="CX706" s="1085"/>
      <c r="CY706" s="1085"/>
      <c r="CZ706" s="1085"/>
      <c r="DA706" s="1085"/>
      <c r="DB706" s="1085"/>
      <c r="DC706" s="1085"/>
      <c r="DD706" s="1085"/>
      <c r="DE706" s="1085"/>
      <c r="DF706" s="1085"/>
      <c r="DG706" s="1085"/>
      <c r="DH706" s="1085"/>
      <c r="DI706" s="1085"/>
      <c r="DJ706" s="1085"/>
      <c r="DK706" s="1085"/>
      <c r="DL706" s="1085"/>
      <c r="DM706" s="1085"/>
      <c r="DN706" s="1085"/>
      <c r="DO706" s="1085"/>
      <c r="DP706" s="1085"/>
      <c r="DQ706" s="1085"/>
      <c r="DR706" s="1085"/>
      <c r="DS706" s="1085"/>
      <c r="DT706" s="1085"/>
      <c r="DU706" s="1085"/>
      <c r="DV706" s="1085"/>
      <c r="DW706" s="1085"/>
      <c r="DX706" s="1085"/>
      <c r="DY706" s="1085"/>
      <c r="DZ706" s="1085"/>
      <c r="EA706" s="1085"/>
      <c r="EB706" s="1085"/>
      <c r="EC706" s="1085"/>
      <c r="ED706" s="1085"/>
      <c r="EE706" s="1085"/>
      <c r="EF706" s="1085"/>
      <c r="EG706" s="1085"/>
      <c r="EH706" s="1085"/>
      <c r="EI706" s="1085"/>
      <c r="EJ706" s="1085"/>
      <c r="EK706" s="1085"/>
      <c r="EL706" s="1085"/>
      <c r="EM706" s="1085"/>
      <c r="EN706" s="1085"/>
      <c r="EO706" s="1085"/>
      <c r="EP706" s="1085"/>
      <c r="EQ706" s="1085"/>
      <c r="ER706" s="1085"/>
      <c r="ES706" s="1085"/>
      <c r="ET706" s="1085"/>
      <c r="EU706" s="1085"/>
      <c r="EV706" s="1085"/>
      <c r="EW706" s="1085"/>
      <c r="EX706" s="1085"/>
      <c r="EY706" s="1085"/>
      <c r="EZ706" s="1085"/>
      <c r="FA706" s="1085"/>
      <c r="FB706" s="1085"/>
      <c r="FC706" s="1085"/>
      <c r="FD706" s="1085"/>
      <c r="FE706" s="1085"/>
      <c r="FF706" s="1085"/>
      <c r="FG706" s="1085"/>
      <c r="FH706" s="1085"/>
      <c r="FI706" s="1085"/>
      <c r="FJ706" s="1085"/>
      <c r="FK706" s="1085"/>
      <c r="FL706" s="1085"/>
      <c r="FM706" s="1085"/>
      <c r="FN706" s="1085"/>
      <c r="FO706" s="1085"/>
      <c r="FP706" s="1085"/>
      <c r="FQ706" s="1085"/>
      <c r="FR706" s="1085"/>
      <c r="FS706" s="1085"/>
      <c r="FT706" s="1085"/>
      <c r="FU706" s="1085"/>
      <c r="FV706" s="1085"/>
      <c r="FW706" s="1085"/>
      <c r="FX706" s="1085"/>
      <c r="FY706" s="1085"/>
      <c r="FZ706" s="1085"/>
      <c r="GA706" s="1085"/>
      <c r="GB706" s="1085"/>
      <c r="GC706" s="1085"/>
      <c r="GD706" s="1085"/>
      <c r="GE706" s="1085"/>
      <c r="GF706" s="1085"/>
      <c r="GG706" s="1085"/>
      <c r="GH706" s="1085"/>
      <c r="GI706" s="1085"/>
      <c r="GJ706" s="1085"/>
      <c r="GK706" s="1085"/>
      <c r="GL706" s="1085"/>
      <c r="GM706" s="1085"/>
      <c r="GN706" s="1085"/>
      <c r="GO706" s="1085"/>
      <c r="GP706" s="1085"/>
      <c r="GQ706" s="1085"/>
      <c r="GR706" s="1085"/>
      <c r="GS706" s="1085"/>
      <c r="GT706" s="1085"/>
      <c r="GU706" s="1085"/>
      <c r="GV706" s="1085"/>
      <c r="GW706" s="1085"/>
      <c r="GX706" s="1085"/>
      <c r="GY706" s="1085"/>
      <c r="GZ706" s="1085"/>
      <c r="HA706" s="1085"/>
      <c r="HB706" s="1085"/>
      <c r="HC706" s="1085"/>
      <c r="HD706" s="1085"/>
      <c r="HE706" s="1085"/>
      <c r="HF706" s="1085"/>
      <c r="HG706" s="1085"/>
      <c r="HH706" s="1085"/>
      <c r="HI706" s="1085"/>
      <c r="HJ706" s="1085"/>
      <c r="HK706" s="1085"/>
      <c r="HL706" s="1085"/>
      <c r="HM706" s="1085"/>
      <c r="HN706" s="1085"/>
      <c r="HO706" s="1085"/>
      <c r="HP706" s="1085"/>
      <c r="HQ706" s="1085"/>
      <c r="HR706" s="1085"/>
      <c r="HS706" s="1085"/>
      <c r="HT706" s="1085"/>
      <c r="HU706" s="1085"/>
      <c r="HV706" s="1085"/>
      <c r="HW706" s="1085"/>
      <c r="HX706" s="1085"/>
      <c r="HY706" s="1085"/>
      <c r="HZ706" s="1085"/>
      <c r="IA706" s="1085"/>
      <c r="IB706" s="1085"/>
      <c r="IC706" s="1085"/>
      <c r="ID706" s="1085"/>
      <c r="IE706" s="1085"/>
      <c r="IF706" s="1085"/>
      <c r="IG706" s="1085"/>
      <c r="IH706" s="1085"/>
      <c r="II706" s="1085"/>
      <c r="IJ706" s="1085"/>
      <c r="IK706" s="1085"/>
      <c r="IL706" s="1085"/>
      <c r="IM706" s="1085"/>
      <c r="IN706" s="1085"/>
      <c r="IO706" s="1085"/>
      <c r="IP706" s="1085"/>
      <c r="IQ706" s="1085"/>
      <c r="IR706" s="1085"/>
      <c r="IS706" s="1085"/>
      <c r="IT706" s="1085"/>
      <c r="IU706" s="1085"/>
      <c r="IV706" s="1085"/>
    </row>
    <row r="707" spans="1:261" s="2151" customFormat="1" ht="153.75" customHeight="1">
      <c r="A707" s="890"/>
      <c r="B707" s="2497"/>
      <c r="C707" s="2476"/>
      <c r="D707" s="2476"/>
      <c r="E707" s="890" t="s">
        <v>5277</v>
      </c>
      <c r="F707" s="2476"/>
      <c r="G707" s="890"/>
      <c r="H707" s="1889"/>
      <c r="I707" s="1791" t="s">
        <v>5445</v>
      </c>
      <c r="J707" s="1889" t="s">
        <v>5610</v>
      </c>
      <c r="K707" s="1793" t="s">
        <v>5611</v>
      </c>
      <c r="L707" s="890"/>
      <c r="M707" s="2191" t="s">
        <v>5467</v>
      </c>
      <c r="N707" s="599" t="s">
        <v>5389</v>
      </c>
      <c r="O707" s="599">
        <v>4700000</v>
      </c>
      <c r="P707" s="890">
        <f>200000                       +550000                           +180000                           +550000</f>
        <v>1480000</v>
      </c>
      <c r="Q707" s="2082" t="s">
        <v>5499</v>
      </c>
      <c r="R707" s="890"/>
      <c r="S707" s="890"/>
      <c r="T707" s="890"/>
      <c r="U707" s="890"/>
      <c r="V707" s="890"/>
      <c r="W707" s="890"/>
      <c r="X707" s="890"/>
      <c r="Y707" s="890"/>
      <c r="Z707" s="890"/>
      <c r="AA707" s="890"/>
      <c r="AB707" s="890"/>
      <c r="AC707" s="890"/>
      <c r="AD707" s="890"/>
      <c r="AE707" s="890"/>
      <c r="AF707" s="890"/>
      <c r="AG707" s="890"/>
      <c r="AH707" s="890"/>
      <c r="AI707" s="1085"/>
      <c r="AJ707" s="1085"/>
      <c r="AK707" s="1085"/>
      <c r="AL707" s="1085"/>
      <c r="AM707" s="1085"/>
      <c r="AN707" s="1085"/>
      <c r="AO707" s="1085"/>
      <c r="AP707" s="1085"/>
      <c r="AQ707" s="1085"/>
      <c r="AR707" s="1085"/>
      <c r="AS707" s="1085"/>
      <c r="AT707" s="1085"/>
      <c r="AU707" s="1085"/>
      <c r="AV707" s="1085"/>
      <c r="AW707" s="1085"/>
      <c r="AX707" s="1085"/>
      <c r="AY707" s="1085"/>
      <c r="AZ707" s="1085"/>
      <c r="BA707" s="1085"/>
      <c r="BB707" s="1085"/>
      <c r="BC707" s="1085"/>
      <c r="BD707" s="1085"/>
      <c r="BE707" s="1085"/>
      <c r="BF707" s="1085"/>
      <c r="BG707" s="1085"/>
      <c r="BH707" s="1085"/>
      <c r="BI707" s="1085"/>
      <c r="BJ707" s="1085"/>
      <c r="BK707" s="1085"/>
      <c r="BL707" s="1085"/>
      <c r="BM707" s="1085"/>
      <c r="BN707" s="1085"/>
      <c r="BO707" s="1085"/>
      <c r="BP707" s="1085"/>
      <c r="BQ707" s="1085"/>
      <c r="BR707" s="1085"/>
      <c r="BS707" s="1085"/>
      <c r="BT707" s="1085"/>
      <c r="BU707" s="1085"/>
      <c r="BV707" s="1085"/>
      <c r="BW707" s="1085"/>
      <c r="BX707" s="1085"/>
      <c r="BY707" s="1085"/>
      <c r="BZ707" s="1085"/>
      <c r="CA707" s="1085"/>
      <c r="CB707" s="1085"/>
      <c r="CC707" s="1085"/>
      <c r="CD707" s="1085"/>
      <c r="CE707" s="1085"/>
      <c r="CF707" s="1085"/>
      <c r="CG707" s="1085"/>
      <c r="CH707" s="1085"/>
      <c r="CI707" s="1085"/>
      <c r="CJ707" s="1085"/>
      <c r="CK707" s="1085"/>
      <c r="CL707" s="1085"/>
      <c r="CM707" s="1085"/>
      <c r="CN707" s="1085"/>
      <c r="CO707" s="1085"/>
      <c r="CP707" s="1085"/>
      <c r="CQ707" s="1085"/>
      <c r="CR707" s="1085"/>
      <c r="CS707" s="1085"/>
      <c r="CT707" s="1085"/>
      <c r="CU707" s="1085"/>
      <c r="CV707" s="1085"/>
      <c r="CW707" s="1085"/>
      <c r="CX707" s="1085"/>
      <c r="CY707" s="1085"/>
      <c r="CZ707" s="1085"/>
      <c r="DA707" s="1085"/>
      <c r="DB707" s="1085"/>
      <c r="DC707" s="1085"/>
      <c r="DD707" s="1085"/>
      <c r="DE707" s="1085"/>
      <c r="DF707" s="1085"/>
      <c r="DG707" s="1085"/>
      <c r="DH707" s="1085"/>
      <c r="DI707" s="1085"/>
      <c r="DJ707" s="1085"/>
      <c r="DK707" s="1085"/>
      <c r="DL707" s="1085"/>
      <c r="DM707" s="1085"/>
      <c r="DN707" s="1085"/>
      <c r="DO707" s="1085"/>
      <c r="DP707" s="1085"/>
      <c r="DQ707" s="1085"/>
      <c r="DR707" s="1085"/>
      <c r="DS707" s="1085"/>
      <c r="DT707" s="1085"/>
      <c r="DU707" s="1085"/>
      <c r="DV707" s="1085"/>
      <c r="DW707" s="1085"/>
      <c r="DX707" s="1085"/>
      <c r="DY707" s="1085"/>
      <c r="DZ707" s="1085"/>
      <c r="EA707" s="1085"/>
      <c r="EB707" s="1085"/>
      <c r="EC707" s="1085"/>
      <c r="ED707" s="1085"/>
      <c r="EE707" s="1085"/>
      <c r="EF707" s="1085"/>
      <c r="EG707" s="1085"/>
      <c r="EH707" s="1085"/>
      <c r="EI707" s="1085"/>
      <c r="EJ707" s="1085"/>
      <c r="EK707" s="1085"/>
      <c r="EL707" s="1085"/>
      <c r="EM707" s="1085"/>
      <c r="EN707" s="1085"/>
      <c r="EO707" s="1085"/>
      <c r="EP707" s="1085"/>
      <c r="EQ707" s="1085"/>
      <c r="ER707" s="1085"/>
      <c r="ES707" s="1085"/>
      <c r="ET707" s="1085"/>
      <c r="EU707" s="1085"/>
      <c r="EV707" s="1085"/>
      <c r="EW707" s="1085"/>
      <c r="EX707" s="1085"/>
      <c r="EY707" s="1085"/>
      <c r="EZ707" s="1085"/>
      <c r="FA707" s="1085"/>
      <c r="FB707" s="1085"/>
      <c r="FC707" s="1085"/>
      <c r="FD707" s="1085"/>
      <c r="FE707" s="1085"/>
      <c r="FF707" s="1085"/>
      <c r="FG707" s="1085"/>
      <c r="FH707" s="1085"/>
      <c r="FI707" s="1085"/>
      <c r="FJ707" s="1085"/>
      <c r="FK707" s="1085"/>
      <c r="FL707" s="1085"/>
      <c r="FM707" s="1085"/>
      <c r="FN707" s="1085"/>
      <c r="FO707" s="1085"/>
      <c r="FP707" s="1085"/>
      <c r="FQ707" s="1085"/>
      <c r="FR707" s="1085"/>
      <c r="FS707" s="1085"/>
      <c r="FT707" s="1085"/>
      <c r="FU707" s="1085"/>
      <c r="FV707" s="1085"/>
      <c r="FW707" s="1085"/>
      <c r="FX707" s="1085"/>
      <c r="FY707" s="1085"/>
      <c r="FZ707" s="1085"/>
      <c r="GA707" s="1085"/>
      <c r="GB707" s="1085"/>
      <c r="GC707" s="1085"/>
      <c r="GD707" s="1085"/>
      <c r="GE707" s="1085"/>
      <c r="GF707" s="1085"/>
      <c r="GG707" s="1085"/>
      <c r="GH707" s="1085"/>
      <c r="GI707" s="1085"/>
      <c r="GJ707" s="1085"/>
      <c r="GK707" s="1085"/>
      <c r="GL707" s="1085"/>
      <c r="GM707" s="1085"/>
      <c r="GN707" s="1085"/>
      <c r="GO707" s="1085"/>
      <c r="GP707" s="1085"/>
      <c r="GQ707" s="1085"/>
      <c r="GR707" s="1085"/>
      <c r="GS707" s="1085"/>
      <c r="GT707" s="1085"/>
      <c r="GU707" s="1085"/>
      <c r="GV707" s="1085"/>
      <c r="GW707" s="1085"/>
      <c r="GX707" s="1085"/>
      <c r="GY707" s="1085"/>
      <c r="GZ707" s="1085"/>
      <c r="HA707" s="1085"/>
      <c r="HB707" s="1085"/>
      <c r="HC707" s="1085"/>
      <c r="HD707" s="1085"/>
      <c r="HE707" s="1085"/>
      <c r="HF707" s="1085"/>
      <c r="HG707" s="1085"/>
      <c r="HH707" s="1085"/>
      <c r="HI707" s="1085"/>
      <c r="HJ707" s="1085"/>
      <c r="HK707" s="1085"/>
      <c r="HL707" s="1085"/>
      <c r="HM707" s="1085"/>
      <c r="HN707" s="1085"/>
      <c r="HO707" s="1085"/>
      <c r="HP707" s="1085"/>
      <c r="HQ707" s="1085"/>
      <c r="HR707" s="1085"/>
      <c r="HS707" s="1085"/>
      <c r="HT707" s="1085"/>
      <c r="HU707" s="1085"/>
      <c r="HV707" s="1085"/>
      <c r="HW707" s="1085"/>
      <c r="HX707" s="1085"/>
      <c r="HY707" s="1085"/>
      <c r="HZ707" s="1085"/>
      <c r="IA707" s="1085"/>
      <c r="IB707" s="1085"/>
      <c r="IC707" s="1085"/>
      <c r="ID707" s="1085"/>
      <c r="IE707" s="1085"/>
      <c r="IF707" s="1085"/>
      <c r="IG707" s="1085"/>
      <c r="IH707" s="1085"/>
      <c r="II707" s="1085"/>
      <c r="IJ707" s="1085"/>
      <c r="IK707" s="1085"/>
      <c r="IL707" s="1085"/>
      <c r="IM707" s="1085"/>
      <c r="IN707" s="1085"/>
      <c r="IO707" s="1085"/>
      <c r="IP707" s="1085"/>
      <c r="IQ707" s="1085"/>
      <c r="IR707" s="1085"/>
      <c r="IS707" s="1085"/>
      <c r="IT707" s="1085"/>
      <c r="IU707" s="1085"/>
      <c r="IV707" s="1085"/>
    </row>
    <row r="708" spans="1:261" s="2151" customFormat="1" ht="216.75" customHeight="1">
      <c r="A708" s="890"/>
      <c r="B708" s="2240" t="s">
        <v>5427</v>
      </c>
      <c r="C708" s="2239" t="s">
        <v>5428</v>
      </c>
      <c r="D708" s="2239" t="s">
        <v>5429</v>
      </c>
      <c r="E708" s="890" t="s">
        <v>5430</v>
      </c>
      <c r="F708" s="2239" t="s">
        <v>5431</v>
      </c>
      <c r="G708" s="890"/>
      <c r="H708" s="890"/>
      <c r="I708" s="890"/>
      <c r="J708" s="1808"/>
      <c r="K708" s="2137"/>
      <c r="L708" s="890"/>
      <c r="M708" s="2191"/>
      <c r="N708" s="599"/>
      <c r="O708" s="599"/>
      <c r="P708" s="890"/>
      <c r="Q708" s="2082"/>
      <c r="R708" s="890"/>
      <c r="S708" s="890"/>
      <c r="T708" s="890"/>
      <c r="U708" s="890"/>
      <c r="V708" s="890"/>
      <c r="W708" s="890"/>
      <c r="X708" s="2203"/>
      <c r="Y708" s="890"/>
      <c r="Z708" s="890"/>
      <c r="AA708" s="890"/>
      <c r="AB708" s="890"/>
      <c r="AC708" s="890"/>
      <c r="AD708" s="2203"/>
      <c r="AE708" s="2203"/>
      <c r="AF708" s="2203"/>
      <c r="AG708" s="2203"/>
      <c r="AH708" s="2203"/>
      <c r="AI708" s="1085"/>
      <c r="AJ708" s="1085"/>
      <c r="AK708" s="1085"/>
      <c r="AL708" s="1085"/>
      <c r="AM708" s="1085"/>
      <c r="AN708" s="1085"/>
      <c r="AO708" s="1085"/>
      <c r="AP708" s="1085"/>
      <c r="AQ708" s="1085"/>
      <c r="AR708" s="1085"/>
      <c r="AS708" s="1085"/>
      <c r="AT708" s="1085"/>
      <c r="AU708" s="1085"/>
      <c r="AV708" s="1085"/>
      <c r="AW708" s="1085"/>
      <c r="AX708" s="1085"/>
      <c r="AY708" s="1085"/>
      <c r="AZ708" s="1085"/>
      <c r="BA708" s="1085"/>
      <c r="BB708" s="1085"/>
      <c r="BC708" s="1085"/>
      <c r="BD708" s="1085"/>
      <c r="BE708" s="1085"/>
      <c r="BF708" s="1085"/>
      <c r="BG708" s="1085"/>
      <c r="BH708" s="1085"/>
      <c r="BI708" s="1085"/>
      <c r="BJ708" s="1085"/>
      <c r="BK708" s="1085"/>
      <c r="BL708" s="1085"/>
      <c r="BM708" s="1085"/>
      <c r="BN708" s="1085"/>
      <c r="BO708" s="1085"/>
      <c r="BP708" s="1085"/>
      <c r="BQ708" s="1085"/>
      <c r="BR708" s="1085"/>
      <c r="BS708" s="1085"/>
      <c r="BT708" s="1085"/>
      <c r="BU708" s="1085"/>
      <c r="BV708" s="1085"/>
      <c r="BW708" s="1085"/>
      <c r="BX708" s="1085"/>
      <c r="BY708" s="1085"/>
      <c r="BZ708" s="1085"/>
      <c r="CA708" s="1085"/>
      <c r="CB708" s="1085"/>
      <c r="CC708" s="1085"/>
      <c r="CD708" s="1085"/>
      <c r="CE708" s="1085"/>
      <c r="CF708" s="1085"/>
      <c r="CG708" s="1085"/>
      <c r="CH708" s="1085"/>
      <c r="CI708" s="1085"/>
      <c r="CJ708" s="1085"/>
      <c r="CK708" s="1085"/>
      <c r="CL708" s="1085"/>
      <c r="CM708" s="1085"/>
      <c r="CN708" s="1085"/>
      <c r="CO708" s="1085"/>
      <c r="CP708" s="1085"/>
      <c r="CQ708" s="1085"/>
      <c r="CR708" s="1085"/>
      <c r="CS708" s="1085"/>
      <c r="CT708" s="1085"/>
      <c r="CU708" s="1085"/>
      <c r="CV708" s="1085"/>
      <c r="CW708" s="1085"/>
      <c r="CX708" s="1085"/>
      <c r="CY708" s="1085"/>
      <c r="CZ708" s="1085"/>
      <c r="DA708" s="1085"/>
      <c r="DB708" s="1085"/>
      <c r="DC708" s="1085"/>
      <c r="DD708" s="1085"/>
      <c r="DE708" s="1085"/>
      <c r="DF708" s="1085"/>
      <c r="DG708" s="1085"/>
      <c r="DH708" s="1085"/>
      <c r="DI708" s="1085"/>
      <c r="DJ708" s="1085"/>
      <c r="DK708" s="1085"/>
      <c r="DL708" s="1085"/>
      <c r="DM708" s="1085"/>
      <c r="DN708" s="1085"/>
      <c r="DO708" s="1085"/>
      <c r="DP708" s="1085"/>
      <c r="DQ708" s="1085"/>
      <c r="DR708" s="1085"/>
      <c r="DS708" s="1085"/>
      <c r="DT708" s="1085"/>
      <c r="DU708" s="1085"/>
      <c r="DV708" s="1085"/>
      <c r="DW708" s="1085"/>
      <c r="DX708" s="1085"/>
      <c r="DY708" s="1085"/>
      <c r="DZ708" s="1085"/>
      <c r="EA708" s="1085"/>
      <c r="EB708" s="1085"/>
      <c r="EC708" s="1085"/>
      <c r="ED708" s="1085"/>
      <c r="EE708" s="1085"/>
      <c r="EF708" s="1085"/>
      <c r="EG708" s="1085"/>
      <c r="EH708" s="1085"/>
      <c r="EI708" s="1085"/>
      <c r="EJ708" s="1085"/>
      <c r="EK708" s="1085"/>
      <c r="EL708" s="1085"/>
      <c r="EM708" s="1085"/>
      <c r="EN708" s="1085"/>
      <c r="EO708" s="1085"/>
      <c r="EP708" s="1085"/>
      <c r="EQ708" s="1085"/>
      <c r="ER708" s="1085"/>
      <c r="ES708" s="1085"/>
      <c r="ET708" s="1085"/>
      <c r="EU708" s="1085"/>
      <c r="EV708" s="1085"/>
      <c r="EW708" s="1085"/>
      <c r="EX708" s="1085"/>
      <c r="EY708" s="1085"/>
      <c r="EZ708" s="1085"/>
      <c r="FA708" s="1085"/>
      <c r="FB708" s="1085"/>
      <c r="FC708" s="1085"/>
      <c r="FD708" s="1085"/>
      <c r="FE708" s="1085"/>
      <c r="FF708" s="1085"/>
      <c r="FG708" s="1085"/>
      <c r="FH708" s="1085"/>
      <c r="FI708" s="1085"/>
      <c r="FJ708" s="1085"/>
      <c r="FK708" s="1085"/>
      <c r="FL708" s="1085"/>
      <c r="FM708" s="1085"/>
      <c r="FN708" s="1085"/>
      <c r="FO708" s="1085"/>
      <c r="FP708" s="1085"/>
      <c r="FQ708" s="1085"/>
      <c r="FR708" s="1085"/>
      <c r="FS708" s="1085"/>
      <c r="FT708" s="1085"/>
      <c r="FU708" s="1085"/>
      <c r="FV708" s="1085"/>
      <c r="FW708" s="1085"/>
      <c r="FX708" s="1085"/>
      <c r="FY708" s="1085"/>
      <c r="FZ708" s="1085"/>
      <c r="GA708" s="1085"/>
      <c r="GB708" s="1085"/>
      <c r="GC708" s="1085"/>
      <c r="GD708" s="1085"/>
      <c r="GE708" s="1085"/>
      <c r="GF708" s="1085"/>
      <c r="GG708" s="1085"/>
      <c r="GH708" s="1085"/>
      <c r="GI708" s="1085"/>
      <c r="GJ708" s="1085"/>
      <c r="GK708" s="1085"/>
      <c r="GL708" s="1085"/>
      <c r="GM708" s="1085"/>
      <c r="GN708" s="1085"/>
      <c r="GO708" s="1085"/>
      <c r="GP708" s="1085"/>
      <c r="GQ708" s="1085"/>
      <c r="GR708" s="1085"/>
      <c r="GS708" s="1085"/>
      <c r="GT708" s="1085"/>
      <c r="GU708" s="1085"/>
      <c r="GV708" s="1085"/>
      <c r="GW708" s="1085"/>
      <c r="GX708" s="1085"/>
      <c r="GY708" s="1085"/>
      <c r="GZ708" s="1085"/>
      <c r="HA708" s="1085"/>
      <c r="HB708" s="1085"/>
      <c r="HC708" s="1085"/>
      <c r="HD708" s="1085"/>
      <c r="HE708" s="1085"/>
      <c r="HF708" s="1085"/>
      <c r="HG708" s="1085"/>
      <c r="HH708" s="1085"/>
      <c r="HI708" s="1085"/>
      <c r="HJ708" s="1085"/>
      <c r="HK708" s="1085"/>
      <c r="HL708" s="1085"/>
      <c r="HM708" s="1085"/>
      <c r="HN708" s="1085"/>
      <c r="HO708" s="1085"/>
      <c r="HP708" s="1085"/>
      <c r="HQ708" s="1085"/>
      <c r="HR708" s="1085"/>
      <c r="HS708" s="1085"/>
      <c r="HT708" s="1085"/>
      <c r="HU708" s="1085"/>
      <c r="HV708" s="1085"/>
      <c r="HW708" s="1085"/>
      <c r="HX708" s="1085"/>
      <c r="HY708" s="1085"/>
      <c r="HZ708" s="1085"/>
      <c r="IA708" s="1085"/>
      <c r="IB708" s="1085"/>
      <c r="IC708" s="1085"/>
      <c r="ID708" s="1085"/>
      <c r="IE708" s="1085"/>
      <c r="IF708" s="1085"/>
      <c r="IG708" s="1085"/>
      <c r="IH708" s="1085"/>
      <c r="II708" s="1085"/>
      <c r="IJ708" s="1085"/>
      <c r="IK708" s="1085"/>
      <c r="IL708" s="1085"/>
      <c r="IM708" s="1085"/>
      <c r="IN708" s="1085"/>
      <c r="IO708" s="1085"/>
      <c r="IP708" s="1085"/>
      <c r="IQ708" s="1085"/>
      <c r="IR708" s="1085"/>
      <c r="IS708" s="1085"/>
      <c r="IT708" s="1085"/>
      <c r="IU708" s="1085"/>
      <c r="IV708" s="1085"/>
    </row>
    <row r="709" spans="1:261" s="2151" customFormat="1" ht="99.75" customHeight="1">
      <c r="A709" s="890"/>
      <c r="B709" s="2249" t="s">
        <v>5310</v>
      </c>
      <c r="C709" s="599" t="s">
        <v>5313</v>
      </c>
      <c r="D709" s="599" t="s">
        <v>5311</v>
      </c>
      <c r="E709" s="890"/>
      <c r="F709" s="599">
        <v>180000</v>
      </c>
      <c r="G709" s="890"/>
      <c r="H709" s="890"/>
      <c r="I709" s="890"/>
      <c r="J709" s="1791" t="s">
        <v>5312</v>
      </c>
      <c r="K709" s="1337"/>
      <c r="L709" s="890"/>
      <c r="M709" s="890"/>
      <c r="N709" s="890"/>
      <c r="O709" s="890"/>
      <c r="P709" s="890" t="s">
        <v>1551</v>
      </c>
      <c r="Q709" s="890"/>
      <c r="R709" s="890"/>
      <c r="S709" s="890"/>
      <c r="T709" s="890"/>
      <c r="U709" s="890"/>
      <c r="V709" s="890"/>
      <c r="W709" s="890"/>
      <c r="X709" s="2203"/>
      <c r="Y709" s="1880"/>
      <c r="Z709" s="599"/>
      <c r="AA709" s="599"/>
      <c r="AB709" s="890"/>
      <c r="AC709" s="599"/>
      <c r="AD709" s="2203"/>
      <c r="AE709" s="2203"/>
      <c r="AF709" s="2203"/>
      <c r="AG709" s="2203"/>
      <c r="AH709" s="2203"/>
      <c r="AI709" s="1085"/>
      <c r="AJ709" s="1085"/>
      <c r="AK709" s="1085"/>
      <c r="AL709" s="1085"/>
      <c r="AM709" s="1085"/>
      <c r="AN709" s="1085"/>
      <c r="AO709" s="1085"/>
      <c r="AP709" s="1085"/>
      <c r="AQ709" s="1085"/>
      <c r="AR709" s="1085"/>
      <c r="AS709" s="1085"/>
      <c r="AT709" s="1085"/>
      <c r="AU709" s="1085"/>
      <c r="AV709" s="1085"/>
      <c r="AW709" s="1085"/>
      <c r="AX709" s="1085"/>
      <c r="AY709" s="1085"/>
      <c r="AZ709" s="1085"/>
      <c r="BA709" s="1085"/>
      <c r="BB709" s="1085"/>
      <c r="BC709" s="1085"/>
      <c r="BD709" s="1085"/>
      <c r="BE709" s="1085"/>
      <c r="BF709" s="1085"/>
      <c r="BG709" s="1085"/>
      <c r="BH709" s="1085"/>
      <c r="BI709" s="1085"/>
      <c r="BJ709" s="1085"/>
      <c r="BK709" s="1085"/>
      <c r="BL709" s="1085"/>
      <c r="BM709" s="1085"/>
      <c r="BN709" s="1085"/>
      <c r="BO709" s="1085"/>
      <c r="BP709" s="1085"/>
      <c r="BQ709" s="1085"/>
      <c r="BR709" s="1085"/>
      <c r="BS709" s="1085"/>
      <c r="BT709" s="1085"/>
      <c r="BU709" s="1085"/>
      <c r="BV709" s="1085"/>
      <c r="BW709" s="1085"/>
      <c r="BX709" s="1085"/>
      <c r="BY709" s="1085"/>
      <c r="BZ709" s="1085"/>
      <c r="CA709" s="1085"/>
      <c r="CB709" s="1085"/>
      <c r="CC709" s="1085"/>
      <c r="CD709" s="1085"/>
      <c r="CE709" s="1085"/>
      <c r="CF709" s="1085"/>
      <c r="CG709" s="1085"/>
      <c r="CH709" s="1085"/>
      <c r="CI709" s="1085"/>
      <c r="CJ709" s="1085"/>
      <c r="CK709" s="1085"/>
      <c r="CL709" s="1085"/>
      <c r="CM709" s="1085"/>
      <c r="CN709" s="1085"/>
      <c r="CO709" s="1085"/>
      <c r="CP709" s="1085"/>
      <c r="CQ709" s="1085"/>
      <c r="CR709" s="1085"/>
      <c r="CS709" s="1085"/>
      <c r="CT709" s="1085"/>
      <c r="CU709" s="1085"/>
      <c r="CV709" s="1085"/>
      <c r="CW709" s="1085"/>
      <c r="CX709" s="1085"/>
      <c r="CY709" s="1085"/>
      <c r="CZ709" s="1085"/>
      <c r="DA709" s="1085"/>
      <c r="DB709" s="1085"/>
      <c r="DC709" s="1085"/>
      <c r="DD709" s="1085"/>
      <c r="DE709" s="1085"/>
      <c r="DF709" s="1085"/>
      <c r="DG709" s="1085"/>
      <c r="DH709" s="1085"/>
      <c r="DI709" s="1085"/>
      <c r="DJ709" s="1085"/>
      <c r="DK709" s="1085"/>
      <c r="DL709" s="1085"/>
      <c r="DM709" s="1085"/>
      <c r="DN709" s="1085"/>
      <c r="DO709" s="1085"/>
      <c r="DP709" s="1085"/>
      <c r="DQ709" s="1085"/>
      <c r="DR709" s="1085"/>
      <c r="DS709" s="1085"/>
      <c r="DT709" s="1085"/>
      <c r="DU709" s="1085"/>
      <c r="DV709" s="1085"/>
      <c r="DW709" s="1085"/>
      <c r="DX709" s="1085"/>
      <c r="DY709" s="1085"/>
      <c r="DZ709" s="1085"/>
      <c r="EA709" s="1085"/>
      <c r="EB709" s="1085"/>
      <c r="EC709" s="1085"/>
      <c r="ED709" s="1085"/>
      <c r="EE709" s="1085"/>
      <c r="EF709" s="1085"/>
      <c r="EG709" s="1085"/>
      <c r="EH709" s="1085"/>
      <c r="EI709" s="1085"/>
      <c r="EJ709" s="1085"/>
      <c r="EK709" s="1085"/>
      <c r="EL709" s="1085"/>
      <c r="EM709" s="1085"/>
      <c r="EN709" s="1085"/>
      <c r="EO709" s="1085"/>
      <c r="EP709" s="1085"/>
      <c r="EQ709" s="1085"/>
      <c r="ER709" s="1085"/>
      <c r="ES709" s="1085"/>
      <c r="ET709" s="1085"/>
      <c r="EU709" s="1085"/>
      <c r="EV709" s="1085"/>
      <c r="EW709" s="1085"/>
      <c r="EX709" s="1085"/>
      <c r="EY709" s="1085"/>
      <c r="EZ709" s="1085"/>
      <c r="FA709" s="1085"/>
      <c r="FB709" s="1085"/>
      <c r="FC709" s="1085"/>
      <c r="FD709" s="1085"/>
      <c r="FE709" s="1085"/>
      <c r="FF709" s="1085"/>
      <c r="FG709" s="1085"/>
      <c r="FH709" s="1085"/>
      <c r="FI709" s="1085"/>
      <c r="FJ709" s="1085"/>
      <c r="FK709" s="1085"/>
      <c r="FL709" s="1085"/>
      <c r="FM709" s="1085"/>
      <c r="FN709" s="1085"/>
      <c r="FO709" s="1085"/>
      <c r="FP709" s="1085"/>
      <c r="FQ709" s="1085"/>
      <c r="FR709" s="1085"/>
      <c r="FS709" s="1085"/>
      <c r="FT709" s="1085"/>
      <c r="FU709" s="1085"/>
      <c r="FV709" s="1085"/>
      <c r="FW709" s="1085"/>
      <c r="FX709" s="1085"/>
      <c r="FY709" s="1085"/>
      <c r="FZ709" s="1085"/>
      <c r="GA709" s="1085"/>
      <c r="GB709" s="1085"/>
      <c r="GC709" s="1085"/>
      <c r="GD709" s="1085"/>
      <c r="GE709" s="1085"/>
      <c r="GF709" s="1085"/>
      <c r="GG709" s="1085"/>
      <c r="GH709" s="1085"/>
      <c r="GI709" s="1085"/>
      <c r="GJ709" s="1085"/>
      <c r="GK709" s="1085"/>
      <c r="GL709" s="1085"/>
      <c r="GM709" s="1085"/>
      <c r="GN709" s="1085"/>
      <c r="GO709" s="1085"/>
      <c r="GP709" s="1085"/>
      <c r="GQ709" s="1085"/>
      <c r="GR709" s="1085"/>
      <c r="GS709" s="1085"/>
      <c r="GT709" s="1085"/>
      <c r="GU709" s="1085"/>
      <c r="GV709" s="1085"/>
      <c r="GW709" s="1085"/>
      <c r="GX709" s="1085"/>
      <c r="GY709" s="1085"/>
      <c r="GZ709" s="1085"/>
      <c r="HA709" s="1085"/>
      <c r="HB709" s="1085"/>
      <c r="HC709" s="1085"/>
      <c r="HD709" s="1085"/>
      <c r="HE709" s="1085"/>
      <c r="HF709" s="1085"/>
      <c r="HG709" s="1085"/>
      <c r="HH709" s="1085"/>
      <c r="HI709" s="1085"/>
      <c r="HJ709" s="1085"/>
      <c r="HK709" s="1085"/>
      <c r="HL709" s="1085"/>
      <c r="HM709" s="1085"/>
      <c r="HN709" s="1085"/>
      <c r="HO709" s="1085"/>
      <c r="HP709" s="1085"/>
      <c r="HQ709" s="1085"/>
      <c r="HR709" s="1085"/>
      <c r="HS709" s="1085"/>
      <c r="HT709" s="1085"/>
      <c r="HU709" s="1085"/>
      <c r="HV709" s="1085"/>
      <c r="HW709" s="1085"/>
      <c r="HX709" s="1085"/>
      <c r="HY709" s="1085"/>
      <c r="HZ709" s="1085"/>
      <c r="IA709" s="1085"/>
      <c r="IB709" s="1085"/>
      <c r="IC709" s="1085"/>
      <c r="ID709" s="1085"/>
      <c r="IE709" s="1085"/>
      <c r="IF709" s="1085"/>
      <c r="IG709" s="1085"/>
      <c r="IH709" s="1085"/>
      <c r="II709" s="1085"/>
      <c r="IJ709" s="1085"/>
      <c r="IK709" s="1085"/>
      <c r="IL709" s="1085"/>
      <c r="IM709" s="1085"/>
      <c r="IN709" s="1085"/>
      <c r="IO709" s="1085"/>
      <c r="IP709" s="1085"/>
      <c r="IQ709" s="1085"/>
      <c r="IR709" s="1085"/>
      <c r="IS709" s="1085"/>
      <c r="IT709" s="1085"/>
      <c r="IU709" s="1085"/>
      <c r="IV709" s="1085"/>
    </row>
    <row r="710" spans="1:261" s="2151" customFormat="1" ht="140.25" customHeight="1">
      <c r="A710" s="2203"/>
      <c r="B710" s="2249" t="s">
        <v>5337</v>
      </c>
      <c r="C710" s="599" t="s">
        <v>5338</v>
      </c>
      <c r="D710" s="2021" t="s">
        <v>5470</v>
      </c>
      <c r="E710" s="1871"/>
      <c r="F710" s="2229" t="s">
        <v>5339</v>
      </c>
      <c r="G710" s="893"/>
      <c r="H710" s="890"/>
      <c r="I710" s="890"/>
      <c r="J710" s="890" t="s">
        <v>5469</v>
      </c>
      <c r="K710" s="1337"/>
      <c r="L710" s="890"/>
      <c r="M710" s="890"/>
      <c r="N710" s="893"/>
      <c r="O710" s="890"/>
      <c r="P710" s="890"/>
      <c r="Q710" s="893"/>
      <c r="R710" s="890"/>
      <c r="S710" s="890"/>
      <c r="T710" s="890"/>
      <c r="U710" s="2203"/>
      <c r="V710" s="2203"/>
      <c r="W710" s="2203"/>
      <c r="X710" s="2203"/>
      <c r="Y710" s="2208"/>
      <c r="Z710" s="2141"/>
      <c r="AA710" s="2141"/>
      <c r="AB710" s="2203"/>
      <c r="AC710" s="2141"/>
      <c r="AD710" s="2203"/>
      <c r="AE710" s="2203"/>
      <c r="AF710" s="2203"/>
      <c r="AG710" s="2203"/>
      <c r="AH710" s="2203"/>
      <c r="AI710" s="1085"/>
      <c r="AJ710" s="1085"/>
      <c r="AK710" s="1085"/>
      <c r="AL710" s="1085"/>
      <c r="AM710" s="1085"/>
      <c r="AN710" s="1085"/>
      <c r="AO710" s="1085"/>
      <c r="AP710" s="1085"/>
      <c r="AQ710" s="1085"/>
      <c r="AR710" s="1085"/>
      <c r="AS710" s="1085"/>
      <c r="AT710" s="1085"/>
      <c r="AU710" s="1085"/>
      <c r="AV710" s="1085"/>
      <c r="AW710" s="1085"/>
      <c r="AX710" s="1085"/>
      <c r="AY710" s="1085"/>
      <c r="AZ710" s="1085"/>
      <c r="BA710" s="1085"/>
      <c r="BB710" s="1085"/>
      <c r="BC710" s="1085"/>
      <c r="BD710" s="1085"/>
      <c r="BE710" s="1085"/>
      <c r="BF710" s="1085"/>
      <c r="BG710" s="1085"/>
      <c r="BH710" s="1085"/>
      <c r="BI710" s="1085"/>
      <c r="BJ710" s="1085"/>
      <c r="BK710" s="1085"/>
      <c r="BL710" s="1085"/>
      <c r="BM710" s="1085"/>
      <c r="BN710" s="1085"/>
      <c r="BO710" s="1085"/>
      <c r="BP710" s="1085"/>
      <c r="BQ710" s="1085"/>
      <c r="BR710" s="1085"/>
      <c r="BS710" s="1085"/>
      <c r="BT710" s="1085"/>
      <c r="BU710" s="1085"/>
      <c r="BV710" s="1085"/>
      <c r="BW710" s="1085"/>
      <c r="BX710" s="1085"/>
      <c r="BY710" s="1085"/>
      <c r="BZ710" s="1085"/>
      <c r="CA710" s="1085"/>
      <c r="CB710" s="1085"/>
      <c r="CC710" s="1085"/>
      <c r="CD710" s="1085"/>
      <c r="CE710" s="1085"/>
      <c r="CF710" s="1085"/>
      <c r="CG710" s="1085"/>
      <c r="CH710" s="1085"/>
      <c r="CI710" s="1085"/>
      <c r="CJ710" s="1085"/>
      <c r="CK710" s="1085"/>
      <c r="CL710" s="1085"/>
      <c r="CM710" s="1085"/>
      <c r="CN710" s="1085"/>
      <c r="CO710" s="1085"/>
      <c r="CP710" s="1085"/>
      <c r="CQ710" s="1085"/>
      <c r="CR710" s="1085"/>
      <c r="CS710" s="1085"/>
      <c r="CT710" s="1085"/>
      <c r="CU710" s="1085"/>
      <c r="CV710" s="1085"/>
      <c r="CW710" s="1085"/>
      <c r="CX710" s="1085"/>
      <c r="CY710" s="1085"/>
      <c r="CZ710" s="1085"/>
      <c r="DA710" s="1085"/>
      <c r="DB710" s="1085"/>
      <c r="DC710" s="1085"/>
      <c r="DD710" s="1085"/>
      <c r="DE710" s="1085"/>
      <c r="DF710" s="1085"/>
      <c r="DG710" s="1085"/>
      <c r="DH710" s="1085"/>
      <c r="DI710" s="1085"/>
      <c r="DJ710" s="1085"/>
      <c r="DK710" s="1085"/>
      <c r="DL710" s="1085"/>
      <c r="DM710" s="1085"/>
      <c r="DN710" s="1085"/>
      <c r="DO710" s="1085"/>
      <c r="DP710" s="1085"/>
      <c r="DQ710" s="1085"/>
      <c r="DR710" s="1085"/>
      <c r="DS710" s="1085"/>
      <c r="DT710" s="1085"/>
      <c r="DU710" s="1085"/>
      <c r="DV710" s="1085"/>
      <c r="DW710" s="1085"/>
      <c r="DX710" s="1085"/>
      <c r="DY710" s="1085"/>
      <c r="DZ710" s="1085"/>
      <c r="EA710" s="1085"/>
      <c r="EB710" s="1085"/>
      <c r="EC710" s="1085"/>
      <c r="ED710" s="1085"/>
      <c r="EE710" s="1085"/>
      <c r="EF710" s="1085"/>
      <c r="EG710" s="1085"/>
      <c r="EH710" s="1085"/>
      <c r="EI710" s="1085"/>
      <c r="EJ710" s="1085"/>
      <c r="EK710" s="1085"/>
      <c r="EL710" s="1085"/>
      <c r="EM710" s="1085"/>
      <c r="EN710" s="1085"/>
      <c r="EO710" s="1085"/>
      <c r="EP710" s="1085"/>
      <c r="EQ710" s="1085"/>
      <c r="ER710" s="1085"/>
      <c r="ES710" s="1085"/>
      <c r="ET710" s="1085"/>
      <c r="EU710" s="1085"/>
      <c r="EV710" s="1085"/>
      <c r="EW710" s="1085"/>
      <c r="EX710" s="1085"/>
      <c r="EY710" s="1085"/>
      <c r="EZ710" s="1085"/>
      <c r="FA710" s="1085"/>
      <c r="FB710" s="1085"/>
      <c r="FC710" s="1085"/>
      <c r="FD710" s="1085"/>
      <c r="FE710" s="1085"/>
      <c r="FF710" s="1085"/>
      <c r="FG710" s="1085"/>
      <c r="FH710" s="1085"/>
      <c r="FI710" s="1085"/>
      <c r="FJ710" s="1085"/>
      <c r="FK710" s="1085"/>
      <c r="FL710" s="1085"/>
      <c r="FM710" s="1085"/>
      <c r="FN710" s="1085"/>
      <c r="FO710" s="1085"/>
      <c r="FP710" s="1085"/>
      <c r="FQ710" s="1085"/>
      <c r="FR710" s="1085"/>
      <c r="FS710" s="1085"/>
      <c r="FT710" s="1085"/>
      <c r="FU710" s="1085"/>
      <c r="FV710" s="1085"/>
      <c r="FW710" s="1085"/>
      <c r="FX710" s="1085"/>
      <c r="FY710" s="1085"/>
      <c r="FZ710" s="1085"/>
      <c r="GA710" s="1085"/>
      <c r="GB710" s="1085"/>
      <c r="GC710" s="1085"/>
      <c r="GD710" s="1085"/>
      <c r="GE710" s="1085"/>
      <c r="GF710" s="1085"/>
      <c r="GG710" s="1085"/>
      <c r="GH710" s="1085"/>
      <c r="GI710" s="1085"/>
      <c r="GJ710" s="1085"/>
      <c r="GK710" s="1085"/>
      <c r="GL710" s="1085"/>
      <c r="GM710" s="1085"/>
      <c r="GN710" s="1085"/>
      <c r="GO710" s="1085"/>
      <c r="GP710" s="1085"/>
      <c r="GQ710" s="1085"/>
      <c r="GR710" s="1085"/>
      <c r="GS710" s="1085"/>
      <c r="GT710" s="1085"/>
      <c r="GU710" s="1085"/>
      <c r="GV710" s="1085"/>
      <c r="GW710" s="1085"/>
      <c r="GX710" s="1085"/>
      <c r="GY710" s="1085"/>
      <c r="GZ710" s="1085"/>
      <c r="HA710" s="1085"/>
      <c r="HB710" s="1085"/>
      <c r="HC710" s="1085"/>
      <c r="HD710" s="1085"/>
      <c r="HE710" s="1085"/>
      <c r="HF710" s="1085"/>
      <c r="HG710" s="1085"/>
      <c r="HH710" s="1085"/>
      <c r="HI710" s="1085"/>
      <c r="HJ710" s="1085"/>
      <c r="HK710" s="1085"/>
      <c r="HL710" s="1085"/>
      <c r="HM710" s="1085"/>
      <c r="HN710" s="1085"/>
      <c r="HO710" s="1085"/>
      <c r="HP710" s="1085"/>
      <c r="HQ710" s="1085"/>
      <c r="HR710" s="1085"/>
      <c r="HS710" s="1085"/>
      <c r="HT710" s="1085"/>
      <c r="HU710" s="1085"/>
      <c r="HV710" s="1085"/>
      <c r="HW710" s="1085"/>
      <c r="HX710" s="1085"/>
      <c r="HY710" s="1085"/>
      <c r="HZ710" s="1085"/>
      <c r="IA710" s="1085"/>
      <c r="IB710" s="1085"/>
      <c r="IC710" s="1085"/>
      <c r="ID710" s="1085"/>
      <c r="IE710" s="1085"/>
      <c r="IF710" s="1085"/>
      <c r="IG710" s="1085"/>
      <c r="IH710" s="1085"/>
      <c r="II710" s="1085"/>
      <c r="IJ710" s="1085"/>
      <c r="IK710" s="1085"/>
      <c r="IL710" s="1085"/>
      <c r="IM710" s="1085"/>
      <c r="IN710" s="1085"/>
      <c r="IO710" s="1085"/>
      <c r="IP710" s="1085"/>
      <c r="IQ710" s="1085"/>
      <c r="IR710" s="1085"/>
      <c r="IS710" s="1085"/>
      <c r="IT710" s="1085"/>
      <c r="IU710" s="1085"/>
      <c r="IV710" s="1085"/>
    </row>
    <row r="711" spans="1:261" s="2204" customFormat="1" ht="193.5" customHeight="1">
      <c r="A711" s="124"/>
      <c r="B711" s="2249" t="s">
        <v>5099</v>
      </c>
      <c r="C711" s="1809" t="s">
        <v>5318</v>
      </c>
      <c r="D711" s="2252" t="s">
        <v>5116</v>
      </c>
      <c r="E711" s="2021" t="s">
        <v>5373</v>
      </c>
      <c r="F711" s="2225" t="s">
        <v>5314</v>
      </c>
      <c r="G711" s="2205" t="s">
        <v>5117</v>
      </c>
      <c r="H711" s="446" t="s">
        <v>5152</v>
      </c>
      <c r="I711" s="2085"/>
      <c r="J711" s="2085">
        <v>2461874.48</v>
      </c>
      <c r="K711" s="2085" t="s">
        <v>5415</v>
      </c>
      <c r="L711" s="446"/>
      <c r="M711" s="446" t="s">
        <v>5315</v>
      </c>
      <c r="N711" s="599" t="s">
        <v>5316</v>
      </c>
      <c r="O711" s="2176">
        <v>462000</v>
      </c>
      <c r="P711" s="580" t="s">
        <v>5317</v>
      </c>
      <c r="Q711" s="890" t="s">
        <v>5257</v>
      </c>
      <c r="R711" s="22"/>
      <c r="S711" s="22"/>
      <c r="T711" s="22"/>
      <c r="U711" s="124"/>
      <c r="V711" s="706"/>
      <c r="W711" s="706"/>
      <c r="X711" s="124"/>
      <c r="Y711" s="124"/>
      <c r="Z711" s="124"/>
      <c r="AA711" s="124"/>
      <c r="AB711" s="124"/>
      <c r="AC711" s="124"/>
      <c r="AD711" s="124"/>
      <c r="AE711" s="124"/>
      <c r="AF711" s="124"/>
      <c r="AG711" s="124"/>
      <c r="AH711" s="124"/>
      <c r="AI711" s="124"/>
      <c r="AJ711" s="124"/>
      <c r="AK711" s="124"/>
      <c r="AL711" s="124"/>
      <c r="AM711" s="124"/>
      <c r="AN711" s="124"/>
      <c r="AO711" s="124"/>
      <c r="AP711" s="124"/>
      <c r="AQ711" s="124"/>
      <c r="AR711" s="124"/>
      <c r="AS711" s="124"/>
      <c r="AT711" s="124"/>
      <c r="AU711" s="124"/>
      <c r="AV711" s="124"/>
      <c r="AW711" s="124"/>
      <c r="AX711" s="124"/>
      <c r="AY711" s="124"/>
      <c r="AZ711" s="124"/>
      <c r="BA711" s="124"/>
      <c r="BB711" s="124"/>
      <c r="BC711" s="124"/>
      <c r="BD711" s="124"/>
      <c r="BE711" s="124"/>
      <c r="BF711" s="124"/>
      <c r="BG711" s="124"/>
      <c r="BH711" s="124"/>
      <c r="BI711" s="124"/>
      <c r="BJ711" s="124"/>
      <c r="BK711" s="124"/>
      <c r="BL711" s="124"/>
      <c r="BM711" s="124"/>
      <c r="BN711" s="124"/>
      <c r="BO711" s="124"/>
      <c r="BP711" s="124"/>
      <c r="BQ711" s="124"/>
      <c r="BR711" s="124"/>
      <c r="BS711" s="124"/>
      <c r="BT711" s="124"/>
      <c r="BU711" s="124"/>
      <c r="BV711" s="124"/>
      <c r="BW711" s="124"/>
      <c r="BX711" s="124"/>
      <c r="BY711" s="124"/>
      <c r="BZ711" s="124"/>
      <c r="CA711" s="124"/>
      <c r="CB711" s="124"/>
      <c r="CC711" s="124"/>
      <c r="CD711" s="124"/>
      <c r="CE711" s="124"/>
      <c r="CF711" s="124"/>
      <c r="CG711" s="124"/>
      <c r="CH711" s="124"/>
      <c r="CI711" s="124"/>
      <c r="CJ711" s="124"/>
      <c r="CK711" s="124"/>
      <c r="CL711" s="124"/>
      <c r="CM711" s="124"/>
      <c r="CN711" s="124"/>
      <c r="CO711" s="124"/>
      <c r="CP711" s="124"/>
      <c r="CQ711" s="124"/>
      <c r="CR711" s="124"/>
      <c r="CS711" s="124"/>
      <c r="CT711" s="124"/>
      <c r="CU711" s="124"/>
      <c r="CV711" s="124"/>
      <c r="CW711" s="124"/>
      <c r="CX711" s="124"/>
      <c r="CY711" s="124"/>
      <c r="CZ711" s="124"/>
      <c r="DA711" s="124"/>
      <c r="DB711" s="124"/>
      <c r="DC711" s="124"/>
      <c r="DD711" s="124"/>
      <c r="DE711" s="124"/>
      <c r="DF711" s="124"/>
      <c r="DG711" s="124"/>
      <c r="DH711" s="124"/>
      <c r="DI711" s="124"/>
      <c r="DJ711" s="124"/>
      <c r="DK711" s="124"/>
      <c r="DL711" s="124"/>
      <c r="DM711" s="124"/>
      <c r="DN711" s="124"/>
      <c r="DO711" s="124"/>
      <c r="DP711" s="124"/>
      <c r="DQ711" s="124"/>
      <c r="DR711" s="124"/>
      <c r="DS711" s="124"/>
      <c r="DT711" s="124"/>
      <c r="DU711" s="124"/>
      <c r="DV711" s="124"/>
      <c r="DW711" s="124"/>
      <c r="DX711" s="124"/>
      <c r="DY711" s="124"/>
      <c r="DZ711" s="124"/>
      <c r="EA711" s="124"/>
      <c r="EB711" s="124"/>
      <c r="EC711" s="124"/>
      <c r="ED711" s="124"/>
      <c r="EE711" s="124"/>
      <c r="EF711" s="124"/>
      <c r="EG711" s="124"/>
      <c r="EH711" s="124"/>
      <c r="EI711" s="124"/>
      <c r="EJ711" s="124"/>
      <c r="EK711" s="124"/>
      <c r="EL711" s="124"/>
      <c r="EM711" s="124"/>
      <c r="EN711" s="124"/>
      <c r="EO711" s="124"/>
      <c r="EP711" s="124"/>
      <c r="EQ711" s="124"/>
      <c r="ER711" s="124"/>
      <c r="ES711" s="124"/>
      <c r="ET711" s="124"/>
      <c r="EU711" s="124"/>
      <c r="EV711" s="124"/>
      <c r="EW711" s="124"/>
      <c r="EX711" s="124"/>
      <c r="EY711" s="124"/>
      <c r="EZ711" s="124"/>
      <c r="FA711" s="124"/>
      <c r="FB711" s="124"/>
      <c r="FC711" s="124"/>
      <c r="FD711" s="124"/>
      <c r="FE711" s="124"/>
      <c r="FF711" s="124"/>
      <c r="FG711" s="124"/>
      <c r="FH711" s="124"/>
      <c r="FI711" s="124"/>
      <c r="FJ711" s="124"/>
      <c r="FK711" s="124"/>
      <c r="FL711" s="124"/>
      <c r="FM711" s="124"/>
      <c r="FN711" s="124"/>
      <c r="FO711" s="124"/>
      <c r="FP711" s="124"/>
      <c r="FQ711" s="124"/>
      <c r="FR711" s="124"/>
      <c r="FS711" s="124"/>
      <c r="FT711" s="124"/>
      <c r="FU711" s="124"/>
      <c r="FV711" s="124"/>
      <c r="FW711" s="124"/>
      <c r="FX711" s="124"/>
      <c r="FY711" s="124"/>
      <c r="FZ711" s="124"/>
      <c r="GA711" s="124"/>
      <c r="GB711" s="124"/>
      <c r="GC711" s="124"/>
      <c r="GD711" s="124"/>
      <c r="GE711" s="124"/>
      <c r="GF711" s="124"/>
      <c r="GG711" s="124"/>
      <c r="GH711" s="124"/>
      <c r="GI711" s="124"/>
      <c r="GJ711" s="124"/>
      <c r="GK711" s="124"/>
      <c r="GL711" s="124"/>
      <c r="GM711" s="124"/>
      <c r="GN711" s="124"/>
      <c r="GO711" s="124"/>
      <c r="GP711" s="124"/>
      <c r="GQ711" s="124"/>
      <c r="GR711" s="124"/>
      <c r="GS711" s="124"/>
      <c r="GT711" s="124"/>
      <c r="GU711" s="124"/>
      <c r="GV711" s="124"/>
      <c r="GW711" s="124"/>
      <c r="GX711" s="124"/>
      <c r="GY711" s="124"/>
      <c r="GZ711" s="124"/>
      <c r="HA711" s="124"/>
      <c r="HB711" s="124"/>
      <c r="HC711" s="124"/>
      <c r="HD711" s="124"/>
      <c r="HE711" s="124"/>
      <c r="HF711" s="124"/>
      <c r="HG711" s="124"/>
      <c r="HH711" s="124"/>
      <c r="HI711" s="124"/>
      <c r="HJ711" s="124"/>
      <c r="HK711" s="124"/>
      <c r="HL711" s="124"/>
      <c r="HM711" s="124"/>
      <c r="HN711" s="124"/>
      <c r="HO711" s="124"/>
      <c r="HP711" s="124"/>
      <c r="HQ711" s="124"/>
      <c r="HR711" s="124"/>
      <c r="HS711" s="124"/>
      <c r="HT711" s="124"/>
      <c r="HU711" s="124"/>
      <c r="HV711" s="124"/>
      <c r="HW711" s="124"/>
      <c r="HX711" s="124"/>
      <c r="HY711" s="124"/>
      <c r="HZ711" s="124"/>
      <c r="IA711" s="124"/>
      <c r="IB711" s="124"/>
      <c r="IC711" s="124"/>
      <c r="ID711" s="124"/>
      <c r="IE711" s="124"/>
      <c r="IF711" s="124"/>
      <c r="IG711" s="124"/>
      <c r="IH711" s="124"/>
      <c r="II711" s="124"/>
      <c r="IJ711" s="124"/>
      <c r="IK711" s="124"/>
      <c r="IL711" s="124"/>
      <c r="IM711" s="124"/>
      <c r="IN711" s="124"/>
      <c r="IO711" s="124"/>
      <c r="IP711" s="124"/>
      <c r="IQ711" s="124"/>
      <c r="IR711" s="124"/>
      <c r="IS711" s="124"/>
      <c r="IT711" s="124"/>
      <c r="IU711" s="124"/>
      <c r="IV711" s="124"/>
      <c r="IW711" s="124"/>
      <c r="IX711" s="124"/>
      <c r="IY711" s="124"/>
      <c r="IZ711" s="124"/>
      <c r="JA711" s="124"/>
    </row>
    <row r="712" spans="1:261" s="2204" customFormat="1" ht="87.75" customHeight="1">
      <c r="A712" s="124"/>
      <c r="B712" s="2249" t="s">
        <v>5349</v>
      </c>
      <c r="C712" s="2082" t="s">
        <v>5350</v>
      </c>
      <c r="D712" s="2132" t="s">
        <v>5351</v>
      </c>
      <c r="E712" s="2021" t="s">
        <v>4840</v>
      </c>
      <c r="F712" s="2061" t="s">
        <v>5352</v>
      </c>
      <c r="G712" s="2205"/>
      <c r="H712" s="446"/>
      <c r="I712" s="2085"/>
      <c r="J712" s="2085"/>
      <c r="K712" s="2085"/>
      <c r="L712" s="446"/>
      <c r="M712" s="843" t="s">
        <v>5406</v>
      </c>
      <c r="N712" s="843"/>
      <c r="O712" s="2234"/>
      <c r="P712" s="2235"/>
      <c r="Q712" s="22"/>
      <c r="R712" s="2236">
        <v>100000</v>
      </c>
      <c r="S712" s="2235">
        <v>45920</v>
      </c>
      <c r="T712" s="22"/>
      <c r="U712" s="124"/>
      <c r="V712" s="706"/>
      <c r="W712" s="706"/>
      <c r="X712" s="124"/>
      <c r="Y712" s="124"/>
      <c r="Z712" s="124"/>
      <c r="AA712" s="124"/>
      <c r="AB712" s="124"/>
      <c r="AC712" s="124"/>
      <c r="AD712" s="124"/>
      <c r="AE712" s="124"/>
      <c r="AF712" s="124"/>
      <c r="AG712" s="124"/>
      <c r="AH712" s="124"/>
      <c r="AI712" s="124"/>
      <c r="AJ712" s="124"/>
      <c r="AK712" s="124"/>
      <c r="AL712" s="124"/>
      <c r="AM712" s="124"/>
      <c r="AN712" s="124"/>
      <c r="AO712" s="124"/>
      <c r="AP712" s="124"/>
      <c r="AQ712" s="124"/>
      <c r="AR712" s="124"/>
      <c r="AS712" s="124"/>
      <c r="AT712" s="124"/>
      <c r="AU712" s="124"/>
      <c r="AV712" s="124"/>
      <c r="AW712" s="124"/>
      <c r="AX712" s="124"/>
      <c r="AY712" s="124"/>
      <c r="AZ712" s="124"/>
      <c r="BA712" s="124"/>
      <c r="BB712" s="124"/>
      <c r="BC712" s="124"/>
      <c r="BD712" s="124"/>
      <c r="BE712" s="124"/>
      <c r="BF712" s="124"/>
      <c r="BG712" s="124"/>
      <c r="BH712" s="124"/>
      <c r="BI712" s="124"/>
      <c r="BJ712" s="124"/>
      <c r="BK712" s="124"/>
      <c r="BL712" s="124"/>
      <c r="BM712" s="124"/>
      <c r="BN712" s="124"/>
      <c r="BO712" s="124"/>
      <c r="BP712" s="124"/>
      <c r="BQ712" s="124"/>
      <c r="BR712" s="124"/>
      <c r="BS712" s="124"/>
      <c r="BT712" s="124"/>
      <c r="BU712" s="124"/>
      <c r="BV712" s="124"/>
      <c r="BW712" s="124"/>
      <c r="BX712" s="124"/>
      <c r="BY712" s="124"/>
      <c r="BZ712" s="124"/>
      <c r="CA712" s="124"/>
      <c r="CB712" s="124"/>
      <c r="CC712" s="124"/>
      <c r="CD712" s="124"/>
      <c r="CE712" s="124"/>
      <c r="CF712" s="124"/>
      <c r="CG712" s="124"/>
      <c r="CH712" s="124"/>
      <c r="CI712" s="124"/>
      <c r="CJ712" s="124"/>
      <c r="CK712" s="124"/>
      <c r="CL712" s="124"/>
      <c r="CM712" s="124"/>
      <c r="CN712" s="124"/>
      <c r="CO712" s="124"/>
      <c r="CP712" s="124"/>
      <c r="CQ712" s="124"/>
      <c r="CR712" s="124"/>
      <c r="CS712" s="124"/>
      <c r="CT712" s="124"/>
      <c r="CU712" s="124"/>
      <c r="CV712" s="124"/>
      <c r="CW712" s="124"/>
      <c r="CX712" s="124"/>
      <c r="CY712" s="124"/>
      <c r="CZ712" s="124"/>
      <c r="DA712" s="124"/>
      <c r="DB712" s="124"/>
      <c r="DC712" s="124"/>
      <c r="DD712" s="124"/>
      <c r="DE712" s="124"/>
      <c r="DF712" s="124"/>
      <c r="DG712" s="124"/>
      <c r="DH712" s="124"/>
      <c r="DI712" s="124"/>
      <c r="DJ712" s="124"/>
      <c r="DK712" s="124"/>
      <c r="DL712" s="124"/>
      <c r="DM712" s="124"/>
      <c r="DN712" s="124"/>
      <c r="DO712" s="124"/>
      <c r="DP712" s="124"/>
      <c r="DQ712" s="124"/>
      <c r="DR712" s="124"/>
      <c r="DS712" s="124"/>
      <c r="DT712" s="124"/>
      <c r="DU712" s="124"/>
      <c r="DV712" s="124"/>
      <c r="DW712" s="124"/>
      <c r="DX712" s="124"/>
      <c r="DY712" s="124"/>
      <c r="DZ712" s="124"/>
      <c r="EA712" s="124"/>
      <c r="EB712" s="124"/>
      <c r="EC712" s="124"/>
      <c r="ED712" s="124"/>
      <c r="EE712" s="124"/>
      <c r="EF712" s="124"/>
      <c r="EG712" s="124"/>
      <c r="EH712" s="124"/>
      <c r="EI712" s="124"/>
      <c r="EJ712" s="124"/>
      <c r="EK712" s="124"/>
      <c r="EL712" s="124"/>
      <c r="EM712" s="124"/>
      <c r="EN712" s="124"/>
      <c r="EO712" s="124"/>
      <c r="EP712" s="124"/>
      <c r="EQ712" s="124"/>
      <c r="ER712" s="124"/>
      <c r="ES712" s="124"/>
      <c r="ET712" s="124"/>
      <c r="EU712" s="124"/>
      <c r="EV712" s="124"/>
      <c r="EW712" s="124"/>
      <c r="EX712" s="124"/>
      <c r="EY712" s="124"/>
      <c r="EZ712" s="124"/>
      <c r="FA712" s="124"/>
      <c r="FB712" s="124"/>
      <c r="FC712" s="124"/>
      <c r="FD712" s="124"/>
      <c r="FE712" s="124"/>
      <c r="FF712" s="124"/>
      <c r="FG712" s="124"/>
      <c r="FH712" s="124"/>
      <c r="FI712" s="124"/>
      <c r="FJ712" s="124"/>
      <c r="FK712" s="124"/>
      <c r="FL712" s="124"/>
      <c r="FM712" s="124"/>
      <c r="FN712" s="124"/>
      <c r="FO712" s="124"/>
      <c r="FP712" s="124"/>
      <c r="FQ712" s="124"/>
      <c r="FR712" s="124"/>
      <c r="FS712" s="124"/>
      <c r="FT712" s="124"/>
      <c r="FU712" s="124"/>
      <c r="FV712" s="124"/>
      <c r="FW712" s="124"/>
      <c r="FX712" s="124"/>
      <c r="FY712" s="124"/>
      <c r="FZ712" s="124"/>
      <c r="GA712" s="124"/>
      <c r="GB712" s="124"/>
      <c r="GC712" s="124"/>
      <c r="GD712" s="124"/>
      <c r="GE712" s="124"/>
      <c r="GF712" s="124"/>
      <c r="GG712" s="124"/>
      <c r="GH712" s="124"/>
      <c r="GI712" s="124"/>
      <c r="GJ712" s="124"/>
      <c r="GK712" s="124"/>
      <c r="GL712" s="124"/>
      <c r="GM712" s="124"/>
      <c r="GN712" s="124"/>
      <c r="GO712" s="124"/>
      <c r="GP712" s="124"/>
      <c r="GQ712" s="124"/>
      <c r="GR712" s="124"/>
      <c r="GS712" s="124"/>
      <c r="GT712" s="124"/>
      <c r="GU712" s="124"/>
      <c r="GV712" s="124"/>
      <c r="GW712" s="124"/>
      <c r="GX712" s="124"/>
      <c r="GY712" s="124"/>
      <c r="GZ712" s="124"/>
      <c r="HA712" s="124"/>
      <c r="HB712" s="124"/>
      <c r="HC712" s="124"/>
      <c r="HD712" s="124"/>
      <c r="HE712" s="124"/>
      <c r="HF712" s="124"/>
      <c r="HG712" s="124"/>
      <c r="HH712" s="124"/>
      <c r="HI712" s="124"/>
      <c r="HJ712" s="124"/>
      <c r="HK712" s="124"/>
      <c r="HL712" s="124"/>
      <c r="HM712" s="124"/>
      <c r="HN712" s="124"/>
      <c r="HO712" s="124"/>
      <c r="HP712" s="124"/>
      <c r="HQ712" s="124"/>
      <c r="HR712" s="124"/>
      <c r="HS712" s="124"/>
      <c r="HT712" s="124"/>
      <c r="HU712" s="124"/>
      <c r="HV712" s="124"/>
      <c r="HW712" s="124"/>
      <c r="HX712" s="124"/>
      <c r="HY712" s="124"/>
      <c r="HZ712" s="124"/>
      <c r="IA712" s="124"/>
      <c r="IB712" s="124"/>
      <c r="IC712" s="124"/>
      <c r="ID712" s="124"/>
      <c r="IE712" s="124"/>
      <c r="IF712" s="124"/>
      <c r="IG712" s="124"/>
      <c r="IH712" s="124"/>
      <c r="II712" s="124"/>
      <c r="IJ712" s="124"/>
      <c r="IK712" s="124"/>
      <c r="IL712" s="124"/>
      <c r="IM712" s="124"/>
      <c r="IN712" s="124"/>
      <c r="IO712" s="124"/>
      <c r="IP712" s="124"/>
      <c r="IQ712" s="124"/>
      <c r="IR712" s="124"/>
      <c r="IS712" s="124"/>
      <c r="IT712" s="124"/>
      <c r="IU712" s="124"/>
      <c r="IV712" s="124"/>
      <c r="IW712" s="124"/>
      <c r="IX712" s="124"/>
      <c r="IY712" s="124"/>
      <c r="IZ712" s="124"/>
      <c r="JA712" s="124"/>
    </row>
    <row r="713" spans="1:261" ht="69" customHeight="1">
      <c r="A713" s="741"/>
      <c r="B713" s="2364" t="s">
        <v>5372</v>
      </c>
      <c r="C713" s="2491" t="s">
        <v>5378</v>
      </c>
      <c r="D713" s="2492" t="s">
        <v>5375</v>
      </c>
      <c r="E713" s="2492" t="s">
        <v>5374</v>
      </c>
      <c r="F713" s="2494" t="s">
        <v>5376</v>
      </c>
      <c r="G713" s="2492" t="s">
        <v>5377</v>
      </c>
      <c r="H713" s="741"/>
      <c r="I713" s="741"/>
      <c r="J713" s="893"/>
      <c r="K713" s="1921"/>
      <c r="L713" s="741"/>
      <c r="M713" s="843" t="s">
        <v>5407</v>
      </c>
      <c r="N713" s="843"/>
      <c r="O713" s="1978"/>
      <c r="P713" s="2235"/>
      <c r="Q713" s="22"/>
      <c r="R713" s="1978">
        <v>150000</v>
      </c>
      <c r="S713" s="2235">
        <v>45943</v>
      </c>
      <c r="T713" s="741"/>
      <c r="U713" s="741"/>
      <c r="V713" s="741"/>
      <c r="W713" s="741"/>
      <c r="X713" s="741"/>
      <c r="Y713" s="741"/>
      <c r="Z713" s="741"/>
      <c r="AA713" s="741"/>
      <c r="AB713" s="741"/>
      <c r="AC713" s="741"/>
      <c r="AD713" s="741"/>
      <c r="AE713" s="741"/>
      <c r="AF713" s="741"/>
      <c r="AG713" s="741"/>
      <c r="AH713" s="741"/>
    </row>
    <row r="714" spans="1:261" s="1722" customFormat="1" ht="59.25" customHeight="1">
      <c r="A714" s="599"/>
      <c r="B714" s="2366"/>
      <c r="C714" s="2478"/>
      <c r="D714" s="2493"/>
      <c r="E714" s="2493"/>
      <c r="F714" s="2495"/>
      <c r="G714" s="2493"/>
      <c r="H714" s="599"/>
      <c r="I714" s="599"/>
      <c r="J714" s="599"/>
      <c r="K714" s="599"/>
      <c r="L714" s="599"/>
      <c r="M714" s="446" t="s">
        <v>5379</v>
      </c>
      <c r="N714" s="599" t="s">
        <v>5380</v>
      </c>
      <c r="O714" s="599" t="s">
        <v>5381</v>
      </c>
      <c r="P714" s="599"/>
      <c r="Q714" s="599"/>
      <c r="R714" s="599"/>
      <c r="S714" s="599"/>
      <c r="T714" s="599"/>
      <c r="U714" s="599"/>
      <c r="V714" s="599"/>
      <c r="W714" s="599"/>
      <c r="X714" s="599"/>
      <c r="Y714" s="599"/>
      <c r="Z714" s="599"/>
      <c r="AA714" s="599"/>
      <c r="AB714" s="599"/>
      <c r="AC714" s="599"/>
      <c r="AD714" s="599"/>
      <c r="AE714" s="599"/>
      <c r="AF714" s="599"/>
      <c r="AG714" s="599"/>
      <c r="AH714" s="599"/>
      <c r="AI714" s="599"/>
      <c r="AJ714" s="599"/>
      <c r="AK714" s="599"/>
      <c r="AL714" s="599"/>
      <c r="AM714" s="599"/>
      <c r="AN714" s="599"/>
      <c r="AO714" s="599"/>
      <c r="AP714" s="599"/>
      <c r="AQ714" s="599"/>
      <c r="AR714" s="599"/>
      <c r="AS714" s="599"/>
      <c r="AT714" s="599"/>
      <c r="AU714" s="599"/>
      <c r="AV714" s="599"/>
      <c r="AW714" s="599"/>
      <c r="AX714" s="599"/>
      <c r="AY714" s="599"/>
      <c r="AZ714" s="599"/>
      <c r="BA714" s="599"/>
      <c r="BB714" s="599"/>
      <c r="BC714" s="599"/>
      <c r="BD714" s="599"/>
      <c r="BE714" s="599"/>
      <c r="BF714" s="599"/>
      <c r="BG714" s="599"/>
      <c r="BH714" s="599"/>
      <c r="BI714" s="599"/>
      <c r="BJ714" s="599"/>
      <c r="BK714" s="599"/>
      <c r="BL714" s="599"/>
      <c r="BM714" s="599"/>
      <c r="BN714" s="599"/>
      <c r="BO714" s="599"/>
      <c r="BP714" s="599"/>
      <c r="BQ714" s="599"/>
      <c r="BR714" s="599"/>
      <c r="BS714" s="599"/>
      <c r="BT714" s="599"/>
      <c r="BU714" s="599"/>
      <c r="BV714" s="599"/>
      <c r="BW714" s="599"/>
      <c r="BX714" s="599"/>
      <c r="BY714" s="599"/>
      <c r="BZ714" s="599"/>
      <c r="CA714" s="599"/>
      <c r="CB714" s="599"/>
      <c r="CC714" s="599"/>
      <c r="CD714" s="599"/>
      <c r="CE714" s="599"/>
      <c r="CF714" s="599"/>
      <c r="CG714" s="599"/>
      <c r="CH714" s="599"/>
      <c r="CI714" s="599"/>
      <c r="CJ714" s="599"/>
      <c r="CK714" s="599"/>
      <c r="CL714" s="599"/>
      <c r="CM714" s="599"/>
      <c r="CN714" s="599"/>
      <c r="CO714" s="599"/>
      <c r="CP714" s="599"/>
      <c r="CQ714" s="599"/>
      <c r="CR714" s="599"/>
      <c r="CS714" s="599"/>
      <c r="CT714" s="599"/>
      <c r="CU714" s="599"/>
      <c r="CV714" s="599"/>
      <c r="CW714" s="599"/>
      <c r="CX714" s="599"/>
      <c r="CY714" s="599"/>
      <c r="CZ714" s="599"/>
      <c r="DA714" s="599"/>
      <c r="DB714" s="599"/>
      <c r="DC714" s="599"/>
      <c r="DD714" s="599"/>
      <c r="DE714" s="599"/>
      <c r="DF714" s="599"/>
      <c r="DG714" s="599"/>
      <c r="DH714" s="599"/>
      <c r="DI714" s="599"/>
      <c r="DJ714" s="599"/>
      <c r="DK714" s="599"/>
      <c r="DL714" s="599"/>
      <c r="DM714" s="599"/>
      <c r="DN714" s="599"/>
      <c r="DO714" s="599"/>
      <c r="DP714" s="599"/>
      <c r="DQ714" s="599"/>
      <c r="DR714" s="599"/>
      <c r="DS714" s="599"/>
      <c r="DT714" s="599"/>
      <c r="DU714" s="599"/>
      <c r="DV714" s="599"/>
      <c r="DW714" s="599"/>
      <c r="DX714" s="599"/>
      <c r="DY714" s="599"/>
      <c r="DZ714" s="599"/>
      <c r="EA714" s="599"/>
      <c r="EB714" s="599"/>
      <c r="EC714" s="599"/>
      <c r="ED714" s="599"/>
      <c r="EE714" s="599"/>
      <c r="EF714" s="599"/>
      <c r="EG714" s="599"/>
      <c r="EH714" s="599"/>
      <c r="EI714" s="599"/>
      <c r="EJ714" s="599"/>
      <c r="EK714" s="599"/>
      <c r="EL714" s="599"/>
      <c r="EM714" s="599"/>
      <c r="EN714" s="599"/>
      <c r="EO714" s="599"/>
      <c r="EP714" s="599"/>
      <c r="EQ714" s="599"/>
      <c r="ER714" s="599"/>
      <c r="ES714" s="599"/>
      <c r="ET714" s="599"/>
      <c r="EU714" s="599"/>
      <c r="EV714" s="599"/>
      <c r="EW714" s="599"/>
      <c r="EX714" s="599"/>
      <c r="EY714" s="599"/>
      <c r="EZ714" s="599"/>
      <c r="FA714" s="599"/>
      <c r="FB714" s="599"/>
      <c r="FC714" s="599"/>
      <c r="FD714" s="599"/>
      <c r="FE714" s="599"/>
      <c r="FF714" s="599"/>
      <c r="FG714" s="599"/>
      <c r="FH714" s="599"/>
      <c r="FI714" s="599"/>
      <c r="FJ714" s="599"/>
      <c r="FK714" s="599"/>
      <c r="FL714" s="599"/>
      <c r="FM714" s="599"/>
      <c r="FN714" s="599"/>
      <c r="FO714" s="599"/>
      <c r="FP714" s="599"/>
      <c r="FQ714" s="599"/>
      <c r="FR714" s="599"/>
      <c r="FS714" s="599"/>
      <c r="FT714" s="599"/>
      <c r="FU714" s="599"/>
      <c r="FV714" s="599"/>
      <c r="FW714" s="599"/>
      <c r="FX714" s="599"/>
      <c r="FY714" s="599"/>
      <c r="FZ714" s="599"/>
      <c r="GA714" s="599"/>
      <c r="GB714" s="599"/>
      <c r="GC714" s="599"/>
      <c r="GD714" s="599"/>
      <c r="GE714" s="599"/>
      <c r="GF714" s="599"/>
      <c r="GG714" s="599"/>
      <c r="GH714" s="599"/>
      <c r="GI714" s="599"/>
      <c r="GJ714" s="599"/>
      <c r="GK714" s="599"/>
      <c r="GL714" s="599"/>
      <c r="GM714" s="599"/>
      <c r="GN714" s="599"/>
      <c r="GO714" s="599"/>
      <c r="GP714" s="599"/>
      <c r="GQ714" s="599"/>
      <c r="GR714" s="599"/>
      <c r="GS714" s="599"/>
      <c r="GT714" s="599"/>
      <c r="GU714" s="599"/>
      <c r="GV714" s="599"/>
      <c r="GW714" s="599"/>
      <c r="GX714" s="599"/>
      <c r="GY714" s="599"/>
      <c r="GZ714" s="599"/>
      <c r="HA714" s="599"/>
      <c r="HB714" s="599"/>
      <c r="HC714" s="599"/>
      <c r="HD714" s="599"/>
      <c r="HE714" s="599"/>
      <c r="HF714" s="599"/>
      <c r="HG714" s="599"/>
      <c r="HH714" s="599"/>
      <c r="HI714" s="599"/>
      <c r="HJ714" s="599"/>
      <c r="HK714" s="599"/>
      <c r="HL714" s="599"/>
      <c r="HM714" s="599"/>
      <c r="HN714" s="599"/>
      <c r="HO714" s="599"/>
      <c r="HP714" s="599"/>
      <c r="HQ714" s="599"/>
      <c r="HR714" s="599"/>
      <c r="HS714" s="599"/>
      <c r="HT714" s="599"/>
      <c r="HU714" s="599"/>
      <c r="HV714" s="599"/>
      <c r="HW714" s="599"/>
      <c r="HX714" s="599"/>
      <c r="HY714" s="599"/>
      <c r="HZ714" s="599"/>
      <c r="IA714" s="599"/>
      <c r="IB714" s="599"/>
      <c r="IC714" s="599"/>
      <c r="ID714" s="599"/>
      <c r="IE714" s="599"/>
      <c r="IF714" s="599"/>
      <c r="IG714" s="599"/>
      <c r="IH714" s="599"/>
      <c r="II714" s="599"/>
      <c r="IJ714" s="599"/>
      <c r="IK714" s="599"/>
      <c r="IL714" s="599"/>
      <c r="IM714" s="599"/>
      <c r="IN714" s="599"/>
      <c r="IO714" s="599"/>
      <c r="IP714" s="599"/>
      <c r="IQ714" s="599"/>
      <c r="IR714" s="599"/>
      <c r="IS714" s="599"/>
      <c r="IT714" s="599"/>
      <c r="IU714" s="599"/>
      <c r="IV714" s="599"/>
    </row>
    <row r="715" spans="1:261" s="776" customFormat="1" ht="104.25" customHeight="1">
      <c r="A715" s="2021"/>
      <c r="B715" s="2249" t="s">
        <v>5391</v>
      </c>
      <c r="C715" s="2021" t="s">
        <v>5393</v>
      </c>
      <c r="D715" s="2007" t="s">
        <v>5494</v>
      </c>
      <c r="E715" s="2021" t="s">
        <v>5394</v>
      </c>
      <c r="F715" s="2225">
        <v>3780000</v>
      </c>
      <c r="G715" s="2021"/>
      <c r="H715" s="2021"/>
      <c r="I715" s="2021"/>
      <c r="J715" s="2021"/>
      <c r="K715" s="2021"/>
      <c r="L715" s="2021"/>
      <c r="M715" s="1880"/>
      <c r="N715" s="2021"/>
      <c r="O715" s="2021"/>
      <c r="P715" s="2021"/>
      <c r="Q715" s="2021"/>
      <c r="R715" s="2021"/>
      <c r="S715" s="2021"/>
      <c r="T715" s="2021"/>
      <c r="U715" s="2021"/>
      <c r="V715" s="2021"/>
      <c r="W715" s="2021"/>
      <c r="X715" s="2021"/>
      <c r="Y715" s="2021"/>
      <c r="Z715" s="2021"/>
      <c r="AA715" s="2021"/>
      <c r="AB715" s="2021"/>
      <c r="AC715" s="2021"/>
      <c r="AD715" s="2021"/>
      <c r="AE715" s="2021"/>
      <c r="AF715" s="2021"/>
      <c r="AG715" s="2021"/>
      <c r="AH715" s="2021"/>
      <c r="AI715" s="2021"/>
      <c r="AJ715" s="2021"/>
      <c r="AK715" s="2021"/>
      <c r="AL715" s="2021"/>
      <c r="AM715" s="2021"/>
      <c r="AN715" s="2021"/>
      <c r="AO715" s="2021"/>
      <c r="AP715" s="2021"/>
      <c r="AQ715" s="2021"/>
      <c r="AR715" s="2021"/>
      <c r="AS715" s="2021"/>
      <c r="AT715" s="2021"/>
      <c r="AU715" s="2021"/>
      <c r="AV715" s="2021"/>
      <c r="AW715" s="2021"/>
      <c r="AX715" s="2021"/>
      <c r="AY715" s="2021"/>
      <c r="AZ715" s="2021"/>
      <c r="BA715" s="2021"/>
      <c r="BB715" s="2021"/>
      <c r="BC715" s="2021"/>
      <c r="BD715" s="2021"/>
      <c r="BE715" s="2021"/>
      <c r="BF715" s="2021"/>
      <c r="BG715" s="2021"/>
      <c r="BH715" s="2021"/>
      <c r="BI715" s="2021"/>
      <c r="BJ715" s="2021"/>
      <c r="BK715" s="2021"/>
      <c r="BL715" s="2021"/>
      <c r="BM715" s="2021"/>
      <c r="BN715" s="2021"/>
      <c r="BO715" s="2021"/>
      <c r="BP715" s="2021"/>
      <c r="BQ715" s="2021"/>
      <c r="BR715" s="2021"/>
      <c r="BS715" s="2021"/>
      <c r="BT715" s="2021"/>
      <c r="BU715" s="2021"/>
      <c r="BV715" s="2021"/>
      <c r="BW715" s="2021"/>
      <c r="BX715" s="2021"/>
      <c r="BY715" s="2021"/>
      <c r="BZ715" s="2021"/>
      <c r="CA715" s="2021"/>
      <c r="CB715" s="2021"/>
      <c r="CC715" s="2021"/>
      <c r="CD715" s="2021"/>
      <c r="CE715" s="2021"/>
      <c r="CF715" s="2021"/>
      <c r="CG715" s="2021"/>
      <c r="CH715" s="2021"/>
      <c r="CI715" s="2021"/>
      <c r="CJ715" s="2021"/>
      <c r="CK715" s="2021"/>
      <c r="CL715" s="2021"/>
      <c r="CM715" s="2021"/>
      <c r="CN715" s="2021"/>
      <c r="CO715" s="2021"/>
      <c r="CP715" s="2021"/>
      <c r="CQ715" s="2021"/>
      <c r="CR715" s="2021"/>
      <c r="CS715" s="2021"/>
      <c r="CT715" s="2021"/>
      <c r="CU715" s="2021"/>
      <c r="CV715" s="2021"/>
      <c r="CW715" s="2021"/>
      <c r="CX715" s="2021"/>
      <c r="CY715" s="2021"/>
      <c r="CZ715" s="2021"/>
      <c r="DA715" s="2021"/>
      <c r="DB715" s="2021"/>
      <c r="DC715" s="2021"/>
      <c r="DD715" s="2021"/>
      <c r="DE715" s="2021"/>
      <c r="DF715" s="2021"/>
      <c r="DG715" s="2021"/>
      <c r="DH715" s="2021"/>
      <c r="DI715" s="2021"/>
      <c r="DJ715" s="2021"/>
      <c r="DK715" s="2021"/>
      <c r="DL715" s="2021"/>
      <c r="DM715" s="2021"/>
      <c r="DN715" s="2021"/>
      <c r="DO715" s="2021"/>
      <c r="DP715" s="2021"/>
      <c r="DQ715" s="2021"/>
      <c r="DR715" s="2021"/>
      <c r="DS715" s="2021"/>
      <c r="DT715" s="2021"/>
      <c r="DU715" s="2021"/>
      <c r="DV715" s="2021"/>
      <c r="DW715" s="2021"/>
      <c r="DX715" s="2021"/>
      <c r="DY715" s="2021"/>
      <c r="DZ715" s="2021"/>
      <c r="EA715" s="2021"/>
      <c r="EB715" s="2021"/>
      <c r="EC715" s="2021"/>
      <c r="ED715" s="2021"/>
      <c r="EE715" s="2021"/>
      <c r="EF715" s="2021"/>
      <c r="EG715" s="2021"/>
      <c r="EH715" s="2021"/>
      <c r="EI715" s="2021"/>
      <c r="EJ715" s="2021"/>
      <c r="EK715" s="2021"/>
      <c r="EL715" s="2021"/>
      <c r="EM715" s="2021"/>
      <c r="EN715" s="2021"/>
      <c r="EO715" s="2021"/>
      <c r="EP715" s="2021"/>
      <c r="EQ715" s="2021"/>
      <c r="ER715" s="2021"/>
      <c r="ES715" s="2021"/>
      <c r="ET715" s="2021"/>
      <c r="EU715" s="2021"/>
      <c r="EV715" s="2021"/>
      <c r="EW715" s="2021"/>
      <c r="EX715" s="2021"/>
      <c r="EY715" s="2021"/>
      <c r="EZ715" s="2021"/>
      <c r="FA715" s="2021"/>
      <c r="FB715" s="2021"/>
      <c r="FC715" s="2021"/>
      <c r="FD715" s="2021"/>
      <c r="FE715" s="2021"/>
      <c r="FF715" s="2021"/>
      <c r="FG715" s="2021"/>
      <c r="FH715" s="2021"/>
      <c r="FI715" s="2021"/>
      <c r="FJ715" s="2021"/>
      <c r="FK715" s="2021"/>
      <c r="FL715" s="2021"/>
      <c r="FM715" s="2021"/>
      <c r="FN715" s="2021"/>
      <c r="FO715" s="2021"/>
      <c r="FP715" s="2021"/>
      <c r="FQ715" s="2021"/>
      <c r="FR715" s="2021"/>
      <c r="FS715" s="2021"/>
      <c r="FT715" s="2021"/>
      <c r="FU715" s="2021"/>
      <c r="FV715" s="2021"/>
      <c r="FW715" s="2021"/>
      <c r="FX715" s="2021"/>
      <c r="FY715" s="2021"/>
      <c r="FZ715" s="2021"/>
      <c r="GA715" s="2021"/>
      <c r="GB715" s="2021"/>
      <c r="GC715" s="2021"/>
      <c r="GD715" s="2021"/>
      <c r="GE715" s="2021"/>
      <c r="GF715" s="2021"/>
      <c r="GG715" s="2021"/>
      <c r="GH715" s="2021"/>
      <c r="GI715" s="2021"/>
      <c r="GJ715" s="2021"/>
      <c r="GK715" s="2021"/>
      <c r="GL715" s="2021"/>
      <c r="GM715" s="2021"/>
      <c r="GN715" s="2021"/>
      <c r="GO715" s="2021"/>
      <c r="GP715" s="2021"/>
      <c r="GQ715" s="2021"/>
      <c r="GR715" s="2021"/>
      <c r="GS715" s="2021"/>
      <c r="GT715" s="2021"/>
      <c r="GU715" s="2021"/>
      <c r="GV715" s="2021"/>
      <c r="GW715" s="2021"/>
      <c r="GX715" s="2021"/>
      <c r="GY715" s="2021"/>
      <c r="GZ715" s="2021"/>
      <c r="HA715" s="2021"/>
      <c r="HB715" s="2021"/>
      <c r="HC715" s="2021"/>
      <c r="HD715" s="2021"/>
      <c r="HE715" s="2021"/>
      <c r="HF715" s="2021"/>
      <c r="HG715" s="2021"/>
      <c r="HH715" s="2021"/>
      <c r="HI715" s="2021"/>
      <c r="HJ715" s="2021"/>
      <c r="HK715" s="2021"/>
      <c r="HL715" s="2021"/>
      <c r="HM715" s="2021"/>
      <c r="HN715" s="2021"/>
      <c r="HO715" s="2021"/>
      <c r="HP715" s="2021"/>
      <c r="HQ715" s="2021"/>
      <c r="HR715" s="2021"/>
      <c r="HS715" s="2021"/>
      <c r="HT715" s="2021"/>
      <c r="HU715" s="2021"/>
      <c r="HV715" s="2021"/>
      <c r="HW715" s="2021"/>
      <c r="HX715" s="2021"/>
      <c r="HY715" s="2021"/>
      <c r="HZ715" s="2021"/>
      <c r="IA715" s="2021"/>
      <c r="IB715" s="2021"/>
      <c r="IC715" s="2021"/>
      <c r="ID715" s="2021"/>
      <c r="IE715" s="2021"/>
      <c r="IF715" s="2021"/>
      <c r="IG715" s="2021"/>
      <c r="IH715" s="2021"/>
      <c r="II715" s="2021"/>
      <c r="IJ715" s="2021"/>
      <c r="IK715" s="2021"/>
      <c r="IL715" s="2021"/>
      <c r="IM715" s="2021"/>
      <c r="IN715" s="2021"/>
      <c r="IO715" s="2021"/>
      <c r="IP715" s="2021"/>
      <c r="IQ715" s="2021"/>
      <c r="IR715" s="2021"/>
      <c r="IS715" s="2021"/>
      <c r="IT715" s="2021"/>
      <c r="IU715" s="2021"/>
      <c r="IV715" s="2021"/>
    </row>
    <row r="716" spans="1:261" s="2232" customFormat="1" ht="72" customHeight="1">
      <c r="A716" s="1880"/>
      <c r="B716" s="2249" t="s">
        <v>5408</v>
      </c>
      <c r="C716" s="610" t="s">
        <v>5410</v>
      </c>
      <c r="D716" s="2248" t="s">
        <v>5409</v>
      </c>
      <c r="E716" s="599"/>
      <c r="F716" s="601">
        <v>1267245</v>
      </c>
      <c r="G716" s="2021"/>
      <c r="H716" s="599"/>
      <c r="I716" s="599"/>
      <c r="J716" s="599"/>
      <c r="K716" s="599"/>
      <c r="L716" s="599"/>
      <c r="M716" s="446"/>
      <c r="N716" s="599"/>
      <c r="O716" s="599"/>
      <c r="P716" s="599"/>
      <c r="Q716" s="599"/>
      <c r="R716" s="599"/>
      <c r="S716" s="599"/>
      <c r="T716" s="599"/>
      <c r="U716" s="599"/>
      <c r="V716" s="599"/>
      <c r="W716" s="599"/>
      <c r="X716" s="599"/>
      <c r="Y716" s="599"/>
      <c r="Z716" s="599"/>
      <c r="AA716" s="599"/>
      <c r="AB716" s="599"/>
      <c r="AC716" s="599"/>
      <c r="AD716" s="599"/>
      <c r="AE716" s="599"/>
      <c r="AF716" s="599"/>
      <c r="AG716" s="599"/>
      <c r="AH716" s="599"/>
      <c r="AI716" s="599"/>
      <c r="AJ716" s="599"/>
      <c r="AK716" s="599"/>
      <c r="AL716" s="599"/>
      <c r="AM716" s="599"/>
      <c r="AN716" s="599"/>
      <c r="AO716" s="599"/>
      <c r="AP716" s="599"/>
      <c r="AQ716" s="599"/>
      <c r="AR716" s="599"/>
      <c r="AS716" s="599"/>
      <c r="AT716" s="599"/>
      <c r="AU716" s="599"/>
      <c r="AV716" s="599"/>
      <c r="AW716" s="599"/>
      <c r="AX716" s="599"/>
      <c r="AY716" s="599"/>
      <c r="AZ716" s="599"/>
      <c r="BA716" s="2141"/>
      <c r="BB716" s="2141"/>
      <c r="BC716" s="2141"/>
      <c r="BD716" s="2141"/>
      <c r="BE716" s="2141"/>
      <c r="BF716" s="2141"/>
      <c r="BG716" s="2141"/>
      <c r="BH716" s="2141"/>
      <c r="BI716" s="2141"/>
      <c r="BJ716" s="2141"/>
      <c r="BK716" s="2141"/>
      <c r="BL716" s="2141"/>
      <c r="BM716" s="2141"/>
      <c r="BN716" s="2141"/>
      <c r="BO716" s="2141"/>
      <c r="BP716" s="2141"/>
      <c r="BQ716" s="2141"/>
      <c r="BR716" s="2141"/>
      <c r="BS716" s="2141"/>
      <c r="BT716" s="2141"/>
      <c r="BU716" s="2141"/>
      <c r="BV716" s="2141"/>
      <c r="BW716" s="2141"/>
      <c r="BX716" s="2141"/>
      <c r="BY716" s="2141"/>
      <c r="BZ716" s="2141"/>
      <c r="CA716" s="2141"/>
      <c r="CB716" s="2141"/>
      <c r="CC716" s="2141"/>
      <c r="CD716" s="2141"/>
      <c r="CE716" s="2141"/>
      <c r="CF716" s="2141"/>
      <c r="CG716" s="2141"/>
      <c r="CH716" s="2141"/>
      <c r="CI716" s="2141"/>
      <c r="CJ716" s="2141"/>
      <c r="CK716" s="2141"/>
      <c r="CL716" s="2141"/>
      <c r="CM716" s="2141"/>
      <c r="CN716" s="2141"/>
      <c r="CO716" s="2141"/>
      <c r="CP716" s="2141"/>
      <c r="CQ716" s="2141"/>
      <c r="CR716" s="2141"/>
      <c r="CS716" s="2141"/>
      <c r="CT716" s="2141"/>
      <c r="CU716" s="2141"/>
      <c r="CV716" s="2141"/>
      <c r="CW716" s="2141"/>
      <c r="CX716" s="2141"/>
      <c r="CY716" s="2141"/>
      <c r="CZ716" s="2141"/>
      <c r="DA716" s="2141"/>
      <c r="DB716" s="2141"/>
      <c r="DC716" s="2141"/>
      <c r="DD716" s="2141"/>
      <c r="DE716" s="2141"/>
      <c r="DF716" s="2141"/>
      <c r="DG716" s="2141"/>
      <c r="DH716" s="2141"/>
      <c r="DI716" s="2141"/>
      <c r="DJ716" s="2141"/>
      <c r="DK716" s="2141"/>
      <c r="DL716" s="2141"/>
      <c r="DM716" s="2141"/>
      <c r="DN716" s="2141"/>
      <c r="DO716" s="2141"/>
      <c r="DP716" s="2141"/>
      <c r="DQ716" s="2141"/>
      <c r="DR716" s="2141"/>
      <c r="DS716" s="2141"/>
      <c r="DT716" s="2141"/>
      <c r="DU716" s="2141"/>
      <c r="DV716" s="2141"/>
      <c r="DW716" s="2141"/>
      <c r="DX716" s="2141"/>
      <c r="DY716" s="2141"/>
      <c r="DZ716" s="2141"/>
      <c r="EA716" s="2141"/>
      <c r="EB716" s="2141"/>
      <c r="EC716" s="2141"/>
      <c r="ED716" s="2141"/>
      <c r="EE716" s="2141"/>
      <c r="EF716" s="2141"/>
      <c r="EG716" s="2141"/>
      <c r="EH716" s="2141"/>
      <c r="EI716" s="2141"/>
      <c r="EJ716" s="2141"/>
      <c r="EK716" s="2141"/>
      <c r="EL716" s="2141"/>
      <c r="EM716" s="2141"/>
      <c r="EN716" s="2141"/>
      <c r="EO716" s="2141"/>
      <c r="EP716" s="2141"/>
      <c r="EQ716" s="2141"/>
      <c r="ER716" s="2141"/>
      <c r="ES716" s="2141"/>
      <c r="ET716" s="2141"/>
      <c r="EU716" s="2141"/>
      <c r="EV716" s="2141"/>
      <c r="EW716" s="2141"/>
      <c r="EX716" s="2141"/>
      <c r="EY716" s="2141"/>
      <c r="EZ716" s="2141"/>
      <c r="FA716" s="2141"/>
      <c r="FB716" s="2141"/>
      <c r="FC716" s="2141"/>
      <c r="FD716" s="2141"/>
      <c r="FE716" s="2141"/>
      <c r="FF716" s="2141"/>
      <c r="FG716" s="2141"/>
      <c r="FH716" s="2141"/>
      <c r="FI716" s="2141"/>
      <c r="FJ716" s="2141"/>
      <c r="FK716" s="2141"/>
      <c r="FL716" s="2141"/>
      <c r="FM716" s="2141"/>
      <c r="FN716" s="2141"/>
      <c r="FO716" s="2141"/>
      <c r="FP716" s="2141"/>
      <c r="FQ716" s="2141"/>
      <c r="FR716" s="2141"/>
      <c r="FS716" s="2141"/>
      <c r="FT716" s="2141"/>
      <c r="FU716" s="2141"/>
      <c r="FV716" s="2141"/>
      <c r="FW716" s="2141"/>
      <c r="FX716" s="2141"/>
      <c r="FY716" s="2141"/>
      <c r="FZ716" s="2141"/>
      <c r="GA716" s="2141"/>
      <c r="GB716" s="2141"/>
      <c r="GC716" s="2141"/>
      <c r="GD716" s="2141"/>
      <c r="GE716" s="2141"/>
      <c r="GF716" s="2141"/>
      <c r="GG716" s="2141"/>
      <c r="GH716" s="2141"/>
      <c r="GI716" s="2141"/>
      <c r="GJ716" s="2141"/>
      <c r="GK716" s="2141"/>
      <c r="GL716" s="2141"/>
      <c r="GM716" s="2141"/>
      <c r="GN716" s="2141"/>
      <c r="GO716" s="2141"/>
      <c r="GP716" s="2141"/>
      <c r="GQ716" s="2141"/>
      <c r="GR716" s="2141"/>
      <c r="GS716" s="2141"/>
      <c r="GT716" s="2141"/>
      <c r="GU716" s="2141"/>
      <c r="GV716" s="2141"/>
      <c r="GW716" s="2141"/>
      <c r="GX716" s="2141"/>
      <c r="GY716" s="2141"/>
      <c r="GZ716" s="2141"/>
      <c r="HA716" s="2141"/>
      <c r="HB716" s="2141"/>
      <c r="HC716" s="2141"/>
      <c r="HD716" s="2141"/>
      <c r="HE716" s="2141"/>
      <c r="HF716" s="2141"/>
      <c r="HG716" s="2141"/>
      <c r="HH716" s="2141"/>
      <c r="HI716" s="2141"/>
      <c r="HJ716" s="2141"/>
      <c r="HK716" s="2141"/>
      <c r="HL716" s="2141"/>
      <c r="HM716" s="2141"/>
      <c r="HN716" s="2141"/>
      <c r="HO716" s="2141"/>
      <c r="HP716" s="2141"/>
      <c r="HQ716" s="2141"/>
      <c r="HR716" s="2141"/>
      <c r="HS716" s="2141"/>
      <c r="HT716" s="2141"/>
      <c r="HU716" s="2141"/>
      <c r="HV716" s="2141"/>
      <c r="HW716" s="2141"/>
      <c r="HX716" s="2141"/>
      <c r="HY716" s="2141"/>
      <c r="HZ716" s="2141"/>
      <c r="IA716" s="2141"/>
      <c r="IB716" s="2141"/>
      <c r="IC716" s="2141"/>
      <c r="ID716" s="2141"/>
      <c r="IE716" s="2141"/>
      <c r="IF716" s="2141"/>
      <c r="IG716" s="2141"/>
      <c r="IH716" s="2141"/>
      <c r="II716" s="2141"/>
      <c r="IJ716" s="2141"/>
      <c r="IK716" s="2141"/>
      <c r="IL716" s="2141"/>
      <c r="IM716" s="2141"/>
      <c r="IN716" s="2141"/>
      <c r="IO716" s="2141"/>
      <c r="IP716" s="2141"/>
      <c r="IQ716" s="2141"/>
      <c r="IR716" s="2141"/>
      <c r="IS716" s="2141"/>
      <c r="IT716" s="2141"/>
      <c r="IU716" s="2141"/>
      <c r="IV716" s="2141"/>
    </row>
    <row r="717" spans="1:261" s="2232" customFormat="1" ht="128.25" customHeight="1">
      <c r="A717" s="1880"/>
      <c r="B717" s="2246" t="s">
        <v>5448</v>
      </c>
      <c r="C717" s="911" t="s">
        <v>5447</v>
      </c>
      <c r="D717" s="2247" t="s">
        <v>5451</v>
      </c>
      <c r="E717" s="599"/>
      <c r="F717" s="601">
        <v>5979338.4800000004</v>
      </c>
      <c r="G717" s="2021"/>
      <c r="H717" s="599" t="s">
        <v>571</v>
      </c>
      <c r="I717" s="599"/>
      <c r="J717" s="601">
        <v>5979338.4800000004</v>
      </c>
      <c r="K717" s="599" t="s">
        <v>5449</v>
      </c>
      <c r="L717" s="2021" t="s">
        <v>5471</v>
      </c>
      <c r="M717" s="446"/>
      <c r="N717" s="599"/>
      <c r="O717" s="599"/>
      <c r="P717" s="599"/>
      <c r="Q717" s="599"/>
      <c r="R717" s="599"/>
      <c r="S717" s="599"/>
      <c r="T717" s="599"/>
      <c r="U717" s="599"/>
      <c r="V717" s="599"/>
      <c r="W717" s="599"/>
      <c r="X717" s="599"/>
      <c r="Y717" s="599"/>
      <c r="Z717" s="599"/>
      <c r="AA717" s="599"/>
      <c r="AB717" s="599"/>
      <c r="AC717" s="599"/>
      <c r="AD717" s="599"/>
      <c r="AE717" s="599"/>
      <c r="AF717" s="599"/>
      <c r="AG717" s="599"/>
      <c r="AH717" s="599"/>
      <c r="AI717" s="599"/>
      <c r="AJ717" s="599"/>
      <c r="AK717" s="599"/>
      <c r="AL717" s="599"/>
      <c r="AM717" s="599"/>
      <c r="AN717" s="599"/>
      <c r="AO717" s="599"/>
      <c r="AP717" s="599"/>
      <c r="AQ717" s="599"/>
      <c r="AR717" s="599"/>
      <c r="AS717" s="599"/>
      <c r="AT717" s="599"/>
      <c r="AU717" s="599"/>
      <c r="AV717" s="599"/>
      <c r="AW717" s="599"/>
      <c r="AX717" s="599"/>
      <c r="AY717" s="599"/>
      <c r="AZ717" s="599"/>
      <c r="BA717" s="2141"/>
      <c r="BB717" s="2141"/>
      <c r="BC717" s="2141"/>
      <c r="BD717" s="2141"/>
      <c r="BE717" s="2141"/>
      <c r="BF717" s="2141"/>
      <c r="BG717" s="2141"/>
      <c r="BH717" s="2141"/>
      <c r="BI717" s="2141"/>
      <c r="BJ717" s="2141"/>
      <c r="BK717" s="2141"/>
      <c r="BL717" s="2141"/>
      <c r="BM717" s="2141"/>
      <c r="BN717" s="2141"/>
      <c r="BO717" s="2141"/>
      <c r="BP717" s="2141"/>
      <c r="BQ717" s="2141"/>
      <c r="BR717" s="2141"/>
      <c r="BS717" s="2141"/>
      <c r="BT717" s="2141"/>
      <c r="BU717" s="2141"/>
      <c r="BV717" s="2141"/>
      <c r="BW717" s="2141"/>
      <c r="BX717" s="2141"/>
      <c r="BY717" s="2141"/>
      <c r="BZ717" s="2141"/>
      <c r="CA717" s="2141"/>
      <c r="CB717" s="2141"/>
      <c r="CC717" s="2141"/>
      <c r="CD717" s="2141"/>
      <c r="CE717" s="2141"/>
      <c r="CF717" s="2141"/>
      <c r="CG717" s="2141"/>
      <c r="CH717" s="2141"/>
      <c r="CI717" s="2141"/>
      <c r="CJ717" s="2141"/>
      <c r="CK717" s="2141"/>
      <c r="CL717" s="2141"/>
      <c r="CM717" s="2141"/>
      <c r="CN717" s="2141"/>
      <c r="CO717" s="2141"/>
      <c r="CP717" s="2141"/>
      <c r="CQ717" s="2141"/>
      <c r="CR717" s="2141"/>
      <c r="CS717" s="2141"/>
      <c r="CT717" s="2141"/>
      <c r="CU717" s="2141"/>
      <c r="CV717" s="2141"/>
      <c r="CW717" s="2141"/>
      <c r="CX717" s="2141"/>
      <c r="CY717" s="2141"/>
      <c r="CZ717" s="2141"/>
      <c r="DA717" s="2141"/>
      <c r="DB717" s="2141"/>
      <c r="DC717" s="2141"/>
      <c r="DD717" s="2141"/>
      <c r="DE717" s="2141"/>
      <c r="DF717" s="2141"/>
      <c r="DG717" s="2141"/>
      <c r="DH717" s="2141"/>
      <c r="DI717" s="2141"/>
      <c r="DJ717" s="2141"/>
      <c r="DK717" s="2141"/>
      <c r="DL717" s="2141"/>
      <c r="DM717" s="2141"/>
      <c r="DN717" s="2141"/>
      <c r="DO717" s="2141"/>
      <c r="DP717" s="2141"/>
      <c r="DQ717" s="2141"/>
      <c r="DR717" s="2141"/>
      <c r="DS717" s="2141"/>
      <c r="DT717" s="2141"/>
      <c r="DU717" s="2141"/>
      <c r="DV717" s="2141"/>
      <c r="DW717" s="2141"/>
      <c r="DX717" s="2141"/>
      <c r="DY717" s="2141"/>
      <c r="DZ717" s="2141"/>
      <c r="EA717" s="2141"/>
      <c r="EB717" s="2141"/>
      <c r="EC717" s="2141"/>
      <c r="ED717" s="2141"/>
      <c r="EE717" s="2141"/>
      <c r="EF717" s="2141"/>
      <c r="EG717" s="2141"/>
      <c r="EH717" s="2141"/>
      <c r="EI717" s="2141"/>
      <c r="EJ717" s="2141"/>
      <c r="EK717" s="2141"/>
      <c r="EL717" s="2141"/>
      <c r="EM717" s="2141"/>
      <c r="EN717" s="2141"/>
      <c r="EO717" s="2141"/>
      <c r="EP717" s="2141"/>
      <c r="EQ717" s="2141"/>
      <c r="ER717" s="2141"/>
      <c r="ES717" s="2141"/>
      <c r="ET717" s="2141"/>
      <c r="EU717" s="2141"/>
      <c r="EV717" s="2141"/>
      <c r="EW717" s="2141"/>
      <c r="EX717" s="2141"/>
      <c r="EY717" s="2141"/>
      <c r="EZ717" s="2141"/>
      <c r="FA717" s="2141"/>
      <c r="FB717" s="2141"/>
      <c r="FC717" s="2141"/>
      <c r="FD717" s="2141"/>
      <c r="FE717" s="2141"/>
      <c r="FF717" s="2141"/>
      <c r="FG717" s="2141"/>
      <c r="FH717" s="2141"/>
      <c r="FI717" s="2141"/>
      <c r="FJ717" s="2141"/>
      <c r="FK717" s="2141"/>
      <c r="FL717" s="2141"/>
      <c r="FM717" s="2141"/>
      <c r="FN717" s="2141"/>
      <c r="FO717" s="2141"/>
      <c r="FP717" s="2141"/>
      <c r="FQ717" s="2141"/>
      <c r="FR717" s="2141"/>
      <c r="FS717" s="2141"/>
      <c r="FT717" s="2141"/>
      <c r="FU717" s="2141"/>
      <c r="FV717" s="2141"/>
      <c r="FW717" s="2141"/>
      <c r="FX717" s="2141"/>
      <c r="FY717" s="2141"/>
      <c r="FZ717" s="2141"/>
      <c r="GA717" s="2141"/>
      <c r="GB717" s="2141"/>
      <c r="GC717" s="2141"/>
      <c r="GD717" s="2141"/>
      <c r="GE717" s="2141"/>
      <c r="GF717" s="2141"/>
      <c r="GG717" s="2141"/>
      <c r="GH717" s="2141"/>
      <c r="GI717" s="2141"/>
      <c r="GJ717" s="2141"/>
      <c r="GK717" s="2141"/>
      <c r="GL717" s="2141"/>
      <c r="GM717" s="2141"/>
      <c r="GN717" s="2141"/>
      <c r="GO717" s="2141"/>
      <c r="GP717" s="2141"/>
      <c r="GQ717" s="2141"/>
      <c r="GR717" s="2141"/>
      <c r="GS717" s="2141"/>
      <c r="GT717" s="2141"/>
      <c r="GU717" s="2141"/>
      <c r="GV717" s="2141"/>
      <c r="GW717" s="2141"/>
      <c r="GX717" s="2141"/>
      <c r="GY717" s="2141"/>
      <c r="GZ717" s="2141"/>
      <c r="HA717" s="2141"/>
      <c r="HB717" s="2141"/>
      <c r="HC717" s="2141"/>
      <c r="HD717" s="2141"/>
      <c r="HE717" s="2141"/>
      <c r="HF717" s="2141"/>
      <c r="HG717" s="2141"/>
      <c r="HH717" s="2141"/>
      <c r="HI717" s="2141"/>
      <c r="HJ717" s="2141"/>
      <c r="HK717" s="2141"/>
      <c r="HL717" s="2141"/>
      <c r="HM717" s="2141"/>
      <c r="HN717" s="2141"/>
      <c r="HO717" s="2141"/>
      <c r="HP717" s="2141"/>
      <c r="HQ717" s="2141"/>
      <c r="HR717" s="2141"/>
      <c r="HS717" s="2141"/>
      <c r="HT717" s="2141"/>
      <c r="HU717" s="2141"/>
      <c r="HV717" s="2141"/>
      <c r="HW717" s="2141"/>
      <c r="HX717" s="2141"/>
      <c r="HY717" s="2141"/>
      <c r="HZ717" s="2141"/>
      <c r="IA717" s="2141"/>
      <c r="IB717" s="2141"/>
      <c r="IC717" s="2141"/>
      <c r="ID717" s="2141"/>
      <c r="IE717" s="2141"/>
      <c r="IF717" s="2141"/>
      <c r="IG717" s="2141"/>
      <c r="IH717" s="2141"/>
      <c r="II717" s="2141"/>
      <c r="IJ717" s="2141"/>
      <c r="IK717" s="2141"/>
      <c r="IL717" s="2141"/>
      <c r="IM717" s="2141"/>
      <c r="IN717" s="2141"/>
      <c r="IO717" s="2141"/>
      <c r="IP717" s="2141"/>
      <c r="IQ717" s="2141"/>
      <c r="IR717" s="2141"/>
      <c r="IS717" s="2141"/>
      <c r="IT717" s="2141"/>
      <c r="IU717" s="2141"/>
      <c r="IV717" s="2141"/>
    </row>
    <row r="718" spans="1:261" s="1722" customFormat="1" ht="101.25" customHeight="1">
      <c r="A718" s="599"/>
      <c r="B718" s="2243" t="s">
        <v>5416</v>
      </c>
      <c r="C718" s="2237" t="s">
        <v>5418</v>
      </c>
      <c r="D718" s="2238" t="s">
        <v>5482</v>
      </c>
      <c r="E718" s="2021" t="s">
        <v>1449</v>
      </c>
      <c r="F718" s="601" t="s">
        <v>5417</v>
      </c>
      <c r="G718" s="2021"/>
      <c r="H718" s="599"/>
      <c r="I718" s="599"/>
      <c r="J718" s="599"/>
      <c r="K718" s="599"/>
      <c r="L718" s="599"/>
      <c r="M718" s="446"/>
      <c r="N718" s="599"/>
      <c r="O718" s="599"/>
      <c r="P718" s="599"/>
      <c r="Q718" s="599"/>
      <c r="R718" s="599"/>
      <c r="S718" s="599"/>
      <c r="T718" s="599"/>
      <c r="U718" s="599"/>
      <c r="V718" s="599"/>
      <c r="W718" s="599"/>
      <c r="X718" s="599"/>
      <c r="Y718" s="599"/>
      <c r="Z718" s="599"/>
      <c r="AA718" s="599"/>
      <c r="AB718" s="599"/>
      <c r="AC718" s="599"/>
      <c r="AD718" s="599"/>
      <c r="AE718" s="599"/>
      <c r="AF718" s="599"/>
      <c r="AG718" s="599"/>
      <c r="AH718" s="599"/>
      <c r="AI718" s="599"/>
      <c r="AJ718" s="599"/>
      <c r="AK718" s="599"/>
      <c r="AL718" s="599"/>
      <c r="AM718" s="599"/>
      <c r="AN718" s="599"/>
      <c r="AO718" s="599"/>
      <c r="AP718" s="599"/>
      <c r="AQ718" s="599"/>
      <c r="AR718" s="599"/>
      <c r="AS718" s="599"/>
      <c r="AT718" s="599"/>
      <c r="AU718" s="599"/>
      <c r="AV718" s="599"/>
      <c r="AW718" s="599"/>
      <c r="AX718" s="599"/>
      <c r="AY718" s="599"/>
      <c r="AZ718" s="599"/>
      <c r="BA718" s="599"/>
      <c r="BB718" s="599"/>
      <c r="BC718" s="599"/>
      <c r="BD718" s="599"/>
      <c r="BE718" s="599"/>
      <c r="BF718" s="599"/>
      <c r="BG718" s="599"/>
      <c r="BH718" s="599"/>
      <c r="BI718" s="599"/>
      <c r="BJ718" s="599"/>
      <c r="BK718" s="599"/>
      <c r="BL718" s="599"/>
      <c r="BM718" s="599"/>
      <c r="BN718" s="599"/>
      <c r="BO718" s="599"/>
      <c r="BP718" s="599"/>
      <c r="BQ718" s="599"/>
      <c r="BR718" s="599"/>
      <c r="BS718" s="599"/>
      <c r="BT718" s="599"/>
      <c r="BU718" s="599"/>
      <c r="BV718" s="599"/>
      <c r="BW718" s="599"/>
      <c r="BX718" s="599"/>
      <c r="BY718" s="599"/>
      <c r="BZ718" s="599"/>
      <c r="CA718" s="599"/>
      <c r="CB718" s="599"/>
      <c r="CC718" s="599"/>
      <c r="CD718" s="599"/>
      <c r="CE718" s="599"/>
      <c r="CF718" s="599"/>
      <c r="CG718" s="599"/>
      <c r="CH718" s="599"/>
      <c r="CI718" s="599"/>
      <c r="CJ718" s="599"/>
      <c r="CK718" s="599"/>
      <c r="CL718" s="599"/>
      <c r="CM718" s="599"/>
      <c r="CN718" s="599"/>
      <c r="CO718" s="599"/>
      <c r="CP718" s="599"/>
      <c r="CQ718" s="599"/>
      <c r="CR718" s="599"/>
      <c r="CS718" s="599"/>
      <c r="CT718" s="599"/>
      <c r="CU718" s="599"/>
      <c r="CV718" s="599"/>
      <c r="CW718" s="599"/>
      <c r="CX718" s="599"/>
      <c r="CY718" s="599"/>
      <c r="CZ718" s="599"/>
      <c r="DA718" s="599"/>
      <c r="DB718" s="599"/>
      <c r="DC718" s="599"/>
      <c r="DD718" s="599"/>
      <c r="DE718" s="599"/>
      <c r="DF718" s="599"/>
      <c r="DG718" s="599"/>
      <c r="DH718" s="599"/>
      <c r="DI718" s="599"/>
      <c r="DJ718" s="599"/>
      <c r="DK718" s="599"/>
      <c r="DL718" s="599"/>
      <c r="DM718" s="599"/>
      <c r="DN718" s="599"/>
      <c r="DO718" s="599"/>
      <c r="DP718" s="599"/>
      <c r="DQ718" s="599"/>
      <c r="DR718" s="599"/>
      <c r="DS718" s="599"/>
      <c r="DT718" s="599"/>
      <c r="DU718" s="599"/>
      <c r="DV718" s="599"/>
      <c r="DW718" s="599"/>
      <c r="DX718" s="599"/>
      <c r="DY718" s="599"/>
      <c r="DZ718" s="599"/>
      <c r="EA718" s="599"/>
      <c r="EB718" s="599"/>
      <c r="EC718" s="599"/>
      <c r="ED718" s="599"/>
      <c r="EE718" s="599"/>
      <c r="EF718" s="599"/>
      <c r="EG718" s="599"/>
      <c r="EH718" s="599"/>
      <c r="EI718" s="599"/>
      <c r="EJ718" s="599"/>
      <c r="EK718" s="599"/>
      <c r="EL718" s="599"/>
      <c r="EM718" s="599"/>
      <c r="EN718" s="599"/>
      <c r="EO718" s="599"/>
      <c r="EP718" s="599"/>
      <c r="EQ718" s="599"/>
      <c r="ER718" s="599"/>
      <c r="ES718" s="599"/>
      <c r="ET718" s="599"/>
      <c r="EU718" s="599"/>
      <c r="EV718" s="599"/>
      <c r="EW718" s="599"/>
      <c r="EX718" s="599"/>
      <c r="EY718" s="599"/>
      <c r="EZ718" s="599"/>
      <c r="FA718" s="599"/>
      <c r="FB718" s="599"/>
      <c r="FC718" s="599"/>
      <c r="FD718" s="599"/>
      <c r="FE718" s="599"/>
      <c r="FF718" s="599"/>
      <c r="FG718" s="599"/>
      <c r="FH718" s="599"/>
      <c r="FI718" s="599"/>
      <c r="FJ718" s="599"/>
      <c r="FK718" s="599"/>
      <c r="FL718" s="599"/>
      <c r="FM718" s="599"/>
      <c r="FN718" s="599"/>
      <c r="FO718" s="599"/>
      <c r="FP718" s="599"/>
      <c r="FQ718" s="599"/>
      <c r="FR718" s="599"/>
      <c r="FS718" s="599"/>
      <c r="FT718" s="599"/>
      <c r="FU718" s="599"/>
      <c r="FV718" s="599"/>
      <c r="FW718" s="599"/>
      <c r="FX718" s="599"/>
      <c r="FY718" s="599"/>
      <c r="FZ718" s="599"/>
      <c r="GA718" s="599"/>
      <c r="GB718" s="599"/>
      <c r="GC718" s="599"/>
      <c r="GD718" s="599"/>
      <c r="GE718" s="599"/>
      <c r="GF718" s="599"/>
      <c r="GG718" s="599"/>
      <c r="GH718" s="599"/>
      <c r="GI718" s="599"/>
      <c r="GJ718" s="599"/>
      <c r="GK718" s="599"/>
      <c r="GL718" s="599"/>
      <c r="GM718" s="599"/>
      <c r="GN718" s="599"/>
      <c r="GO718" s="599"/>
      <c r="GP718" s="599"/>
      <c r="GQ718" s="599"/>
      <c r="GR718" s="599"/>
      <c r="GS718" s="599"/>
      <c r="GT718" s="599"/>
      <c r="GU718" s="599"/>
      <c r="GV718" s="599"/>
      <c r="GW718" s="599"/>
      <c r="GX718" s="599"/>
      <c r="GY718" s="599"/>
      <c r="GZ718" s="599"/>
      <c r="HA718" s="599"/>
      <c r="HB718" s="599"/>
      <c r="HC718" s="599"/>
      <c r="HD718" s="599"/>
      <c r="HE718" s="599"/>
      <c r="HF718" s="599"/>
      <c r="HG718" s="599"/>
      <c r="HH718" s="599"/>
      <c r="HI718" s="599"/>
      <c r="HJ718" s="599"/>
      <c r="HK718" s="599"/>
      <c r="HL718" s="599"/>
      <c r="HM718" s="599"/>
      <c r="HN718" s="599"/>
      <c r="HO718" s="599"/>
      <c r="HP718" s="599"/>
      <c r="HQ718" s="599"/>
      <c r="HR718" s="599"/>
      <c r="HS718" s="599"/>
      <c r="HT718" s="599"/>
      <c r="HU718" s="599"/>
      <c r="HV718" s="599"/>
      <c r="HW718" s="599"/>
      <c r="HX718" s="599"/>
      <c r="HY718" s="599"/>
      <c r="HZ718" s="599"/>
      <c r="IA718" s="599"/>
      <c r="IB718" s="599"/>
      <c r="IC718" s="599"/>
      <c r="ID718" s="599"/>
      <c r="IE718" s="599"/>
      <c r="IF718" s="599"/>
      <c r="IG718" s="599"/>
      <c r="IH718" s="599"/>
      <c r="II718" s="599"/>
      <c r="IJ718" s="599"/>
      <c r="IK718" s="599"/>
      <c r="IL718" s="599"/>
      <c r="IM718" s="599"/>
      <c r="IN718" s="599"/>
      <c r="IO718" s="599"/>
      <c r="IP718" s="599"/>
      <c r="IQ718" s="599"/>
      <c r="IR718" s="599"/>
      <c r="IS718" s="599"/>
      <c r="IT718" s="599"/>
      <c r="IU718" s="599"/>
      <c r="IV718" s="599"/>
    </row>
    <row r="719" spans="1:261" ht="118.5" customHeight="1">
      <c r="A719" s="599"/>
      <c r="B719" s="1919" t="s">
        <v>955</v>
      </c>
      <c r="C719" s="599" t="s">
        <v>5473</v>
      </c>
      <c r="D719" s="1908" t="s">
        <v>5472</v>
      </c>
      <c r="E719" s="610"/>
      <c r="F719" s="1908">
        <v>200000</v>
      </c>
      <c r="G719" s="599"/>
      <c r="H719" s="599"/>
      <c r="I719" s="599"/>
      <c r="J719" s="601" t="s">
        <v>5474</v>
      </c>
      <c r="K719" s="599"/>
      <c r="L719" s="599"/>
      <c r="M719" s="599"/>
      <c r="N719" s="599"/>
      <c r="O719" s="599"/>
      <c r="P719" s="599"/>
      <c r="Q719" s="599"/>
      <c r="R719" s="599"/>
      <c r="S719" s="599"/>
      <c r="T719" s="599"/>
      <c r="U719" s="599"/>
      <c r="V719" s="599"/>
    </row>
    <row r="720" spans="1:261" ht="64.5" customHeight="1">
      <c r="A720" s="599"/>
      <c r="B720" s="1882" t="s">
        <v>5476</v>
      </c>
      <c r="C720" s="599" t="s">
        <v>5586</v>
      </c>
      <c r="D720" s="1908" t="s">
        <v>5477</v>
      </c>
      <c r="E720" s="610"/>
      <c r="F720" s="1908" t="s">
        <v>5478</v>
      </c>
      <c r="G720" s="599"/>
      <c r="H720" s="599"/>
      <c r="I720" s="599"/>
      <c r="J720" s="599"/>
      <c r="K720" s="599"/>
      <c r="L720" s="599"/>
      <c r="M720" s="599" t="s">
        <v>5600</v>
      </c>
      <c r="N720" s="599"/>
      <c r="O720" s="599"/>
      <c r="P720" s="599"/>
      <c r="Q720" s="599"/>
      <c r="R720" s="599"/>
      <c r="S720" s="599"/>
      <c r="T720" s="599"/>
      <c r="U720" s="599"/>
      <c r="V720" s="599"/>
    </row>
    <row r="721" spans="1:256" ht="141.75" customHeight="1">
      <c r="A721" s="599"/>
      <c r="B721" s="446" t="s">
        <v>5479</v>
      </c>
      <c r="C721" s="599" t="s">
        <v>5480</v>
      </c>
      <c r="D721" s="2248" t="s">
        <v>5483</v>
      </c>
      <c r="E721" s="599"/>
      <c r="F721" s="599" t="s">
        <v>5481</v>
      </c>
      <c r="G721" s="599"/>
      <c r="H721" s="599"/>
      <c r="I721" s="599"/>
      <c r="J721" s="1791">
        <f>420000                     +700000                                  +1800000</f>
        <v>2920000</v>
      </c>
      <c r="K721" s="1791" t="s">
        <v>5590</v>
      </c>
      <c r="L721" s="599"/>
      <c r="M721" s="599"/>
      <c r="N721" s="599"/>
      <c r="O721" s="599"/>
      <c r="P721" s="599"/>
      <c r="Q721" s="599"/>
      <c r="R721" s="599"/>
      <c r="S721" s="599"/>
      <c r="T721" s="599"/>
      <c r="U721" s="599"/>
      <c r="V721" s="599"/>
    </row>
    <row r="722" spans="1:256" ht="222" customHeight="1">
      <c r="A722" s="599"/>
      <c r="B722" s="1882" t="s">
        <v>5496</v>
      </c>
      <c r="C722" s="599" t="s">
        <v>5498</v>
      </c>
      <c r="D722" s="610" t="s">
        <v>5497</v>
      </c>
      <c r="E722" s="610"/>
      <c r="F722" s="2021">
        <v>415000</v>
      </c>
      <c r="G722" s="599"/>
      <c r="H722" s="599"/>
      <c r="I722" s="599"/>
      <c r="J722" s="599"/>
      <c r="K722" s="599"/>
      <c r="L722" s="599"/>
      <c r="M722" s="599"/>
      <c r="N722" s="599"/>
      <c r="O722" s="599"/>
      <c r="P722" s="599"/>
      <c r="Q722" s="599"/>
      <c r="R722" s="599"/>
      <c r="S722" s="599"/>
      <c r="T722" s="599"/>
      <c r="U722" s="599"/>
      <c r="V722" s="599"/>
    </row>
    <row r="723" spans="1:256" s="1180" customFormat="1" ht="30.75" customHeight="1">
      <c r="A723" s="1170"/>
      <c r="B723" s="1172"/>
      <c r="C723" s="1900" t="s">
        <v>5517</v>
      </c>
      <c r="D723" s="1172"/>
      <c r="E723" s="1173"/>
      <c r="F723" s="1174"/>
      <c r="G723" s="1175"/>
      <c r="H723" s="1174" t="s">
        <v>65</v>
      </c>
      <c r="I723" s="1174"/>
      <c r="J723" s="1175"/>
      <c r="K723" s="1996"/>
      <c r="L723" s="1831"/>
      <c r="M723" s="1178"/>
      <c r="N723" s="1173"/>
      <c r="O723" s="1173"/>
      <c r="P723" s="1173"/>
      <c r="Q723" s="1176"/>
      <c r="R723" s="1176" t="s">
        <v>65</v>
      </c>
      <c r="S723" s="1176"/>
      <c r="T723" s="1176"/>
      <c r="U723" s="1176"/>
      <c r="V723" s="1128"/>
      <c r="W723" s="1128"/>
      <c r="X723" s="1128"/>
      <c r="Y723" s="1128"/>
      <c r="Z723" s="1128"/>
      <c r="AA723" s="1128"/>
      <c r="AB723" s="1128"/>
      <c r="AC723" s="580"/>
      <c r="AD723" s="1464"/>
      <c r="AE723" s="599"/>
      <c r="AF723" s="599"/>
      <c r="AG723" s="599"/>
      <c r="AH723" s="599"/>
    </row>
    <row r="724" spans="1:256" ht="86.25" customHeight="1">
      <c r="A724" s="599"/>
      <c r="B724" s="2272" t="s">
        <v>4824</v>
      </c>
      <c r="C724" s="599" t="s">
        <v>4887</v>
      </c>
      <c r="D724" s="599" t="s">
        <v>4997</v>
      </c>
      <c r="E724" s="599" t="s">
        <v>4826</v>
      </c>
      <c r="F724" s="601" t="s">
        <v>4998</v>
      </c>
      <c r="G724" s="599"/>
      <c r="H724" s="599"/>
      <c r="I724" s="1809" t="s">
        <v>5564</v>
      </c>
      <c r="J724" s="1808"/>
      <c r="K724" s="1337"/>
      <c r="L724" s="2082" t="s">
        <v>5121</v>
      </c>
      <c r="M724" s="599" t="s">
        <v>4727</v>
      </c>
      <c r="N724" s="599" t="s">
        <v>4825</v>
      </c>
      <c r="O724" s="599"/>
      <c r="P724" s="599"/>
      <c r="Q724" s="599"/>
      <c r="R724" s="599"/>
      <c r="S724" s="599"/>
      <c r="T724" s="599"/>
      <c r="U724" s="599"/>
      <c r="V724" s="599"/>
      <c r="W724" s="599"/>
    </row>
    <row r="725" spans="1:256" s="973" customFormat="1" ht="132.75" customHeight="1">
      <c r="A725" s="2275"/>
      <c r="B725" s="2280" t="s">
        <v>3104</v>
      </c>
      <c r="C725" s="741" t="s">
        <v>4195</v>
      </c>
      <c r="D725" s="822" t="s">
        <v>5518</v>
      </c>
      <c r="E725" s="741" t="s">
        <v>4196</v>
      </c>
      <c r="F725" s="1124" t="s">
        <v>4385</v>
      </c>
      <c r="G725" s="1162"/>
      <c r="H725" s="2125" t="s">
        <v>4246</v>
      </c>
      <c r="I725" s="2126" t="s">
        <v>5571</v>
      </c>
      <c r="J725" s="2127" t="s">
        <v>5542</v>
      </c>
      <c r="K725" s="741" t="s">
        <v>3314</v>
      </c>
      <c r="L725" s="1875" t="s">
        <v>4247</v>
      </c>
      <c r="M725" s="843" t="s">
        <v>4197</v>
      </c>
      <c r="N725" s="741" t="s">
        <v>3243</v>
      </c>
      <c r="O725" s="741" t="s">
        <v>3315</v>
      </c>
      <c r="P725" s="1835" t="s">
        <v>4245</v>
      </c>
      <c r="Q725" s="1836" t="s">
        <v>4411</v>
      </c>
      <c r="R725" s="1944">
        <v>12240408.24</v>
      </c>
      <c r="S725" s="1945"/>
      <c r="T725" s="1954">
        <v>44916</v>
      </c>
      <c r="U725" s="599"/>
      <c r="V725" s="599"/>
      <c r="W725" s="984"/>
      <c r="X725" s="984"/>
      <c r="Y725" s="599"/>
      <c r="Z725" s="599"/>
      <c r="AA725" s="599"/>
      <c r="AB725" s="599"/>
      <c r="AC725" s="580"/>
      <c r="AD725" s="1465"/>
      <c r="AE725" s="599"/>
      <c r="AF725" s="984"/>
      <c r="AG725" s="599"/>
      <c r="AH725" s="599"/>
    </row>
    <row r="726" spans="1:256" ht="81" customHeight="1">
      <c r="A726" s="599"/>
      <c r="B726" s="2271" t="s">
        <v>5335</v>
      </c>
      <c r="C726" s="599" t="s">
        <v>5420</v>
      </c>
      <c r="D726" s="2082" t="s">
        <v>5419</v>
      </c>
      <c r="E726" s="599"/>
      <c r="F726" s="599"/>
      <c r="G726" s="599"/>
      <c r="H726" s="599"/>
      <c r="I726" s="599"/>
      <c r="J726" s="2152"/>
      <c r="K726" s="2153"/>
      <c r="L726" s="599"/>
      <c r="M726" s="599"/>
      <c r="N726" s="2082"/>
      <c r="O726" s="599"/>
      <c r="P726" s="599"/>
      <c r="Q726" s="599"/>
      <c r="R726" s="599"/>
      <c r="S726" s="599"/>
      <c r="T726" s="599"/>
      <c r="U726" s="599"/>
      <c r="V726" s="599"/>
      <c r="W726" s="599"/>
    </row>
    <row r="727" spans="1:256" ht="81.75" customHeight="1">
      <c r="A727" s="599"/>
      <c r="B727" s="2272" t="s">
        <v>3427</v>
      </c>
      <c r="C727" s="599" t="s">
        <v>5400</v>
      </c>
      <c r="D727" s="599" t="s">
        <v>5384</v>
      </c>
      <c r="E727" s="599" t="s">
        <v>5387</v>
      </c>
      <c r="F727" s="1141">
        <v>140000</v>
      </c>
      <c r="G727" s="599"/>
      <c r="H727" s="599"/>
      <c r="I727" s="599"/>
      <c r="J727" s="1906" t="s">
        <v>5519</v>
      </c>
      <c r="K727" s="2233"/>
      <c r="L727" s="599"/>
      <c r="M727" s="599"/>
      <c r="N727" s="599"/>
      <c r="O727" s="599"/>
      <c r="P727" s="599"/>
      <c r="Q727" s="599"/>
      <c r="R727" s="599"/>
      <c r="S727" s="599"/>
      <c r="T727" s="2132"/>
      <c r="U727" s="599"/>
      <c r="V727" s="599"/>
      <c r="W727" s="599"/>
    </row>
    <row r="728" spans="1:256" ht="104.25" customHeight="1">
      <c r="A728" s="599"/>
      <c r="B728" s="446" t="s">
        <v>5166</v>
      </c>
      <c r="C728" s="2021" t="s">
        <v>5305</v>
      </c>
      <c r="D728" s="610" t="s">
        <v>5167</v>
      </c>
      <c r="E728" s="610" t="s">
        <v>5169</v>
      </c>
      <c r="F728" s="610">
        <v>340000</v>
      </c>
      <c r="G728" s="599"/>
      <c r="H728" s="599"/>
      <c r="I728" s="599"/>
      <c r="J728" s="1808">
        <v>340000</v>
      </c>
      <c r="K728" s="2137">
        <v>45770</v>
      </c>
      <c r="L728" s="599" t="s">
        <v>5297</v>
      </c>
      <c r="M728" s="599" t="s">
        <v>4670</v>
      </c>
      <c r="N728" s="599"/>
      <c r="O728" s="599"/>
      <c r="P728" s="599"/>
      <c r="Q728" s="599"/>
      <c r="R728" s="599"/>
      <c r="S728" s="599"/>
      <c r="T728" s="599"/>
      <c r="U728" s="599"/>
      <c r="V728" s="599"/>
      <c r="W728" s="599"/>
      <c r="X728" s="599"/>
      <c r="Y728" s="599"/>
      <c r="Z728" s="599"/>
      <c r="AA728" s="599"/>
      <c r="AB728" s="599"/>
      <c r="AC728" s="599"/>
      <c r="AD728" s="599"/>
      <c r="AE728" s="599"/>
      <c r="AF728" s="599"/>
      <c r="AG728" s="599"/>
      <c r="AH728" s="599"/>
    </row>
    <row r="729" spans="1:256" ht="104.25" customHeight="1">
      <c r="A729" s="599"/>
      <c r="B729" s="446" t="s">
        <v>5198</v>
      </c>
      <c r="C729" s="610" t="s">
        <v>5184</v>
      </c>
      <c r="D729" s="610" t="s">
        <v>5168</v>
      </c>
      <c r="E729" s="610" t="s">
        <v>5169</v>
      </c>
      <c r="F729" s="610">
        <v>250000</v>
      </c>
      <c r="G729" s="599"/>
      <c r="H729" s="599"/>
      <c r="I729" s="599"/>
      <c r="J729" s="1808">
        <v>250000</v>
      </c>
      <c r="K729" s="2137">
        <v>45770</v>
      </c>
      <c r="L729" s="599" t="str">
        <f>L728</f>
        <v>отв.Кузнезов А.</v>
      </c>
      <c r="M729" s="599"/>
      <c r="N729" s="599"/>
      <c r="O729" s="599"/>
      <c r="P729" s="599"/>
      <c r="Q729" s="599"/>
      <c r="R729" s="599"/>
      <c r="S729" s="599"/>
      <c r="T729" s="599"/>
      <c r="U729" s="599"/>
      <c r="V729" s="599"/>
      <c r="W729" s="599"/>
      <c r="X729" s="599"/>
      <c r="Y729" s="599"/>
      <c r="Z729" s="599"/>
      <c r="AA729" s="599"/>
      <c r="AB729" s="599"/>
      <c r="AC729" s="599"/>
      <c r="AD729" s="599"/>
      <c r="AE729" s="599"/>
      <c r="AF729" s="599"/>
      <c r="AG729" s="599"/>
      <c r="AH729" s="599"/>
    </row>
    <row r="730" spans="1:256" s="2139" customFormat="1" ht="88.5" customHeight="1">
      <c r="A730" s="1809"/>
      <c r="B730" s="2190" t="s">
        <v>5175</v>
      </c>
      <c r="C730" s="1977" t="s">
        <v>5520</v>
      </c>
      <c r="D730" s="1977" t="s">
        <v>5174</v>
      </c>
      <c r="E730" s="1977"/>
      <c r="F730" s="1977"/>
      <c r="G730" s="1809"/>
      <c r="H730" s="1809"/>
      <c r="I730" s="1809"/>
      <c r="J730" s="1809"/>
      <c r="K730" s="1809"/>
      <c r="L730" s="1809"/>
      <c r="M730" s="1809"/>
      <c r="N730" s="1809"/>
      <c r="O730" s="1809"/>
      <c r="P730" s="1809"/>
      <c r="Q730" s="1809"/>
      <c r="R730" s="1809"/>
      <c r="S730" s="1809"/>
      <c r="T730" s="1809"/>
      <c r="U730" s="1809"/>
      <c r="V730" s="1809"/>
      <c r="W730" s="1809"/>
      <c r="X730" s="1809"/>
      <c r="Y730" s="1809"/>
      <c r="Z730" s="1809"/>
      <c r="AA730" s="1809"/>
      <c r="AB730" s="1809"/>
      <c r="AC730" s="1809"/>
      <c r="AD730" s="1809"/>
      <c r="AE730" s="1809"/>
      <c r="AF730" s="1809"/>
      <c r="AG730" s="1809"/>
      <c r="AH730" s="1809"/>
      <c r="AI730" s="2138"/>
      <c r="AJ730" s="2138"/>
      <c r="AK730" s="2138"/>
      <c r="AL730" s="2138"/>
      <c r="AM730" s="2138"/>
      <c r="AN730" s="2138"/>
      <c r="AO730" s="2138"/>
      <c r="AP730" s="2138"/>
      <c r="AQ730" s="2138"/>
      <c r="AR730" s="2138"/>
      <c r="AS730" s="2138"/>
      <c r="AT730" s="2138"/>
      <c r="AU730" s="2138"/>
      <c r="AV730" s="2138"/>
      <c r="AW730" s="2138"/>
      <c r="AX730" s="2138"/>
      <c r="AY730" s="2138"/>
      <c r="AZ730" s="2138"/>
      <c r="BA730" s="2138"/>
      <c r="BB730" s="2138"/>
      <c r="BC730" s="2138"/>
      <c r="BD730" s="2138"/>
      <c r="BE730" s="2138"/>
      <c r="BF730" s="2138"/>
      <c r="BG730" s="2138"/>
      <c r="BH730" s="2138"/>
      <c r="BI730" s="2138"/>
      <c r="BJ730" s="2138"/>
      <c r="BK730" s="2138"/>
      <c r="BL730" s="2138"/>
      <c r="BM730" s="2138"/>
      <c r="BN730" s="2138"/>
      <c r="BO730" s="2138"/>
      <c r="BP730" s="2138"/>
      <c r="BQ730" s="2138"/>
      <c r="BR730" s="2138"/>
      <c r="BS730" s="2138"/>
      <c r="BT730" s="2138"/>
      <c r="BU730" s="2138"/>
      <c r="BV730" s="2138"/>
      <c r="BW730" s="2138"/>
      <c r="BX730" s="2138"/>
      <c r="BY730" s="2138"/>
      <c r="BZ730" s="2138"/>
      <c r="CA730" s="2138"/>
      <c r="CB730" s="2138"/>
      <c r="CC730" s="2138"/>
      <c r="CD730" s="2138"/>
      <c r="CE730" s="2138"/>
      <c r="CF730" s="2138"/>
      <c r="CG730" s="2138"/>
      <c r="CH730" s="2138"/>
      <c r="CI730" s="2138"/>
      <c r="CJ730" s="2138"/>
      <c r="CK730" s="2138"/>
      <c r="CL730" s="2138"/>
      <c r="CM730" s="2138"/>
      <c r="CN730" s="2138"/>
      <c r="CO730" s="2138"/>
      <c r="CP730" s="2138"/>
      <c r="CQ730" s="2138"/>
      <c r="CR730" s="2138"/>
      <c r="CS730" s="2138"/>
      <c r="CT730" s="2138"/>
      <c r="CU730" s="2138"/>
      <c r="CV730" s="2138"/>
      <c r="CW730" s="2138"/>
      <c r="CX730" s="2138"/>
      <c r="CY730" s="2138"/>
      <c r="CZ730" s="2138"/>
      <c r="DA730" s="2138"/>
      <c r="DB730" s="2138"/>
      <c r="DC730" s="2138"/>
      <c r="DD730" s="2138"/>
      <c r="DE730" s="2138"/>
      <c r="DF730" s="2138"/>
      <c r="DG730" s="2138"/>
      <c r="DH730" s="2138"/>
      <c r="DI730" s="2138"/>
      <c r="DJ730" s="2138"/>
      <c r="DK730" s="2138"/>
      <c r="DL730" s="2138"/>
      <c r="DM730" s="2138"/>
      <c r="DN730" s="2138"/>
      <c r="DO730" s="2138"/>
      <c r="DP730" s="2138"/>
      <c r="DQ730" s="2138"/>
      <c r="DR730" s="2138"/>
      <c r="DS730" s="2138"/>
      <c r="DT730" s="2138"/>
      <c r="DU730" s="2138"/>
      <c r="DV730" s="2138"/>
      <c r="DW730" s="2138"/>
      <c r="DX730" s="2138"/>
      <c r="DY730" s="2138"/>
      <c r="DZ730" s="2138"/>
      <c r="EA730" s="2138"/>
      <c r="EB730" s="2138"/>
      <c r="EC730" s="2138"/>
      <c r="ED730" s="2138"/>
      <c r="EE730" s="2138"/>
      <c r="EF730" s="2138"/>
      <c r="EG730" s="2138"/>
      <c r="EH730" s="2138"/>
      <c r="EI730" s="2138"/>
      <c r="EJ730" s="2138"/>
      <c r="EK730" s="2138"/>
      <c r="EL730" s="2138"/>
      <c r="EM730" s="2138"/>
      <c r="EN730" s="2138"/>
      <c r="EO730" s="2138"/>
      <c r="EP730" s="2138"/>
      <c r="EQ730" s="2138"/>
      <c r="ER730" s="2138"/>
      <c r="ES730" s="2138"/>
      <c r="ET730" s="2138"/>
      <c r="EU730" s="2138"/>
      <c r="EV730" s="2138"/>
      <c r="EW730" s="2138"/>
      <c r="EX730" s="2138"/>
      <c r="EY730" s="2138"/>
      <c r="EZ730" s="2138"/>
      <c r="FA730" s="2138"/>
      <c r="FB730" s="2138"/>
      <c r="FC730" s="2138"/>
      <c r="FD730" s="2138"/>
      <c r="FE730" s="2138"/>
      <c r="FF730" s="2138"/>
      <c r="FG730" s="2138"/>
      <c r="FH730" s="2138"/>
      <c r="FI730" s="2138"/>
      <c r="FJ730" s="2138"/>
      <c r="FK730" s="2138"/>
      <c r="FL730" s="2138"/>
      <c r="FM730" s="2138"/>
      <c r="FN730" s="2138"/>
      <c r="FO730" s="2138"/>
      <c r="FP730" s="2138"/>
      <c r="FQ730" s="2138"/>
      <c r="FR730" s="2138"/>
      <c r="FS730" s="2138"/>
      <c r="FT730" s="2138"/>
      <c r="FU730" s="2138"/>
      <c r="FV730" s="2138"/>
      <c r="FW730" s="2138"/>
      <c r="FX730" s="2138"/>
      <c r="FY730" s="2138"/>
      <c r="FZ730" s="2138"/>
      <c r="GA730" s="2138"/>
      <c r="GB730" s="2138"/>
      <c r="GC730" s="2138"/>
      <c r="GD730" s="2138"/>
      <c r="GE730" s="2138"/>
      <c r="GF730" s="2138"/>
      <c r="GG730" s="2138"/>
      <c r="GH730" s="2138"/>
      <c r="GI730" s="2138"/>
      <c r="GJ730" s="2138"/>
      <c r="GK730" s="2138"/>
      <c r="GL730" s="2138"/>
      <c r="GM730" s="2138"/>
      <c r="GN730" s="2138"/>
      <c r="GO730" s="2138"/>
      <c r="GP730" s="2138"/>
      <c r="GQ730" s="2138"/>
      <c r="GR730" s="2138"/>
      <c r="GS730" s="2138"/>
      <c r="GT730" s="2138"/>
      <c r="GU730" s="2138"/>
      <c r="GV730" s="2138"/>
      <c r="GW730" s="2138"/>
      <c r="GX730" s="2138"/>
      <c r="GY730" s="2138"/>
      <c r="GZ730" s="2138"/>
      <c r="HA730" s="2138"/>
      <c r="HB730" s="2138"/>
      <c r="HC730" s="2138"/>
      <c r="HD730" s="2138"/>
      <c r="HE730" s="2138"/>
      <c r="HF730" s="2138"/>
      <c r="HG730" s="2138"/>
      <c r="HH730" s="2138"/>
      <c r="HI730" s="2138"/>
      <c r="HJ730" s="2138"/>
      <c r="HK730" s="2138"/>
      <c r="HL730" s="2138"/>
      <c r="HM730" s="2138"/>
      <c r="HN730" s="2138"/>
      <c r="HO730" s="2138"/>
      <c r="HP730" s="2138"/>
      <c r="HQ730" s="2138"/>
      <c r="HR730" s="2138"/>
      <c r="HS730" s="2138"/>
      <c r="HT730" s="2138"/>
      <c r="HU730" s="2138"/>
      <c r="HV730" s="2138"/>
      <c r="HW730" s="2138"/>
      <c r="HX730" s="2138"/>
      <c r="HY730" s="2138"/>
      <c r="HZ730" s="2138"/>
      <c r="IA730" s="2138"/>
      <c r="IB730" s="2138"/>
      <c r="IC730" s="2138"/>
      <c r="ID730" s="2138"/>
      <c r="IE730" s="2138"/>
      <c r="IF730" s="2138"/>
      <c r="IG730" s="2138"/>
      <c r="IH730" s="2138"/>
      <c r="II730" s="2138"/>
      <c r="IJ730" s="2138"/>
      <c r="IK730" s="2138"/>
      <c r="IL730" s="2138"/>
      <c r="IM730" s="2138"/>
      <c r="IN730" s="2138"/>
      <c r="IO730" s="2138"/>
      <c r="IP730" s="2138"/>
      <c r="IQ730" s="2138"/>
      <c r="IR730" s="2138"/>
      <c r="IS730" s="2138"/>
      <c r="IT730" s="2138"/>
      <c r="IU730" s="2138"/>
      <c r="IV730" s="2138"/>
    </row>
    <row r="731" spans="1:256" ht="81.75" customHeight="1">
      <c r="A731" s="599"/>
      <c r="B731" s="2230" t="s">
        <v>5225</v>
      </c>
      <c r="C731" s="2227" t="s">
        <v>5226</v>
      </c>
      <c r="D731" s="599" t="s">
        <v>5362</v>
      </c>
      <c r="E731" s="599"/>
      <c r="F731" s="599"/>
      <c r="G731" s="599"/>
      <c r="H731" s="599"/>
      <c r="I731" s="599"/>
      <c r="J731" s="2481" t="s">
        <v>5562</v>
      </c>
      <c r="K731" s="2223"/>
      <c r="L731" s="599"/>
      <c r="M731" s="1882" t="s">
        <v>5361</v>
      </c>
      <c r="N731" s="890"/>
      <c r="O731" s="599"/>
      <c r="P731" s="599"/>
      <c r="Q731" s="890"/>
      <c r="R731" s="1337"/>
      <c r="S731" s="599"/>
      <c r="T731" s="599"/>
      <c r="U731" s="599"/>
      <c r="V731" s="599"/>
      <c r="W731" s="599"/>
      <c r="X731" s="599"/>
      <c r="Y731" s="599"/>
      <c r="Z731" s="599"/>
      <c r="AA731" s="599"/>
      <c r="AB731" s="599"/>
      <c r="AC731" s="599"/>
      <c r="AD731" s="599"/>
      <c r="AE731" s="599"/>
      <c r="AF731" s="599"/>
      <c r="AG731" s="599"/>
      <c r="AH731" s="599"/>
    </row>
    <row r="732" spans="1:256" s="2151" customFormat="1" ht="107.25" customHeight="1">
      <c r="A732" s="890"/>
      <c r="B732" s="2231"/>
      <c r="C732" s="2228"/>
      <c r="D732" s="610" t="s">
        <v>5360</v>
      </c>
      <c r="E732" s="599"/>
      <c r="F732" s="2021">
        <v>39353105</v>
      </c>
      <c r="G732" s="890"/>
      <c r="H732" s="890"/>
      <c r="I732" s="890" t="s">
        <v>5457</v>
      </c>
      <c r="J732" s="2482"/>
      <c r="K732" s="2098" t="s">
        <v>5521</v>
      </c>
      <c r="L732" s="890"/>
      <c r="M732" s="2196" t="s">
        <v>5490</v>
      </c>
      <c r="N732" s="2136" t="s">
        <v>5291</v>
      </c>
      <c r="O732" s="2197">
        <v>3640000</v>
      </c>
      <c r="P732" s="890" t="s">
        <v>5290</v>
      </c>
      <c r="Q732" s="599" t="s">
        <v>5491</v>
      </c>
      <c r="R732" s="1337"/>
      <c r="S732" s="890"/>
      <c r="T732" s="890"/>
      <c r="U732" s="890"/>
      <c r="V732" s="890"/>
      <c r="W732" s="890"/>
      <c r="X732" s="890"/>
      <c r="Y732" s="890"/>
      <c r="Z732" s="890"/>
      <c r="AA732" s="890"/>
      <c r="AB732" s="890"/>
      <c r="AC732" s="890"/>
      <c r="AD732" s="890"/>
      <c r="AE732" s="890"/>
      <c r="AF732" s="890"/>
      <c r="AG732" s="890"/>
      <c r="AH732" s="890"/>
      <c r="AI732" s="1085"/>
      <c r="AJ732" s="1085"/>
      <c r="AK732" s="1085"/>
      <c r="AL732" s="1085"/>
      <c r="AM732" s="1085"/>
      <c r="AN732" s="1085"/>
      <c r="AO732" s="1085"/>
      <c r="AP732" s="1085"/>
      <c r="AQ732" s="1085"/>
      <c r="AR732" s="1085"/>
      <c r="AS732" s="1085"/>
      <c r="AT732" s="1085"/>
      <c r="AU732" s="1085"/>
      <c r="AV732" s="1085"/>
      <c r="AW732" s="1085"/>
      <c r="AX732" s="1085"/>
      <c r="AY732" s="1085"/>
      <c r="AZ732" s="1085"/>
      <c r="BA732" s="1085"/>
      <c r="BB732" s="1085"/>
      <c r="BC732" s="1085"/>
      <c r="BD732" s="1085"/>
      <c r="BE732" s="1085"/>
      <c r="BF732" s="1085"/>
      <c r="BG732" s="1085"/>
      <c r="BH732" s="1085"/>
      <c r="BI732" s="1085"/>
      <c r="BJ732" s="1085"/>
      <c r="BK732" s="1085"/>
      <c r="BL732" s="1085"/>
      <c r="BM732" s="1085"/>
      <c r="BN732" s="1085"/>
      <c r="BO732" s="1085"/>
      <c r="BP732" s="1085"/>
      <c r="BQ732" s="1085"/>
      <c r="BR732" s="1085"/>
      <c r="BS732" s="1085"/>
      <c r="BT732" s="1085"/>
      <c r="BU732" s="1085"/>
      <c r="BV732" s="1085"/>
      <c r="BW732" s="1085"/>
      <c r="BX732" s="1085"/>
      <c r="BY732" s="1085"/>
      <c r="BZ732" s="1085"/>
      <c r="CA732" s="1085"/>
      <c r="CB732" s="1085"/>
      <c r="CC732" s="1085"/>
      <c r="CD732" s="1085"/>
      <c r="CE732" s="1085"/>
      <c r="CF732" s="1085"/>
      <c r="CG732" s="1085"/>
      <c r="CH732" s="1085"/>
      <c r="CI732" s="1085"/>
      <c r="CJ732" s="1085"/>
      <c r="CK732" s="1085"/>
      <c r="CL732" s="1085"/>
      <c r="CM732" s="1085"/>
      <c r="CN732" s="1085"/>
      <c r="CO732" s="1085"/>
      <c r="CP732" s="1085"/>
      <c r="CQ732" s="1085"/>
      <c r="CR732" s="1085"/>
      <c r="CS732" s="1085"/>
      <c r="CT732" s="1085"/>
      <c r="CU732" s="1085"/>
      <c r="CV732" s="1085"/>
      <c r="CW732" s="1085"/>
      <c r="CX732" s="1085"/>
      <c r="CY732" s="1085"/>
      <c r="CZ732" s="1085"/>
      <c r="DA732" s="1085"/>
      <c r="DB732" s="1085"/>
      <c r="DC732" s="1085"/>
      <c r="DD732" s="1085"/>
      <c r="DE732" s="1085"/>
      <c r="DF732" s="1085"/>
      <c r="DG732" s="1085"/>
      <c r="DH732" s="1085"/>
      <c r="DI732" s="1085"/>
      <c r="DJ732" s="1085"/>
      <c r="DK732" s="1085"/>
      <c r="DL732" s="1085"/>
      <c r="DM732" s="1085"/>
      <c r="DN732" s="1085"/>
      <c r="DO732" s="1085"/>
      <c r="DP732" s="1085"/>
      <c r="DQ732" s="1085"/>
      <c r="DR732" s="1085"/>
      <c r="DS732" s="1085"/>
      <c r="DT732" s="1085"/>
      <c r="DU732" s="1085"/>
      <c r="DV732" s="1085"/>
      <c r="DW732" s="1085"/>
      <c r="DX732" s="1085"/>
      <c r="DY732" s="1085"/>
      <c r="DZ732" s="1085"/>
      <c r="EA732" s="1085"/>
      <c r="EB732" s="1085"/>
      <c r="EC732" s="1085"/>
      <c r="ED732" s="1085"/>
      <c r="EE732" s="1085"/>
      <c r="EF732" s="1085"/>
      <c r="EG732" s="1085"/>
      <c r="EH732" s="1085"/>
      <c r="EI732" s="1085"/>
      <c r="EJ732" s="1085"/>
      <c r="EK732" s="1085"/>
      <c r="EL732" s="1085"/>
      <c r="EM732" s="1085"/>
      <c r="EN732" s="1085"/>
      <c r="EO732" s="1085"/>
      <c r="EP732" s="1085"/>
      <c r="EQ732" s="1085"/>
      <c r="ER732" s="1085"/>
      <c r="ES732" s="1085"/>
      <c r="ET732" s="1085"/>
      <c r="EU732" s="1085"/>
      <c r="EV732" s="1085"/>
      <c r="EW732" s="1085"/>
      <c r="EX732" s="1085"/>
      <c r="EY732" s="1085"/>
      <c r="EZ732" s="1085"/>
      <c r="FA732" s="1085"/>
      <c r="FB732" s="1085"/>
      <c r="FC732" s="1085"/>
      <c r="FD732" s="1085"/>
      <c r="FE732" s="1085"/>
      <c r="FF732" s="1085"/>
      <c r="FG732" s="1085"/>
      <c r="FH732" s="1085"/>
      <c r="FI732" s="1085"/>
      <c r="FJ732" s="1085"/>
      <c r="FK732" s="1085"/>
      <c r="FL732" s="1085"/>
      <c r="FM732" s="1085"/>
      <c r="FN732" s="1085"/>
      <c r="FO732" s="1085"/>
      <c r="FP732" s="1085"/>
      <c r="FQ732" s="1085"/>
      <c r="FR732" s="1085"/>
      <c r="FS732" s="1085"/>
      <c r="FT732" s="1085"/>
      <c r="FU732" s="1085"/>
      <c r="FV732" s="1085"/>
      <c r="FW732" s="1085"/>
      <c r="FX732" s="1085"/>
      <c r="FY732" s="1085"/>
      <c r="FZ732" s="1085"/>
      <c r="GA732" s="1085"/>
      <c r="GB732" s="1085"/>
      <c r="GC732" s="1085"/>
      <c r="GD732" s="1085"/>
      <c r="GE732" s="1085"/>
      <c r="GF732" s="1085"/>
      <c r="GG732" s="1085"/>
      <c r="GH732" s="1085"/>
      <c r="GI732" s="1085"/>
      <c r="GJ732" s="1085"/>
      <c r="GK732" s="1085"/>
      <c r="GL732" s="1085"/>
      <c r="GM732" s="1085"/>
      <c r="GN732" s="1085"/>
      <c r="GO732" s="1085"/>
      <c r="GP732" s="1085"/>
      <c r="GQ732" s="1085"/>
      <c r="GR732" s="1085"/>
      <c r="GS732" s="1085"/>
      <c r="GT732" s="1085"/>
      <c r="GU732" s="1085"/>
      <c r="GV732" s="1085"/>
      <c r="GW732" s="1085"/>
      <c r="GX732" s="1085"/>
      <c r="GY732" s="1085"/>
      <c r="GZ732" s="1085"/>
      <c r="HA732" s="1085"/>
      <c r="HB732" s="1085"/>
      <c r="HC732" s="1085"/>
      <c r="HD732" s="1085"/>
      <c r="HE732" s="1085"/>
      <c r="HF732" s="1085"/>
      <c r="HG732" s="1085"/>
      <c r="HH732" s="1085"/>
      <c r="HI732" s="1085"/>
      <c r="HJ732" s="1085"/>
      <c r="HK732" s="1085"/>
      <c r="HL732" s="1085"/>
      <c r="HM732" s="1085"/>
      <c r="HN732" s="1085"/>
      <c r="HO732" s="1085"/>
      <c r="HP732" s="1085"/>
      <c r="HQ732" s="1085"/>
      <c r="HR732" s="1085"/>
      <c r="HS732" s="1085"/>
      <c r="HT732" s="1085"/>
      <c r="HU732" s="1085"/>
      <c r="HV732" s="1085"/>
      <c r="HW732" s="1085"/>
      <c r="HX732" s="1085"/>
      <c r="HY732" s="1085"/>
      <c r="HZ732" s="1085"/>
      <c r="IA732" s="1085"/>
      <c r="IB732" s="1085"/>
      <c r="IC732" s="1085"/>
      <c r="ID732" s="1085"/>
      <c r="IE732" s="1085"/>
      <c r="IF732" s="1085"/>
      <c r="IG732" s="1085"/>
      <c r="IH732" s="1085"/>
      <c r="II732" s="1085"/>
      <c r="IJ732" s="1085"/>
      <c r="IK732" s="1085"/>
      <c r="IL732" s="1085"/>
      <c r="IM732" s="1085"/>
      <c r="IN732" s="1085"/>
      <c r="IO732" s="1085"/>
      <c r="IP732" s="1085"/>
      <c r="IQ732" s="1085"/>
      <c r="IR732" s="1085"/>
      <c r="IS732" s="1085"/>
      <c r="IT732" s="1085"/>
      <c r="IU732" s="1085"/>
      <c r="IV732" s="1085"/>
    </row>
    <row r="733" spans="1:256" s="2151" customFormat="1" ht="175.5" customHeight="1">
      <c r="A733" s="890"/>
      <c r="B733" s="2250" t="s">
        <v>5364</v>
      </c>
      <c r="C733" s="2274" t="s">
        <v>5371</v>
      </c>
      <c r="D733" s="610" t="s">
        <v>5365</v>
      </c>
      <c r="E733" s="890" t="s">
        <v>5369</v>
      </c>
      <c r="F733" s="2061" t="s">
        <v>5392</v>
      </c>
      <c r="G733" s="1185" t="s">
        <v>5370</v>
      </c>
      <c r="H733" s="890"/>
      <c r="I733" s="890" t="s">
        <v>5466</v>
      </c>
      <c r="J733" s="2318" t="s">
        <v>5561</v>
      </c>
      <c r="K733" s="610" t="s">
        <v>5465</v>
      </c>
      <c r="L733" s="890"/>
      <c r="M733" s="2196" t="s">
        <v>5509</v>
      </c>
      <c r="N733" s="2136"/>
      <c r="O733" s="2197"/>
      <c r="P733" s="890"/>
      <c r="Q733" s="599"/>
      <c r="R733" s="1337"/>
      <c r="S733" s="890"/>
      <c r="T733" s="890"/>
      <c r="U733" s="890"/>
      <c r="V733" s="890"/>
      <c r="W733" s="890"/>
      <c r="X733" s="890"/>
      <c r="Y733" s="890"/>
      <c r="Z733" s="890"/>
      <c r="AA733" s="890"/>
      <c r="AB733" s="890"/>
      <c r="AC733" s="890"/>
      <c r="AD733" s="890"/>
      <c r="AE733" s="890"/>
      <c r="AF733" s="890"/>
      <c r="AG733" s="890"/>
      <c r="AH733" s="890"/>
      <c r="AI733" s="1085"/>
      <c r="AJ733" s="1085"/>
      <c r="AK733" s="1085"/>
      <c r="AL733" s="1085"/>
      <c r="AM733" s="1085"/>
      <c r="AN733" s="1085"/>
      <c r="AO733" s="1085"/>
      <c r="AP733" s="1085"/>
      <c r="AQ733" s="1085"/>
      <c r="AR733" s="1085"/>
      <c r="AS733" s="1085"/>
      <c r="AT733" s="1085"/>
      <c r="AU733" s="1085"/>
      <c r="AV733" s="1085"/>
      <c r="AW733" s="1085"/>
      <c r="AX733" s="1085"/>
      <c r="AY733" s="1085"/>
      <c r="AZ733" s="1085"/>
      <c r="BA733" s="1085"/>
      <c r="BB733" s="1085"/>
      <c r="BC733" s="1085"/>
      <c r="BD733" s="1085"/>
      <c r="BE733" s="1085"/>
      <c r="BF733" s="1085"/>
      <c r="BG733" s="1085"/>
      <c r="BH733" s="1085"/>
      <c r="BI733" s="1085"/>
      <c r="BJ733" s="1085"/>
      <c r="BK733" s="1085"/>
      <c r="BL733" s="1085"/>
      <c r="BM733" s="1085"/>
      <c r="BN733" s="1085"/>
      <c r="BO733" s="1085"/>
      <c r="BP733" s="1085"/>
      <c r="BQ733" s="1085"/>
      <c r="BR733" s="1085"/>
      <c r="BS733" s="1085"/>
      <c r="BT733" s="1085"/>
      <c r="BU733" s="1085"/>
      <c r="BV733" s="1085"/>
      <c r="BW733" s="1085"/>
      <c r="BX733" s="1085"/>
      <c r="BY733" s="1085"/>
      <c r="BZ733" s="1085"/>
      <c r="CA733" s="1085"/>
      <c r="CB733" s="1085"/>
      <c r="CC733" s="1085"/>
      <c r="CD733" s="1085"/>
      <c r="CE733" s="1085"/>
      <c r="CF733" s="1085"/>
      <c r="CG733" s="1085"/>
      <c r="CH733" s="1085"/>
      <c r="CI733" s="1085"/>
      <c r="CJ733" s="1085"/>
      <c r="CK733" s="1085"/>
      <c r="CL733" s="1085"/>
      <c r="CM733" s="1085"/>
      <c r="CN733" s="1085"/>
      <c r="CO733" s="1085"/>
      <c r="CP733" s="1085"/>
      <c r="CQ733" s="1085"/>
      <c r="CR733" s="1085"/>
      <c r="CS733" s="1085"/>
      <c r="CT733" s="1085"/>
      <c r="CU733" s="1085"/>
      <c r="CV733" s="1085"/>
      <c r="CW733" s="1085"/>
      <c r="CX733" s="1085"/>
      <c r="CY733" s="1085"/>
      <c r="CZ733" s="1085"/>
      <c r="DA733" s="1085"/>
      <c r="DB733" s="1085"/>
      <c r="DC733" s="1085"/>
      <c r="DD733" s="1085"/>
      <c r="DE733" s="1085"/>
      <c r="DF733" s="1085"/>
      <c r="DG733" s="1085"/>
      <c r="DH733" s="1085"/>
      <c r="DI733" s="1085"/>
      <c r="DJ733" s="1085"/>
      <c r="DK733" s="1085"/>
      <c r="DL733" s="1085"/>
      <c r="DM733" s="1085"/>
      <c r="DN733" s="1085"/>
      <c r="DO733" s="1085"/>
      <c r="DP733" s="1085"/>
      <c r="DQ733" s="1085"/>
      <c r="DR733" s="1085"/>
      <c r="DS733" s="1085"/>
      <c r="DT733" s="1085"/>
      <c r="DU733" s="1085"/>
      <c r="DV733" s="1085"/>
      <c r="DW733" s="1085"/>
      <c r="DX733" s="1085"/>
      <c r="DY733" s="1085"/>
      <c r="DZ733" s="1085"/>
      <c r="EA733" s="1085"/>
      <c r="EB733" s="1085"/>
      <c r="EC733" s="1085"/>
      <c r="ED733" s="1085"/>
      <c r="EE733" s="1085"/>
      <c r="EF733" s="1085"/>
      <c r="EG733" s="1085"/>
      <c r="EH733" s="1085"/>
      <c r="EI733" s="1085"/>
      <c r="EJ733" s="1085"/>
      <c r="EK733" s="1085"/>
      <c r="EL733" s="1085"/>
      <c r="EM733" s="1085"/>
      <c r="EN733" s="1085"/>
      <c r="EO733" s="1085"/>
      <c r="EP733" s="1085"/>
      <c r="EQ733" s="1085"/>
      <c r="ER733" s="1085"/>
      <c r="ES733" s="1085"/>
      <c r="ET733" s="1085"/>
      <c r="EU733" s="1085"/>
      <c r="EV733" s="1085"/>
      <c r="EW733" s="1085"/>
      <c r="EX733" s="1085"/>
      <c r="EY733" s="1085"/>
      <c r="EZ733" s="1085"/>
      <c r="FA733" s="1085"/>
      <c r="FB733" s="1085"/>
      <c r="FC733" s="1085"/>
      <c r="FD733" s="1085"/>
      <c r="FE733" s="1085"/>
      <c r="FF733" s="1085"/>
      <c r="FG733" s="1085"/>
      <c r="FH733" s="1085"/>
      <c r="FI733" s="1085"/>
      <c r="FJ733" s="1085"/>
      <c r="FK733" s="1085"/>
      <c r="FL733" s="1085"/>
      <c r="FM733" s="1085"/>
      <c r="FN733" s="1085"/>
      <c r="FO733" s="1085"/>
      <c r="FP733" s="1085"/>
      <c r="FQ733" s="1085"/>
      <c r="FR733" s="1085"/>
      <c r="FS733" s="1085"/>
      <c r="FT733" s="1085"/>
      <c r="FU733" s="1085"/>
      <c r="FV733" s="1085"/>
      <c r="FW733" s="1085"/>
      <c r="FX733" s="1085"/>
      <c r="FY733" s="1085"/>
      <c r="FZ733" s="1085"/>
      <c r="GA733" s="1085"/>
      <c r="GB733" s="1085"/>
      <c r="GC733" s="1085"/>
      <c r="GD733" s="1085"/>
      <c r="GE733" s="1085"/>
      <c r="GF733" s="1085"/>
      <c r="GG733" s="1085"/>
      <c r="GH733" s="1085"/>
      <c r="GI733" s="1085"/>
      <c r="GJ733" s="1085"/>
      <c r="GK733" s="1085"/>
      <c r="GL733" s="1085"/>
      <c r="GM733" s="1085"/>
      <c r="GN733" s="1085"/>
      <c r="GO733" s="1085"/>
      <c r="GP733" s="1085"/>
      <c r="GQ733" s="1085"/>
      <c r="GR733" s="1085"/>
      <c r="GS733" s="1085"/>
      <c r="GT733" s="1085"/>
      <c r="GU733" s="1085"/>
      <c r="GV733" s="1085"/>
      <c r="GW733" s="1085"/>
      <c r="GX733" s="1085"/>
      <c r="GY733" s="1085"/>
      <c r="GZ733" s="1085"/>
      <c r="HA733" s="1085"/>
      <c r="HB733" s="1085"/>
      <c r="HC733" s="1085"/>
      <c r="HD733" s="1085"/>
      <c r="HE733" s="1085"/>
      <c r="HF733" s="1085"/>
      <c r="HG733" s="1085"/>
      <c r="HH733" s="1085"/>
      <c r="HI733" s="1085"/>
      <c r="HJ733" s="1085"/>
      <c r="HK733" s="1085"/>
      <c r="HL733" s="1085"/>
      <c r="HM733" s="1085"/>
      <c r="HN733" s="1085"/>
      <c r="HO733" s="1085"/>
      <c r="HP733" s="1085"/>
      <c r="HQ733" s="1085"/>
      <c r="HR733" s="1085"/>
      <c r="HS733" s="1085"/>
      <c r="HT733" s="1085"/>
      <c r="HU733" s="1085"/>
      <c r="HV733" s="1085"/>
      <c r="HW733" s="1085"/>
      <c r="HX733" s="1085"/>
      <c r="HY733" s="1085"/>
      <c r="HZ733" s="1085"/>
      <c r="IA733" s="1085"/>
      <c r="IB733" s="1085"/>
      <c r="IC733" s="1085"/>
      <c r="ID733" s="1085"/>
      <c r="IE733" s="1085"/>
      <c r="IF733" s="1085"/>
      <c r="IG733" s="1085"/>
      <c r="IH733" s="1085"/>
      <c r="II733" s="1085"/>
      <c r="IJ733" s="1085"/>
      <c r="IK733" s="1085"/>
      <c r="IL733" s="1085"/>
      <c r="IM733" s="1085"/>
      <c r="IN733" s="1085"/>
      <c r="IO733" s="1085"/>
      <c r="IP733" s="1085"/>
      <c r="IQ733" s="1085"/>
      <c r="IR733" s="1085"/>
      <c r="IS733" s="1085"/>
      <c r="IT733" s="1085"/>
      <c r="IU733" s="1085"/>
      <c r="IV733" s="1085"/>
    </row>
    <row r="734" spans="1:256" s="2151" customFormat="1" ht="82.5" customHeight="1">
      <c r="A734" s="890"/>
      <c r="B734" s="2250" t="s">
        <v>5363</v>
      </c>
      <c r="C734" s="599" t="s">
        <v>5264</v>
      </c>
      <c r="D734" s="599" t="s">
        <v>5265</v>
      </c>
      <c r="E734" s="599" t="s">
        <v>5450</v>
      </c>
      <c r="F734" s="599" t="s">
        <v>5266</v>
      </c>
      <c r="G734" s="890"/>
      <c r="H734" s="890"/>
      <c r="I734" s="890"/>
      <c r="J734" s="890"/>
      <c r="K734" s="1337"/>
      <c r="L734" s="890"/>
      <c r="M734" s="599" t="s">
        <v>5297</v>
      </c>
      <c r="N734" s="890"/>
      <c r="O734" s="890"/>
      <c r="P734" s="890"/>
      <c r="Q734" s="890"/>
      <c r="R734" s="890"/>
      <c r="S734" s="890"/>
      <c r="T734" s="890"/>
      <c r="U734" s="890"/>
      <c r="V734" s="890"/>
      <c r="W734" s="890"/>
      <c r="X734" s="890"/>
      <c r="Y734" s="890"/>
      <c r="Z734" s="890"/>
      <c r="AA734" s="890"/>
      <c r="AB734" s="890"/>
      <c r="AC734" s="890"/>
      <c r="AD734" s="890"/>
      <c r="AE734" s="890"/>
      <c r="AF734" s="890"/>
      <c r="AG734" s="890"/>
      <c r="AH734" s="890"/>
      <c r="AI734" s="1085"/>
      <c r="AJ734" s="1085"/>
      <c r="AK734" s="1085"/>
      <c r="AL734" s="1085"/>
      <c r="AM734" s="1085"/>
      <c r="AN734" s="1085"/>
      <c r="AO734" s="1085"/>
      <c r="AP734" s="1085"/>
      <c r="AQ734" s="1085"/>
      <c r="AR734" s="1085"/>
      <c r="AS734" s="1085"/>
      <c r="AT734" s="1085"/>
      <c r="AU734" s="1085"/>
      <c r="AV734" s="1085"/>
      <c r="AW734" s="1085"/>
      <c r="AX734" s="1085"/>
      <c r="AY734" s="1085"/>
      <c r="AZ734" s="1085"/>
      <c r="BA734" s="1085"/>
      <c r="BB734" s="1085"/>
      <c r="BC734" s="1085"/>
      <c r="BD734" s="1085"/>
      <c r="BE734" s="1085"/>
      <c r="BF734" s="1085"/>
      <c r="BG734" s="1085"/>
      <c r="BH734" s="1085"/>
      <c r="BI734" s="1085"/>
      <c r="BJ734" s="1085"/>
      <c r="BK734" s="1085"/>
      <c r="BL734" s="1085"/>
      <c r="BM734" s="1085"/>
      <c r="BN734" s="1085"/>
      <c r="BO734" s="1085"/>
      <c r="BP734" s="1085"/>
      <c r="BQ734" s="1085"/>
      <c r="BR734" s="1085"/>
      <c r="BS734" s="1085"/>
      <c r="BT734" s="1085"/>
      <c r="BU734" s="1085"/>
      <c r="BV734" s="1085"/>
      <c r="BW734" s="1085"/>
      <c r="BX734" s="1085"/>
      <c r="BY734" s="1085"/>
      <c r="BZ734" s="1085"/>
      <c r="CA734" s="1085"/>
      <c r="CB734" s="1085"/>
      <c r="CC734" s="1085"/>
      <c r="CD734" s="1085"/>
      <c r="CE734" s="1085"/>
      <c r="CF734" s="1085"/>
      <c r="CG734" s="1085"/>
      <c r="CH734" s="1085"/>
      <c r="CI734" s="1085"/>
      <c r="CJ734" s="1085"/>
      <c r="CK734" s="1085"/>
      <c r="CL734" s="1085"/>
      <c r="CM734" s="1085"/>
      <c r="CN734" s="1085"/>
      <c r="CO734" s="1085"/>
      <c r="CP734" s="1085"/>
      <c r="CQ734" s="1085"/>
      <c r="CR734" s="1085"/>
      <c r="CS734" s="1085"/>
      <c r="CT734" s="1085"/>
      <c r="CU734" s="1085"/>
      <c r="CV734" s="1085"/>
      <c r="CW734" s="1085"/>
      <c r="CX734" s="1085"/>
      <c r="CY734" s="1085"/>
      <c r="CZ734" s="1085"/>
      <c r="DA734" s="1085"/>
      <c r="DB734" s="1085"/>
      <c r="DC734" s="1085"/>
      <c r="DD734" s="1085"/>
      <c r="DE734" s="1085"/>
      <c r="DF734" s="1085"/>
      <c r="DG734" s="1085"/>
      <c r="DH734" s="1085"/>
      <c r="DI734" s="1085"/>
      <c r="DJ734" s="1085"/>
      <c r="DK734" s="1085"/>
      <c r="DL734" s="1085"/>
      <c r="DM734" s="1085"/>
      <c r="DN734" s="1085"/>
      <c r="DO734" s="1085"/>
      <c r="DP734" s="1085"/>
      <c r="DQ734" s="1085"/>
      <c r="DR734" s="1085"/>
      <c r="DS734" s="1085"/>
      <c r="DT734" s="1085"/>
      <c r="DU734" s="1085"/>
      <c r="DV734" s="1085"/>
      <c r="DW734" s="1085"/>
      <c r="DX734" s="1085"/>
      <c r="DY734" s="1085"/>
      <c r="DZ734" s="1085"/>
      <c r="EA734" s="1085"/>
      <c r="EB734" s="1085"/>
      <c r="EC734" s="1085"/>
      <c r="ED734" s="1085"/>
      <c r="EE734" s="1085"/>
      <c r="EF734" s="1085"/>
      <c r="EG734" s="1085"/>
      <c r="EH734" s="1085"/>
      <c r="EI734" s="1085"/>
      <c r="EJ734" s="1085"/>
      <c r="EK734" s="1085"/>
      <c r="EL734" s="1085"/>
      <c r="EM734" s="1085"/>
      <c r="EN734" s="1085"/>
      <c r="EO734" s="1085"/>
      <c r="EP734" s="1085"/>
      <c r="EQ734" s="1085"/>
      <c r="ER734" s="1085"/>
      <c r="ES734" s="1085"/>
      <c r="ET734" s="1085"/>
      <c r="EU734" s="1085"/>
      <c r="EV734" s="1085"/>
      <c r="EW734" s="1085"/>
      <c r="EX734" s="1085"/>
      <c r="EY734" s="1085"/>
      <c r="EZ734" s="1085"/>
      <c r="FA734" s="1085"/>
      <c r="FB734" s="1085"/>
      <c r="FC734" s="1085"/>
      <c r="FD734" s="1085"/>
      <c r="FE734" s="1085"/>
      <c r="FF734" s="1085"/>
      <c r="FG734" s="1085"/>
      <c r="FH734" s="1085"/>
      <c r="FI734" s="1085"/>
      <c r="FJ734" s="1085"/>
      <c r="FK734" s="1085"/>
      <c r="FL734" s="1085"/>
      <c r="FM734" s="1085"/>
      <c r="FN734" s="1085"/>
      <c r="FO734" s="1085"/>
      <c r="FP734" s="1085"/>
      <c r="FQ734" s="1085"/>
      <c r="FR734" s="1085"/>
      <c r="FS734" s="1085"/>
      <c r="FT734" s="1085"/>
      <c r="FU734" s="1085"/>
      <c r="FV734" s="1085"/>
      <c r="FW734" s="1085"/>
      <c r="FX734" s="1085"/>
      <c r="FY734" s="1085"/>
      <c r="FZ734" s="1085"/>
      <c r="GA734" s="1085"/>
      <c r="GB734" s="1085"/>
      <c r="GC734" s="1085"/>
      <c r="GD734" s="1085"/>
      <c r="GE734" s="1085"/>
      <c r="GF734" s="1085"/>
      <c r="GG734" s="1085"/>
      <c r="GH734" s="1085"/>
      <c r="GI734" s="1085"/>
      <c r="GJ734" s="1085"/>
      <c r="GK734" s="1085"/>
      <c r="GL734" s="1085"/>
      <c r="GM734" s="1085"/>
      <c r="GN734" s="1085"/>
      <c r="GO734" s="1085"/>
      <c r="GP734" s="1085"/>
      <c r="GQ734" s="1085"/>
      <c r="GR734" s="1085"/>
      <c r="GS734" s="1085"/>
      <c r="GT734" s="1085"/>
      <c r="GU734" s="1085"/>
      <c r="GV734" s="1085"/>
      <c r="GW734" s="1085"/>
      <c r="GX734" s="1085"/>
      <c r="GY734" s="1085"/>
      <c r="GZ734" s="1085"/>
      <c r="HA734" s="1085"/>
      <c r="HB734" s="1085"/>
      <c r="HC734" s="1085"/>
      <c r="HD734" s="1085"/>
      <c r="HE734" s="1085"/>
      <c r="HF734" s="1085"/>
      <c r="HG734" s="1085"/>
      <c r="HH734" s="1085"/>
      <c r="HI734" s="1085"/>
      <c r="HJ734" s="1085"/>
      <c r="HK734" s="1085"/>
      <c r="HL734" s="1085"/>
      <c r="HM734" s="1085"/>
      <c r="HN734" s="1085"/>
      <c r="HO734" s="1085"/>
      <c r="HP734" s="1085"/>
      <c r="HQ734" s="1085"/>
      <c r="HR734" s="1085"/>
      <c r="HS734" s="1085"/>
      <c r="HT734" s="1085"/>
      <c r="HU734" s="1085"/>
      <c r="HV734" s="1085"/>
      <c r="HW734" s="1085"/>
      <c r="HX734" s="1085"/>
      <c r="HY734" s="1085"/>
      <c r="HZ734" s="1085"/>
      <c r="IA734" s="1085"/>
      <c r="IB734" s="1085"/>
      <c r="IC734" s="1085"/>
      <c r="ID734" s="1085"/>
      <c r="IE734" s="1085"/>
      <c r="IF734" s="1085"/>
      <c r="IG734" s="1085"/>
      <c r="IH734" s="1085"/>
      <c r="II734" s="1085"/>
      <c r="IJ734" s="1085"/>
      <c r="IK734" s="1085"/>
      <c r="IL734" s="1085"/>
      <c r="IM734" s="1085"/>
      <c r="IN734" s="1085"/>
      <c r="IO734" s="1085"/>
      <c r="IP734" s="1085"/>
      <c r="IQ734" s="1085"/>
      <c r="IR734" s="1085"/>
      <c r="IS734" s="1085"/>
      <c r="IT734" s="1085"/>
      <c r="IU734" s="1085"/>
      <c r="IV734" s="1085"/>
    </row>
    <row r="735" spans="1:256" s="2151" customFormat="1" ht="54.75" customHeight="1">
      <c r="A735" s="890"/>
      <c r="B735" s="2250" t="s">
        <v>5267</v>
      </c>
      <c r="C735" s="599" t="s">
        <v>5426</v>
      </c>
      <c r="D735" s="1094" t="e">
        <f>-#REF!</f>
        <v>#REF!</v>
      </c>
      <c r="E735" s="599" t="s">
        <v>5424</v>
      </c>
      <c r="F735" s="599">
        <v>350000</v>
      </c>
      <c r="G735" s="890" t="s">
        <v>5425</v>
      </c>
      <c r="H735" s="890"/>
      <c r="I735" s="890"/>
      <c r="J735" s="890"/>
      <c r="K735" s="1337"/>
      <c r="L735" s="890"/>
      <c r="M735" s="599" t="s">
        <v>5297</v>
      </c>
      <c r="N735" s="890"/>
      <c r="O735" s="890"/>
      <c r="P735" s="890"/>
      <c r="Q735" s="890"/>
      <c r="R735" s="890"/>
      <c r="S735" s="890"/>
      <c r="T735" s="890"/>
      <c r="U735" s="890"/>
      <c r="V735" s="890"/>
      <c r="W735" s="890"/>
      <c r="X735" s="890"/>
      <c r="Y735" s="890"/>
      <c r="Z735" s="890"/>
      <c r="AA735" s="890"/>
      <c r="AB735" s="890"/>
      <c r="AC735" s="890"/>
      <c r="AD735" s="890"/>
      <c r="AE735" s="890"/>
      <c r="AF735" s="890"/>
      <c r="AG735" s="890"/>
      <c r="AH735" s="890"/>
      <c r="AI735" s="1085"/>
      <c r="AJ735" s="1085"/>
      <c r="AK735" s="1085"/>
      <c r="AL735" s="1085"/>
      <c r="AM735" s="1085"/>
      <c r="AN735" s="1085"/>
      <c r="AO735" s="1085"/>
      <c r="AP735" s="1085"/>
      <c r="AQ735" s="1085"/>
      <c r="AR735" s="1085"/>
      <c r="AS735" s="1085"/>
      <c r="AT735" s="1085"/>
      <c r="AU735" s="1085"/>
      <c r="AV735" s="1085"/>
      <c r="AW735" s="1085"/>
      <c r="AX735" s="1085"/>
      <c r="AY735" s="1085"/>
      <c r="AZ735" s="1085"/>
      <c r="BA735" s="1085"/>
      <c r="BB735" s="1085"/>
      <c r="BC735" s="1085"/>
      <c r="BD735" s="1085"/>
      <c r="BE735" s="1085"/>
      <c r="BF735" s="1085"/>
      <c r="BG735" s="1085"/>
      <c r="BH735" s="1085"/>
      <c r="BI735" s="1085"/>
      <c r="BJ735" s="1085"/>
      <c r="BK735" s="1085"/>
      <c r="BL735" s="1085"/>
      <c r="BM735" s="1085"/>
      <c r="BN735" s="1085"/>
      <c r="BO735" s="1085"/>
      <c r="BP735" s="1085"/>
      <c r="BQ735" s="1085"/>
      <c r="BR735" s="1085"/>
      <c r="BS735" s="1085"/>
      <c r="BT735" s="1085"/>
      <c r="BU735" s="1085"/>
      <c r="BV735" s="1085"/>
      <c r="BW735" s="1085"/>
      <c r="BX735" s="1085"/>
      <c r="BY735" s="1085"/>
      <c r="BZ735" s="1085"/>
      <c r="CA735" s="1085"/>
      <c r="CB735" s="1085"/>
      <c r="CC735" s="1085"/>
      <c r="CD735" s="1085"/>
      <c r="CE735" s="1085"/>
      <c r="CF735" s="1085"/>
      <c r="CG735" s="1085"/>
      <c r="CH735" s="1085"/>
      <c r="CI735" s="1085"/>
      <c r="CJ735" s="1085"/>
      <c r="CK735" s="1085"/>
      <c r="CL735" s="1085"/>
      <c r="CM735" s="1085"/>
      <c r="CN735" s="1085"/>
      <c r="CO735" s="1085"/>
      <c r="CP735" s="1085"/>
      <c r="CQ735" s="1085"/>
      <c r="CR735" s="1085"/>
      <c r="CS735" s="1085"/>
      <c r="CT735" s="1085"/>
      <c r="CU735" s="1085"/>
      <c r="CV735" s="1085"/>
      <c r="CW735" s="1085"/>
      <c r="CX735" s="1085"/>
      <c r="CY735" s="1085"/>
      <c r="CZ735" s="1085"/>
      <c r="DA735" s="1085"/>
      <c r="DB735" s="1085"/>
      <c r="DC735" s="1085"/>
      <c r="DD735" s="1085"/>
      <c r="DE735" s="1085"/>
      <c r="DF735" s="1085"/>
      <c r="DG735" s="1085"/>
      <c r="DH735" s="1085"/>
      <c r="DI735" s="1085"/>
      <c r="DJ735" s="1085"/>
      <c r="DK735" s="1085"/>
      <c r="DL735" s="1085"/>
      <c r="DM735" s="1085"/>
      <c r="DN735" s="1085"/>
      <c r="DO735" s="1085"/>
      <c r="DP735" s="1085"/>
      <c r="DQ735" s="1085"/>
      <c r="DR735" s="1085"/>
      <c r="DS735" s="1085"/>
      <c r="DT735" s="1085"/>
      <c r="DU735" s="1085"/>
      <c r="DV735" s="1085"/>
      <c r="DW735" s="1085"/>
      <c r="DX735" s="1085"/>
      <c r="DY735" s="1085"/>
      <c r="DZ735" s="1085"/>
      <c r="EA735" s="1085"/>
      <c r="EB735" s="1085"/>
      <c r="EC735" s="1085"/>
      <c r="ED735" s="1085"/>
      <c r="EE735" s="1085"/>
      <c r="EF735" s="1085"/>
      <c r="EG735" s="1085"/>
      <c r="EH735" s="1085"/>
      <c r="EI735" s="1085"/>
      <c r="EJ735" s="1085"/>
      <c r="EK735" s="1085"/>
      <c r="EL735" s="1085"/>
      <c r="EM735" s="1085"/>
      <c r="EN735" s="1085"/>
      <c r="EO735" s="1085"/>
      <c r="EP735" s="1085"/>
      <c r="EQ735" s="1085"/>
      <c r="ER735" s="1085"/>
      <c r="ES735" s="1085"/>
      <c r="ET735" s="1085"/>
      <c r="EU735" s="1085"/>
      <c r="EV735" s="1085"/>
      <c r="EW735" s="1085"/>
      <c r="EX735" s="1085"/>
      <c r="EY735" s="1085"/>
      <c r="EZ735" s="1085"/>
      <c r="FA735" s="1085"/>
      <c r="FB735" s="1085"/>
      <c r="FC735" s="1085"/>
      <c r="FD735" s="1085"/>
      <c r="FE735" s="1085"/>
      <c r="FF735" s="1085"/>
      <c r="FG735" s="1085"/>
      <c r="FH735" s="1085"/>
      <c r="FI735" s="1085"/>
      <c r="FJ735" s="1085"/>
      <c r="FK735" s="1085"/>
      <c r="FL735" s="1085"/>
      <c r="FM735" s="1085"/>
      <c r="FN735" s="1085"/>
      <c r="FO735" s="1085"/>
      <c r="FP735" s="1085"/>
      <c r="FQ735" s="1085"/>
      <c r="FR735" s="1085"/>
      <c r="FS735" s="1085"/>
      <c r="FT735" s="1085"/>
      <c r="FU735" s="1085"/>
      <c r="FV735" s="1085"/>
      <c r="FW735" s="1085"/>
      <c r="FX735" s="1085"/>
      <c r="FY735" s="1085"/>
      <c r="FZ735" s="1085"/>
      <c r="GA735" s="1085"/>
      <c r="GB735" s="1085"/>
      <c r="GC735" s="1085"/>
      <c r="GD735" s="1085"/>
      <c r="GE735" s="1085"/>
      <c r="GF735" s="1085"/>
      <c r="GG735" s="1085"/>
      <c r="GH735" s="1085"/>
      <c r="GI735" s="1085"/>
      <c r="GJ735" s="1085"/>
      <c r="GK735" s="1085"/>
      <c r="GL735" s="1085"/>
      <c r="GM735" s="1085"/>
      <c r="GN735" s="1085"/>
      <c r="GO735" s="1085"/>
      <c r="GP735" s="1085"/>
      <c r="GQ735" s="1085"/>
      <c r="GR735" s="1085"/>
      <c r="GS735" s="1085"/>
      <c r="GT735" s="1085"/>
      <c r="GU735" s="1085"/>
      <c r="GV735" s="1085"/>
      <c r="GW735" s="1085"/>
      <c r="GX735" s="1085"/>
      <c r="GY735" s="1085"/>
      <c r="GZ735" s="1085"/>
      <c r="HA735" s="1085"/>
      <c r="HB735" s="1085"/>
      <c r="HC735" s="1085"/>
      <c r="HD735" s="1085"/>
      <c r="HE735" s="1085"/>
      <c r="HF735" s="1085"/>
      <c r="HG735" s="1085"/>
      <c r="HH735" s="1085"/>
      <c r="HI735" s="1085"/>
      <c r="HJ735" s="1085"/>
      <c r="HK735" s="1085"/>
      <c r="HL735" s="1085"/>
      <c r="HM735" s="1085"/>
      <c r="HN735" s="1085"/>
      <c r="HO735" s="1085"/>
      <c r="HP735" s="1085"/>
      <c r="HQ735" s="1085"/>
      <c r="HR735" s="1085"/>
      <c r="HS735" s="1085"/>
      <c r="HT735" s="1085"/>
      <c r="HU735" s="1085"/>
      <c r="HV735" s="1085"/>
      <c r="HW735" s="1085"/>
      <c r="HX735" s="1085"/>
      <c r="HY735" s="1085"/>
      <c r="HZ735" s="1085"/>
      <c r="IA735" s="1085"/>
      <c r="IB735" s="1085"/>
      <c r="IC735" s="1085"/>
      <c r="ID735" s="1085"/>
      <c r="IE735" s="1085"/>
      <c r="IF735" s="1085"/>
      <c r="IG735" s="1085"/>
      <c r="IH735" s="1085"/>
      <c r="II735" s="1085"/>
      <c r="IJ735" s="1085"/>
      <c r="IK735" s="1085"/>
      <c r="IL735" s="1085"/>
      <c r="IM735" s="1085"/>
      <c r="IN735" s="1085"/>
      <c r="IO735" s="1085"/>
      <c r="IP735" s="1085"/>
      <c r="IQ735" s="1085"/>
      <c r="IR735" s="1085"/>
      <c r="IS735" s="1085"/>
      <c r="IT735" s="1085"/>
      <c r="IU735" s="1085"/>
      <c r="IV735" s="1085"/>
    </row>
    <row r="736" spans="1:256" s="2151" customFormat="1" ht="95.25" customHeight="1">
      <c r="A736" s="890"/>
      <c r="B736" s="2250" t="s">
        <v>5267</v>
      </c>
      <c r="C736" s="599" t="s">
        <v>5422</v>
      </c>
      <c r="D736" s="599" t="s">
        <v>5421</v>
      </c>
      <c r="E736" s="599" t="s">
        <v>5330</v>
      </c>
      <c r="F736" s="599" t="s">
        <v>5423</v>
      </c>
      <c r="G736" s="890"/>
      <c r="H736" s="890"/>
      <c r="I736" s="890"/>
      <c r="J736" s="890" t="s">
        <v>5492</v>
      </c>
      <c r="K736" s="1337" t="s">
        <v>5493</v>
      </c>
      <c r="L736" s="890"/>
      <c r="M736" s="599" t="s">
        <v>5297</v>
      </c>
      <c r="N736" s="890"/>
      <c r="O736" s="890"/>
      <c r="P736" s="890"/>
      <c r="Q736" s="890"/>
      <c r="R736" s="890"/>
      <c r="S736" s="890"/>
      <c r="T736" s="890"/>
      <c r="U736" s="890"/>
      <c r="V736" s="890"/>
      <c r="W736" s="890"/>
      <c r="X736" s="890"/>
      <c r="Y736" s="890"/>
      <c r="Z736" s="890"/>
      <c r="AA736" s="890"/>
      <c r="AB736" s="890"/>
      <c r="AC736" s="890"/>
      <c r="AD736" s="890"/>
      <c r="AE736" s="890"/>
      <c r="AF736" s="890"/>
      <c r="AG736" s="890"/>
      <c r="AH736" s="890"/>
      <c r="AI736" s="1085"/>
      <c r="AJ736" s="1085"/>
      <c r="AK736" s="1085"/>
      <c r="AL736" s="1085"/>
      <c r="AM736" s="1085"/>
      <c r="AN736" s="1085"/>
      <c r="AO736" s="1085"/>
      <c r="AP736" s="1085"/>
      <c r="AQ736" s="1085"/>
      <c r="AR736" s="1085"/>
      <c r="AS736" s="1085"/>
      <c r="AT736" s="1085"/>
      <c r="AU736" s="1085"/>
      <c r="AV736" s="1085"/>
      <c r="AW736" s="1085"/>
      <c r="AX736" s="1085"/>
      <c r="AY736" s="1085"/>
      <c r="AZ736" s="1085"/>
      <c r="BA736" s="1085"/>
      <c r="BB736" s="1085"/>
      <c r="BC736" s="1085"/>
      <c r="BD736" s="1085"/>
      <c r="BE736" s="1085"/>
      <c r="BF736" s="1085"/>
      <c r="BG736" s="1085"/>
      <c r="BH736" s="1085"/>
      <c r="BI736" s="1085"/>
      <c r="BJ736" s="1085"/>
      <c r="BK736" s="1085"/>
      <c r="BL736" s="1085"/>
      <c r="BM736" s="1085"/>
      <c r="BN736" s="1085"/>
      <c r="BO736" s="1085"/>
      <c r="BP736" s="1085"/>
      <c r="BQ736" s="1085"/>
      <c r="BR736" s="1085"/>
      <c r="BS736" s="1085"/>
      <c r="BT736" s="1085"/>
      <c r="BU736" s="1085"/>
      <c r="BV736" s="1085"/>
      <c r="BW736" s="1085"/>
      <c r="BX736" s="1085"/>
      <c r="BY736" s="1085"/>
      <c r="BZ736" s="1085"/>
      <c r="CA736" s="1085"/>
      <c r="CB736" s="1085"/>
      <c r="CC736" s="1085"/>
      <c r="CD736" s="1085"/>
      <c r="CE736" s="1085"/>
      <c r="CF736" s="1085"/>
      <c r="CG736" s="1085"/>
      <c r="CH736" s="1085"/>
      <c r="CI736" s="1085"/>
      <c r="CJ736" s="1085"/>
      <c r="CK736" s="1085"/>
      <c r="CL736" s="1085"/>
      <c r="CM736" s="1085"/>
      <c r="CN736" s="1085"/>
      <c r="CO736" s="1085"/>
      <c r="CP736" s="1085"/>
      <c r="CQ736" s="1085"/>
      <c r="CR736" s="1085"/>
      <c r="CS736" s="1085"/>
      <c r="CT736" s="1085"/>
      <c r="CU736" s="1085"/>
      <c r="CV736" s="1085"/>
      <c r="CW736" s="1085"/>
      <c r="CX736" s="1085"/>
      <c r="CY736" s="1085"/>
      <c r="CZ736" s="1085"/>
      <c r="DA736" s="1085"/>
      <c r="DB736" s="1085"/>
      <c r="DC736" s="1085"/>
      <c r="DD736" s="1085"/>
      <c r="DE736" s="1085"/>
      <c r="DF736" s="1085"/>
      <c r="DG736" s="1085"/>
      <c r="DH736" s="1085"/>
      <c r="DI736" s="1085"/>
      <c r="DJ736" s="1085"/>
      <c r="DK736" s="1085"/>
      <c r="DL736" s="1085"/>
      <c r="DM736" s="1085"/>
      <c r="DN736" s="1085"/>
      <c r="DO736" s="1085"/>
      <c r="DP736" s="1085"/>
      <c r="DQ736" s="1085"/>
      <c r="DR736" s="1085"/>
      <c r="DS736" s="1085"/>
      <c r="DT736" s="1085"/>
      <c r="DU736" s="1085"/>
      <c r="DV736" s="1085"/>
      <c r="DW736" s="1085"/>
      <c r="DX736" s="1085"/>
      <c r="DY736" s="1085"/>
      <c r="DZ736" s="1085"/>
      <c r="EA736" s="1085"/>
      <c r="EB736" s="1085"/>
      <c r="EC736" s="1085"/>
      <c r="ED736" s="1085"/>
      <c r="EE736" s="1085"/>
      <c r="EF736" s="1085"/>
      <c r="EG736" s="1085"/>
      <c r="EH736" s="1085"/>
      <c r="EI736" s="1085"/>
      <c r="EJ736" s="1085"/>
      <c r="EK736" s="1085"/>
      <c r="EL736" s="1085"/>
      <c r="EM736" s="1085"/>
      <c r="EN736" s="1085"/>
      <c r="EO736" s="1085"/>
      <c r="EP736" s="1085"/>
      <c r="EQ736" s="1085"/>
      <c r="ER736" s="1085"/>
      <c r="ES736" s="1085"/>
      <c r="ET736" s="1085"/>
      <c r="EU736" s="1085"/>
      <c r="EV736" s="1085"/>
      <c r="EW736" s="1085"/>
      <c r="EX736" s="1085"/>
      <c r="EY736" s="1085"/>
      <c r="EZ736" s="1085"/>
      <c r="FA736" s="1085"/>
      <c r="FB736" s="1085"/>
      <c r="FC736" s="1085"/>
      <c r="FD736" s="1085"/>
      <c r="FE736" s="1085"/>
      <c r="FF736" s="1085"/>
      <c r="FG736" s="1085"/>
      <c r="FH736" s="1085"/>
      <c r="FI736" s="1085"/>
      <c r="FJ736" s="1085"/>
      <c r="FK736" s="1085"/>
      <c r="FL736" s="1085"/>
      <c r="FM736" s="1085"/>
      <c r="FN736" s="1085"/>
      <c r="FO736" s="1085"/>
      <c r="FP736" s="1085"/>
      <c r="FQ736" s="1085"/>
      <c r="FR736" s="1085"/>
      <c r="FS736" s="1085"/>
      <c r="FT736" s="1085"/>
      <c r="FU736" s="1085"/>
      <c r="FV736" s="1085"/>
      <c r="FW736" s="1085"/>
      <c r="FX736" s="1085"/>
      <c r="FY736" s="1085"/>
      <c r="FZ736" s="1085"/>
      <c r="GA736" s="1085"/>
      <c r="GB736" s="1085"/>
      <c r="GC736" s="1085"/>
      <c r="GD736" s="1085"/>
      <c r="GE736" s="1085"/>
      <c r="GF736" s="1085"/>
      <c r="GG736" s="1085"/>
      <c r="GH736" s="1085"/>
      <c r="GI736" s="1085"/>
      <c r="GJ736" s="1085"/>
      <c r="GK736" s="1085"/>
      <c r="GL736" s="1085"/>
      <c r="GM736" s="1085"/>
      <c r="GN736" s="1085"/>
      <c r="GO736" s="1085"/>
      <c r="GP736" s="1085"/>
      <c r="GQ736" s="1085"/>
      <c r="GR736" s="1085"/>
      <c r="GS736" s="1085"/>
      <c r="GT736" s="1085"/>
      <c r="GU736" s="1085"/>
      <c r="GV736" s="1085"/>
      <c r="GW736" s="1085"/>
      <c r="GX736" s="1085"/>
      <c r="GY736" s="1085"/>
      <c r="GZ736" s="1085"/>
      <c r="HA736" s="1085"/>
      <c r="HB736" s="1085"/>
      <c r="HC736" s="1085"/>
      <c r="HD736" s="1085"/>
      <c r="HE736" s="1085"/>
      <c r="HF736" s="1085"/>
      <c r="HG736" s="1085"/>
      <c r="HH736" s="1085"/>
      <c r="HI736" s="1085"/>
      <c r="HJ736" s="1085"/>
      <c r="HK736" s="1085"/>
      <c r="HL736" s="1085"/>
      <c r="HM736" s="1085"/>
      <c r="HN736" s="1085"/>
      <c r="HO736" s="1085"/>
      <c r="HP736" s="1085"/>
      <c r="HQ736" s="1085"/>
      <c r="HR736" s="1085"/>
      <c r="HS736" s="1085"/>
      <c r="HT736" s="1085"/>
      <c r="HU736" s="1085"/>
      <c r="HV736" s="1085"/>
      <c r="HW736" s="1085"/>
      <c r="HX736" s="1085"/>
      <c r="HY736" s="1085"/>
      <c r="HZ736" s="1085"/>
      <c r="IA736" s="1085"/>
      <c r="IB736" s="1085"/>
      <c r="IC736" s="1085"/>
      <c r="ID736" s="1085"/>
      <c r="IE736" s="1085"/>
      <c r="IF736" s="1085"/>
      <c r="IG736" s="1085"/>
      <c r="IH736" s="1085"/>
      <c r="II736" s="1085"/>
      <c r="IJ736" s="1085"/>
      <c r="IK736" s="1085"/>
      <c r="IL736" s="1085"/>
      <c r="IM736" s="1085"/>
      <c r="IN736" s="1085"/>
      <c r="IO736" s="1085"/>
      <c r="IP736" s="1085"/>
      <c r="IQ736" s="1085"/>
      <c r="IR736" s="1085"/>
      <c r="IS736" s="1085"/>
      <c r="IT736" s="1085"/>
      <c r="IU736" s="1085"/>
      <c r="IV736" s="1085"/>
    </row>
    <row r="737" spans="1:261" s="2151" customFormat="1" ht="93.75" customHeight="1">
      <c r="A737" s="890"/>
      <c r="B737" s="2250" t="s">
        <v>5268</v>
      </c>
      <c r="C737" s="599" t="s">
        <v>5269</v>
      </c>
      <c r="D737" s="599" t="s">
        <v>5270</v>
      </c>
      <c r="E737" s="599"/>
      <c r="F737" s="599" t="s">
        <v>5272</v>
      </c>
      <c r="G737" s="890"/>
      <c r="H737" s="890"/>
      <c r="I737" s="890" t="s">
        <v>5271</v>
      </c>
      <c r="J737" s="1808"/>
      <c r="K737" s="1337"/>
      <c r="L737" s="890"/>
      <c r="M737" s="890"/>
      <c r="N737" s="890"/>
      <c r="O737" s="890"/>
      <c r="P737" s="890"/>
      <c r="Q737" s="890"/>
      <c r="R737" s="890"/>
      <c r="S737" s="890"/>
      <c r="T737" s="890"/>
      <c r="U737" s="890"/>
      <c r="V737" s="890"/>
      <c r="W737" s="890"/>
      <c r="X737" s="890"/>
      <c r="Y737" s="890"/>
      <c r="Z737" s="890"/>
      <c r="AA737" s="890"/>
      <c r="AB737" s="890"/>
      <c r="AC737" s="890"/>
      <c r="AD737" s="890"/>
      <c r="AE737" s="890"/>
      <c r="AF737" s="890"/>
      <c r="AG737" s="890"/>
      <c r="AH737" s="890"/>
      <c r="AI737" s="1085"/>
      <c r="AJ737" s="1085"/>
      <c r="AK737" s="1085"/>
      <c r="AL737" s="1085"/>
      <c r="AM737" s="1085"/>
      <c r="AN737" s="1085"/>
      <c r="AO737" s="1085"/>
      <c r="AP737" s="1085"/>
      <c r="AQ737" s="1085"/>
      <c r="AR737" s="1085"/>
      <c r="AS737" s="1085"/>
      <c r="AT737" s="1085"/>
      <c r="AU737" s="1085"/>
      <c r="AV737" s="1085"/>
      <c r="AW737" s="1085"/>
      <c r="AX737" s="1085"/>
      <c r="AY737" s="1085"/>
      <c r="AZ737" s="1085"/>
      <c r="BA737" s="1085"/>
      <c r="BB737" s="1085"/>
      <c r="BC737" s="1085"/>
      <c r="BD737" s="1085"/>
      <c r="BE737" s="1085"/>
      <c r="BF737" s="1085"/>
      <c r="BG737" s="1085"/>
      <c r="BH737" s="1085"/>
      <c r="BI737" s="1085"/>
      <c r="BJ737" s="1085"/>
      <c r="BK737" s="1085"/>
      <c r="BL737" s="1085"/>
      <c r="BM737" s="1085"/>
      <c r="BN737" s="1085"/>
      <c r="BO737" s="1085"/>
      <c r="BP737" s="1085"/>
      <c r="BQ737" s="1085"/>
      <c r="BR737" s="1085"/>
      <c r="BS737" s="1085"/>
      <c r="BT737" s="1085"/>
      <c r="BU737" s="1085"/>
      <c r="BV737" s="1085"/>
      <c r="BW737" s="1085"/>
      <c r="BX737" s="1085"/>
      <c r="BY737" s="1085"/>
      <c r="BZ737" s="1085"/>
      <c r="CA737" s="1085"/>
      <c r="CB737" s="1085"/>
      <c r="CC737" s="1085"/>
      <c r="CD737" s="1085"/>
      <c r="CE737" s="1085"/>
      <c r="CF737" s="1085"/>
      <c r="CG737" s="1085"/>
      <c r="CH737" s="1085"/>
      <c r="CI737" s="1085"/>
      <c r="CJ737" s="1085"/>
      <c r="CK737" s="1085"/>
      <c r="CL737" s="1085"/>
      <c r="CM737" s="1085"/>
      <c r="CN737" s="1085"/>
      <c r="CO737" s="1085"/>
      <c r="CP737" s="1085"/>
      <c r="CQ737" s="1085"/>
      <c r="CR737" s="1085"/>
      <c r="CS737" s="1085"/>
      <c r="CT737" s="1085"/>
      <c r="CU737" s="1085"/>
      <c r="CV737" s="1085"/>
      <c r="CW737" s="1085"/>
      <c r="CX737" s="1085"/>
      <c r="CY737" s="1085"/>
      <c r="CZ737" s="1085"/>
      <c r="DA737" s="1085"/>
      <c r="DB737" s="1085"/>
      <c r="DC737" s="1085"/>
      <c r="DD737" s="1085"/>
      <c r="DE737" s="1085"/>
      <c r="DF737" s="1085"/>
      <c r="DG737" s="1085"/>
      <c r="DH737" s="1085"/>
      <c r="DI737" s="1085"/>
      <c r="DJ737" s="1085"/>
      <c r="DK737" s="1085"/>
      <c r="DL737" s="1085"/>
      <c r="DM737" s="1085"/>
      <c r="DN737" s="1085"/>
      <c r="DO737" s="1085"/>
      <c r="DP737" s="1085"/>
      <c r="DQ737" s="1085"/>
      <c r="DR737" s="1085"/>
      <c r="DS737" s="1085"/>
      <c r="DT737" s="1085"/>
      <c r="DU737" s="1085"/>
      <c r="DV737" s="1085"/>
      <c r="DW737" s="1085"/>
      <c r="DX737" s="1085"/>
      <c r="DY737" s="1085"/>
      <c r="DZ737" s="1085"/>
      <c r="EA737" s="1085"/>
      <c r="EB737" s="1085"/>
      <c r="EC737" s="1085"/>
      <c r="ED737" s="1085"/>
      <c r="EE737" s="1085"/>
      <c r="EF737" s="1085"/>
      <c r="EG737" s="1085"/>
      <c r="EH737" s="1085"/>
      <c r="EI737" s="1085"/>
      <c r="EJ737" s="1085"/>
      <c r="EK737" s="1085"/>
      <c r="EL737" s="1085"/>
      <c r="EM737" s="1085"/>
      <c r="EN737" s="1085"/>
      <c r="EO737" s="1085"/>
      <c r="EP737" s="1085"/>
      <c r="EQ737" s="1085"/>
      <c r="ER737" s="1085"/>
      <c r="ES737" s="1085"/>
      <c r="ET737" s="1085"/>
      <c r="EU737" s="1085"/>
      <c r="EV737" s="1085"/>
      <c r="EW737" s="1085"/>
      <c r="EX737" s="1085"/>
      <c r="EY737" s="1085"/>
      <c r="EZ737" s="1085"/>
      <c r="FA737" s="1085"/>
      <c r="FB737" s="1085"/>
      <c r="FC737" s="1085"/>
      <c r="FD737" s="1085"/>
      <c r="FE737" s="1085"/>
      <c r="FF737" s="1085"/>
      <c r="FG737" s="1085"/>
      <c r="FH737" s="1085"/>
      <c r="FI737" s="1085"/>
      <c r="FJ737" s="1085"/>
      <c r="FK737" s="1085"/>
      <c r="FL737" s="1085"/>
      <c r="FM737" s="1085"/>
      <c r="FN737" s="1085"/>
      <c r="FO737" s="1085"/>
      <c r="FP737" s="1085"/>
      <c r="FQ737" s="1085"/>
      <c r="FR737" s="1085"/>
      <c r="FS737" s="1085"/>
      <c r="FT737" s="1085"/>
      <c r="FU737" s="1085"/>
      <c r="FV737" s="1085"/>
      <c r="FW737" s="1085"/>
      <c r="FX737" s="1085"/>
      <c r="FY737" s="1085"/>
      <c r="FZ737" s="1085"/>
      <c r="GA737" s="1085"/>
      <c r="GB737" s="1085"/>
      <c r="GC737" s="1085"/>
      <c r="GD737" s="1085"/>
      <c r="GE737" s="1085"/>
      <c r="GF737" s="1085"/>
      <c r="GG737" s="1085"/>
      <c r="GH737" s="1085"/>
      <c r="GI737" s="1085"/>
      <c r="GJ737" s="1085"/>
      <c r="GK737" s="1085"/>
      <c r="GL737" s="1085"/>
      <c r="GM737" s="1085"/>
      <c r="GN737" s="1085"/>
      <c r="GO737" s="1085"/>
      <c r="GP737" s="1085"/>
      <c r="GQ737" s="1085"/>
      <c r="GR737" s="1085"/>
      <c r="GS737" s="1085"/>
      <c r="GT737" s="1085"/>
      <c r="GU737" s="1085"/>
      <c r="GV737" s="1085"/>
      <c r="GW737" s="1085"/>
      <c r="GX737" s="1085"/>
      <c r="GY737" s="1085"/>
      <c r="GZ737" s="1085"/>
      <c r="HA737" s="1085"/>
      <c r="HB737" s="1085"/>
      <c r="HC737" s="1085"/>
      <c r="HD737" s="1085"/>
      <c r="HE737" s="1085"/>
      <c r="HF737" s="1085"/>
      <c r="HG737" s="1085"/>
      <c r="HH737" s="1085"/>
      <c r="HI737" s="1085"/>
      <c r="HJ737" s="1085"/>
      <c r="HK737" s="1085"/>
      <c r="HL737" s="1085"/>
      <c r="HM737" s="1085"/>
      <c r="HN737" s="1085"/>
      <c r="HO737" s="1085"/>
      <c r="HP737" s="1085"/>
      <c r="HQ737" s="1085"/>
      <c r="HR737" s="1085"/>
      <c r="HS737" s="1085"/>
      <c r="HT737" s="1085"/>
      <c r="HU737" s="1085"/>
      <c r="HV737" s="1085"/>
      <c r="HW737" s="1085"/>
      <c r="HX737" s="1085"/>
      <c r="HY737" s="1085"/>
      <c r="HZ737" s="1085"/>
      <c r="IA737" s="1085"/>
      <c r="IB737" s="1085"/>
      <c r="IC737" s="1085"/>
      <c r="ID737" s="1085"/>
      <c r="IE737" s="1085"/>
      <c r="IF737" s="1085"/>
      <c r="IG737" s="1085"/>
      <c r="IH737" s="1085"/>
      <c r="II737" s="1085"/>
      <c r="IJ737" s="1085"/>
      <c r="IK737" s="1085"/>
      <c r="IL737" s="1085"/>
      <c r="IM737" s="1085"/>
      <c r="IN737" s="1085"/>
      <c r="IO737" s="1085"/>
      <c r="IP737" s="1085"/>
      <c r="IQ737" s="1085"/>
      <c r="IR737" s="1085"/>
      <c r="IS737" s="1085"/>
      <c r="IT737" s="1085"/>
      <c r="IU737" s="1085"/>
      <c r="IV737" s="1085"/>
    </row>
    <row r="738" spans="1:261" s="2151" customFormat="1" ht="196.5" customHeight="1">
      <c r="A738" s="890"/>
      <c r="B738" s="2332" t="s">
        <v>5273</v>
      </c>
      <c r="C738" s="741" t="s">
        <v>5274</v>
      </c>
      <c r="D738" s="741" t="s">
        <v>5276</v>
      </c>
      <c r="E738" s="599"/>
      <c r="F738" s="741" t="s">
        <v>5275</v>
      </c>
      <c r="G738" s="890"/>
      <c r="H738" s="890"/>
      <c r="I738" s="890"/>
      <c r="J738" s="890"/>
      <c r="K738" s="1337"/>
      <c r="L738" s="890"/>
      <c r="M738" s="1880" t="s">
        <v>5278</v>
      </c>
      <c r="N738" s="2279" t="s">
        <v>5495</v>
      </c>
      <c r="O738" s="890">
        <v>4700000</v>
      </c>
      <c r="P738" s="890">
        <f>200000                      +550000                              +180000                       +550000                         +140000                               +450000                        +1083000</f>
        <v>3153000</v>
      </c>
      <c r="Q738" s="502" t="s">
        <v>5500</v>
      </c>
      <c r="R738" s="890" t="s">
        <v>5455</v>
      </c>
      <c r="S738" s="890" t="s">
        <v>5456</v>
      </c>
      <c r="T738" s="890"/>
      <c r="U738" s="890"/>
      <c r="V738" s="890"/>
      <c r="W738" s="890"/>
      <c r="X738" s="890"/>
      <c r="Y738" s="890"/>
      <c r="Z738" s="890"/>
      <c r="AA738" s="890"/>
      <c r="AB738" s="890"/>
      <c r="AC738" s="890"/>
      <c r="AD738" s="890"/>
      <c r="AE738" s="890"/>
      <c r="AF738" s="890"/>
      <c r="AG738" s="890"/>
      <c r="AH738" s="890"/>
      <c r="AI738" s="1085"/>
      <c r="AJ738" s="1085"/>
      <c r="AK738" s="1085"/>
      <c r="AL738" s="1085"/>
      <c r="AM738" s="1085"/>
      <c r="AN738" s="1085"/>
      <c r="AO738" s="1085"/>
      <c r="AP738" s="1085"/>
      <c r="AQ738" s="1085"/>
      <c r="AR738" s="1085"/>
      <c r="AS738" s="1085"/>
      <c r="AT738" s="1085"/>
      <c r="AU738" s="1085"/>
      <c r="AV738" s="1085"/>
      <c r="AW738" s="1085"/>
      <c r="AX738" s="1085"/>
      <c r="AY738" s="1085"/>
      <c r="AZ738" s="1085"/>
      <c r="BA738" s="1085"/>
      <c r="BB738" s="1085"/>
      <c r="BC738" s="1085"/>
      <c r="BD738" s="1085"/>
      <c r="BE738" s="1085"/>
      <c r="BF738" s="1085"/>
      <c r="BG738" s="1085"/>
      <c r="BH738" s="1085"/>
      <c r="BI738" s="1085"/>
      <c r="BJ738" s="1085"/>
      <c r="BK738" s="1085"/>
      <c r="BL738" s="1085"/>
      <c r="BM738" s="1085"/>
      <c r="BN738" s="1085"/>
      <c r="BO738" s="1085"/>
      <c r="BP738" s="1085"/>
      <c r="BQ738" s="1085"/>
      <c r="BR738" s="1085"/>
      <c r="BS738" s="1085"/>
      <c r="BT738" s="1085"/>
      <c r="BU738" s="1085"/>
      <c r="BV738" s="1085"/>
      <c r="BW738" s="1085"/>
      <c r="BX738" s="1085"/>
      <c r="BY738" s="1085"/>
      <c r="BZ738" s="1085"/>
      <c r="CA738" s="1085"/>
      <c r="CB738" s="1085"/>
      <c r="CC738" s="1085"/>
      <c r="CD738" s="1085"/>
      <c r="CE738" s="1085"/>
      <c r="CF738" s="1085"/>
      <c r="CG738" s="1085"/>
      <c r="CH738" s="1085"/>
      <c r="CI738" s="1085"/>
      <c r="CJ738" s="1085"/>
      <c r="CK738" s="1085"/>
      <c r="CL738" s="1085"/>
      <c r="CM738" s="1085"/>
      <c r="CN738" s="1085"/>
      <c r="CO738" s="1085"/>
      <c r="CP738" s="1085"/>
      <c r="CQ738" s="1085"/>
      <c r="CR738" s="1085"/>
      <c r="CS738" s="1085"/>
      <c r="CT738" s="1085"/>
      <c r="CU738" s="1085"/>
      <c r="CV738" s="1085"/>
      <c r="CW738" s="1085"/>
      <c r="CX738" s="1085"/>
      <c r="CY738" s="1085"/>
      <c r="CZ738" s="1085"/>
      <c r="DA738" s="1085"/>
      <c r="DB738" s="1085"/>
      <c r="DC738" s="1085"/>
      <c r="DD738" s="1085"/>
      <c r="DE738" s="1085"/>
      <c r="DF738" s="1085"/>
      <c r="DG738" s="1085"/>
      <c r="DH738" s="1085"/>
      <c r="DI738" s="1085"/>
      <c r="DJ738" s="1085"/>
      <c r="DK738" s="1085"/>
      <c r="DL738" s="1085"/>
      <c r="DM738" s="1085"/>
      <c r="DN738" s="1085"/>
      <c r="DO738" s="1085"/>
      <c r="DP738" s="1085"/>
      <c r="DQ738" s="1085"/>
      <c r="DR738" s="1085"/>
      <c r="DS738" s="1085"/>
      <c r="DT738" s="1085"/>
      <c r="DU738" s="1085"/>
      <c r="DV738" s="1085"/>
      <c r="DW738" s="1085"/>
      <c r="DX738" s="1085"/>
      <c r="DY738" s="1085"/>
      <c r="DZ738" s="1085"/>
      <c r="EA738" s="1085"/>
      <c r="EB738" s="1085"/>
      <c r="EC738" s="1085"/>
      <c r="ED738" s="1085"/>
      <c r="EE738" s="1085"/>
      <c r="EF738" s="1085"/>
      <c r="EG738" s="1085"/>
      <c r="EH738" s="1085"/>
      <c r="EI738" s="1085"/>
      <c r="EJ738" s="1085"/>
      <c r="EK738" s="1085"/>
      <c r="EL738" s="1085"/>
      <c r="EM738" s="1085"/>
      <c r="EN738" s="1085"/>
      <c r="EO738" s="1085"/>
      <c r="EP738" s="1085"/>
      <c r="EQ738" s="1085"/>
      <c r="ER738" s="1085"/>
      <c r="ES738" s="1085"/>
      <c r="ET738" s="1085"/>
      <c r="EU738" s="1085"/>
      <c r="EV738" s="1085"/>
      <c r="EW738" s="1085"/>
      <c r="EX738" s="1085"/>
      <c r="EY738" s="1085"/>
      <c r="EZ738" s="1085"/>
      <c r="FA738" s="1085"/>
      <c r="FB738" s="1085"/>
      <c r="FC738" s="1085"/>
      <c r="FD738" s="1085"/>
      <c r="FE738" s="1085"/>
      <c r="FF738" s="1085"/>
      <c r="FG738" s="1085"/>
      <c r="FH738" s="1085"/>
      <c r="FI738" s="1085"/>
      <c r="FJ738" s="1085"/>
      <c r="FK738" s="1085"/>
      <c r="FL738" s="1085"/>
      <c r="FM738" s="1085"/>
      <c r="FN738" s="1085"/>
      <c r="FO738" s="1085"/>
      <c r="FP738" s="1085"/>
      <c r="FQ738" s="1085"/>
      <c r="FR738" s="1085"/>
      <c r="FS738" s="1085"/>
      <c r="FT738" s="1085"/>
      <c r="FU738" s="1085"/>
      <c r="FV738" s="1085"/>
      <c r="FW738" s="1085"/>
      <c r="FX738" s="1085"/>
      <c r="FY738" s="1085"/>
      <c r="FZ738" s="1085"/>
      <c r="GA738" s="1085"/>
      <c r="GB738" s="1085"/>
      <c r="GC738" s="1085"/>
      <c r="GD738" s="1085"/>
      <c r="GE738" s="1085"/>
      <c r="GF738" s="1085"/>
      <c r="GG738" s="1085"/>
      <c r="GH738" s="1085"/>
      <c r="GI738" s="1085"/>
      <c r="GJ738" s="1085"/>
      <c r="GK738" s="1085"/>
      <c r="GL738" s="1085"/>
      <c r="GM738" s="1085"/>
      <c r="GN738" s="1085"/>
      <c r="GO738" s="1085"/>
      <c r="GP738" s="1085"/>
      <c r="GQ738" s="1085"/>
      <c r="GR738" s="1085"/>
      <c r="GS738" s="1085"/>
      <c r="GT738" s="1085"/>
      <c r="GU738" s="1085"/>
      <c r="GV738" s="1085"/>
      <c r="GW738" s="1085"/>
      <c r="GX738" s="1085"/>
      <c r="GY738" s="1085"/>
      <c r="GZ738" s="1085"/>
      <c r="HA738" s="1085"/>
      <c r="HB738" s="1085"/>
      <c r="HC738" s="1085"/>
      <c r="HD738" s="1085"/>
      <c r="HE738" s="1085"/>
      <c r="HF738" s="1085"/>
      <c r="HG738" s="1085"/>
      <c r="HH738" s="1085"/>
      <c r="HI738" s="1085"/>
      <c r="HJ738" s="1085"/>
      <c r="HK738" s="1085"/>
      <c r="HL738" s="1085"/>
      <c r="HM738" s="1085"/>
      <c r="HN738" s="1085"/>
      <c r="HO738" s="1085"/>
      <c r="HP738" s="1085"/>
      <c r="HQ738" s="1085"/>
      <c r="HR738" s="1085"/>
      <c r="HS738" s="1085"/>
      <c r="HT738" s="1085"/>
      <c r="HU738" s="1085"/>
      <c r="HV738" s="1085"/>
      <c r="HW738" s="1085"/>
      <c r="HX738" s="1085"/>
      <c r="HY738" s="1085"/>
      <c r="HZ738" s="1085"/>
      <c r="IA738" s="1085"/>
      <c r="IB738" s="1085"/>
      <c r="IC738" s="1085"/>
      <c r="ID738" s="1085"/>
      <c r="IE738" s="1085"/>
      <c r="IF738" s="1085"/>
      <c r="IG738" s="1085"/>
      <c r="IH738" s="1085"/>
      <c r="II738" s="1085"/>
      <c r="IJ738" s="1085"/>
      <c r="IK738" s="1085"/>
      <c r="IL738" s="1085"/>
      <c r="IM738" s="1085"/>
      <c r="IN738" s="1085"/>
      <c r="IO738" s="1085"/>
      <c r="IP738" s="1085"/>
      <c r="IQ738" s="1085"/>
      <c r="IR738" s="1085"/>
      <c r="IS738" s="1085"/>
      <c r="IT738" s="1085"/>
      <c r="IU738" s="1085"/>
      <c r="IV738" s="1085"/>
    </row>
    <row r="739" spans="1:261" s="2151" customFormat="1" ht="79.5" customHeight="1">
      <c r="A739" s="2334"/>
      <c r="B739" s="2335"/>
      <c r="C739" s="2336"/>
      <c r="D739" s="2336"/>
      <c r="E739" s="2304"/>
      <c r="F739" s="2336"/>
      <c r="G739" s="2334"/>
      <c r="H739" s="2334"/>
      <c r="I739" s="2334"/>
      <c r="J739" s="2334"/>
      <c r="K739" s="2337"/>
      <c r="L739" s="2334"/>
      <c r="M739" s="2339" t="s">
        <v>5594</v>
      </c>
      <c r="N739" s="2338" t="s">
        <v>5595</v>
      </c>
      <c r="O739" s="2304" t="s">
        <v>5596</v>
      </c>
      <c r="P739" s="2334"/>
      <c r="Q739" s="2298" t="s">
        <v>5612</v>
      </c>
      <c r="R739" s="2334"/>
      <c r="S739" s="2334"/>
      <c r="T739" s="2334"/>
      <c r="U739" s="2334"/>
      <c r="V739" s="2334"/>
      <c r="W739" s="2334"/>
      <c r="X739" s="2334"/>
      <c r="Y739" s="2334"/>
      <c r="Z739" s="2334"/>
      <c r="AA739" s="2334"/>
      <c r="AB739" s="2334"/>
      <c r="AC739" s="2334"/>
      <c r="AD739" s="2334"/>
      <c r="AE739" s="2334"/>
      <c r="AF739" s="2334"/>
      <c r="AG739" s="2334"/>
      <c r="AH739" s="2334"/>
      <c r="AI739" s="1085"/>
      <c r="AJ739" s="1085"/>
      <c r="AK739" s="1085"/>
      <c r="AL739" s="1085"/>
      <c r="AM739" s="1085"/>
      <c r="AN739" s="1085"/>
      <c r="AO739" s="1085"/>
      <c r="AP739" s="1085"/>
      <c r="AQ739" s="1085"/>
      <c r="AR739" s="1085"/>
      <c r="AS739" s="1085"/>
      <c r="AT739" s="1085"/>
      <c r="AU739" s="1085"/>
      <c r="AV739" s="1085"/>
      <c r="AW739" s="1085"/>
      <c r="AX739" s="1085"/>
      <c r="AY739" s="1085"/>
      <c r="AZ739" s="1085"/>
      <c r="BA739" s="1085"/>
      <c r="BB739" s="1085"/>
      <c r="BC739" s="1085"/>
      <c r="BD739" s="1085"/>
      <c r="BE739" s="1085"/>
      <c r="BF739" s="1085"/>
      <c r="BG739" s="1085"/>
      <c r="BH739" s="1085"/>
      <c r="BI739" s="1085"/>
      <c r="BJ739" s="1085"/>
      <c r="BK739" s="1085"/>
      <c r="BL739" s="1085"/>
      <c r="BM739" s="1085"/>
      <c r="BN739" s="1085"/>
      <c r="BO739" s="1085"/>
      <c r="BP739" s="1085"/>
      <c r="BQ739" s="1085"/>
      <c r="BR739" s="1085"/>
      <c r="BS739" s="1085"/>
      <c r="BT739" s="1085"/>
      <c r="BU739" s="1085"/>
      <c r="BV739" s="1085"/>
      <c r="BW739" s="1085"/>
      <c r="BX739" s="1085"/>
      <c r="BY739" s="1085"/>
      <c r="BZ739" s="1085"/>
      <c r="CA739" s="1085"/>
      <c r="CB739" s="1085"/>
      <c r="CC739" s="1085"/>
      <c r="CD739" s="1085"/>
      <c r="CE739" s="1085"/>
      <c r="CF739" s="1085"/>
      <c r="CG739" s="1085"/>
      <c r="CH739" s="1085"/>
      <c r="CI739" s="1085"/>
      <c r="CJ739" s="1085"/>
      <c r="CK739" s="1085"/>
      <c r="CL739" s="1085"/>
      <c r="CM739" s="1085"/>
      <c r="CN739" s="1085"/>
      <c r="CO739" s="1085"/>
      <c r="CP739" s="1085"/>
      <c r="CQ739" s="1085"/>
      <c r="CR739" s="1085"/>
      <c r="CS739" s="1085"/>
      <c r="CT739" s="1085"/>
      <c r="CU739" s="1085"/>
      <c r="CV739" s="1085"/>
      <c r="CW739" s="1085"/>
      <c r="CX739" s="1085"/>
      <c r="CY739" s="1085"/>
      <c r="CZ739" s="1085"/>
      <c r="DA739" s="1085"/>
      <c r="DB739" s="1085"/>
      <c r="DC739" s="1085"/>
      <c r="DD739" s="1085"/>
      <c r="DE739" s="1085"/>
      <c r="DF739" s="1085"/>
      <c r="DG739" s="1085"/>
      <c r="DH739" s="1085"/>
      <c r="DI739" s="1085"/>
      <c r="DJ739" s="1085"/>
      <c r="DK739" s="1085"/>
      <c r="DL739" s="1085"/>
      <c r="DM739" s="1085"/>
      <c r="DN739" s="1085"/>
      <c r="DO739" s="1085"/>
      <c r="DP739" s="1085"/>
      <c r="DQ739" s="1085"/>
      <c r="DR739" s="1085"/>
      <c r="DS739" s="1085"/>
      <c r="DT739" s="1085"/>
      <c r="DU739" s="1085"/>
      <c r="DV739" s="1085"/>
      <c r="DW739" s="1085"/>
      <c r="DX739" s="1085"/>
      <c r="DY739" s="1085"/>
      <c r="DZ739" s="1085"/>
      <c r="EA739" s="1085"/>
      <c r="EB739" s="1085"/>
      <c r="EC739" s="1085"/>
      <c r="ED739" s="1085"/>
      <c r="EE739" s="1085"/>
      <c r="EF739" s="1085"/>
      <c r="EG739" s="1085"/>
      <c r="EH739" s="1085"/>
      <c r="EI739" s="1085"/>
      <c r="EJ739" s="1085"/>
      <c r="EK739" s="1085"/>
      <c r="EL739" s="1085"/>
      <c r="EM739" s="1085"/>
      <c r="EN739" s="1085"/>
      <c r="EO739" s="1085"/>
      <c r="EP739" s="1085"/>
      <c r="EQ739" s="1085"/>
      <c r="ER739" s="1085"/>
      <c r="ES739" s="1085"/>
      <c r="ET739" s="1085"/>
      <c r="EU739" s="1085"/>
      <c r="EV739" s="1085"/>
      <c r="EW739" s="1085"/>
      <c r="EX739" s="1085"/>
      <c r="EY739" s="1085"/>
      <c r="EZ739" s="1085"/>
      <c r="FA739" s="1085"/>
      <c r="FB739" s="1085"/>
      <c r="FC739" s="1085"/>
      <c r="FD739" s="1085"/>
      <c r="FE739" s="1085"/>
      <c r="FF739" s="1085"/>
      <c r="FG739" s="1085"/>
      <c r="FH739" s="1085"/>
      <c r="FI739" s="1085"/>
      <c r="FJ739" s="1085"/>
      <c r="FK739" s="1085"/>
      <c r="FL739" s="1085"/>
      <c r="FM739" s="1085"/>
      <c r="FN739" s="1085"/>
      <c r="FO739" s="1085"/>
      <c r="FP739" s="1085"/>
      <c r="FQ739" s="1085"/>
      <c r="FR739" s="1085"/>
      <c r="FS739" s="1085"/>
      <c r="FT739" s="1085"/>
      <c r="FU739" s="1085"/>
      <c r="FV739" s="1085"/>
      <c r="FW739" s="1085"/>
      <c r="FX739" s="1085"/>
      <c r="FY739" s="1085"/>
      <c r="FZ739" s="1085"/>
      <c r="GA739" s="1085"/>
      <c r="GB739" s="1085"/>
      <c r="GC739" s="1085"/>
      <c r="GD739" s="1085"/>
      <c r="GE739" s="1085"/>
      <c r="GF739" s="1085"/>
      <c r="GG739" s="1085"/>
      <c r="GH739" s="1085"/>
      <c r="GI739" s="1085"/>
      <c r="GJ739" s="1085"/>
      <c r="GK739" s="1085"/>
      <c r="GL739" s="1085"/>
      <c r="GM739" s="1085"/>
      <c r="GN739" s="1085"/>
      <c r="GO739" s="1085"/>
      <c r="GP739" s="1085"/>
      <c r="GQ739" s="1085"/>
      <c r="GR739" s="1085"/>
      <c r="GS739" s="1085"/>
      <c r="GT739" s="1085"/>
      <c r="GU739" s="1085"/>
      <c r="GV739" s="1085"/>
      <c r="GW739" s="1085"/>
      <c r="GX739" s="1085"/>
      <c r="GY739" s="1085"/>
      <c r="GZ739" s="1085"/>
      <c r="HA739" s="1085"/>
      <c r="HB739" s="1085"/>
      <c r="HC739" s="1085"/>
      <c r="HD739" s="1085"/>
      <c r="HE739" s="1085"/>
      <c r="HF739" s="1085"/>
      <c r="HG739" s="1085"/>
      <c r="HH739" s="1085"/>
      <c r="HI739" s="1085"/>
      <c r="HJ739" s="1085"/>
      <c r="HK739" s="1085"/>
      <c r="HL739" s="1085"/>
      <c r="HM739" s="1085"/>
      <c r="HN739" s="1085"/>
      <c r="HO739" s="1085"/>
      <c r="HP739" s="1085"/>
      <c r="HQ739" s="1085"/>
      <c r="HR739" s="1085"/>
      <c r="HS739" s="1085"/>
      <c r="HT739" s="1085"/>
      <c r="HU739" s="1085"/>
      <c r="HV739" s="1085"/>
      <c r="HW739" s="1085"/>
      <c r="HX739" s="1085"/>
      <c r="HY739" s="1085"/>
      <c r="HZ739" s="1085"/>
      <c r="IA739" s="1085"/>
      <c r="IB739" s="1085"/>
      <c r="IC739" s="1085"/>
      <c r="ID739" s="1085"/>
      <c r="IE739" s="1085"/>
      <c r="IF739" s="1085"/>
      <c r="IG739" s="1085"/>
      <c r="IH739" s="1085"/>
      <c r="II739" s="1085"/>
      <c r="IJ739" s="1085"/>
      <c r="IK739" s="1085"/>
      <c r="IL739" s="1085"/>
      <c r="IM739" s="1085"/>
      <c r="IN739" s="1085"/>
      <c r="IO739" s="1085"/>
      <c r="IP739" s="1085"/>
      <c r="IQ739" s="1085"/>
      <c r="IR739" s="1085"/>
      <c r="IS739" s="1085"/>
      <c r="IT739" s="1085"/>
      <c r="IU739" s="1085"/>
      <c r="IV739" s="1085"/>
    </row>
    <row r="740" spans="1:261" s="2151" customFormat="1" ht="153.75" customHeight="1">
      <c r="A740" s="890"/>
      <c r="B740" s="2333"/>
      <c r="C740" s="607"/>
      <c r="D740" s="607"/>
      <c r="E740" s="890" t="s">
        <v>5277</v>
      </c>
      <c r="F740" s="607"/>
      <c r="G740" s="890"/>
      <c r="H740" s="1889"/>
      <c r="I740" s="1791" t="s">
        <v>5445</v>
      </c>
      <c r="J740" s="1889">
        <f>2564320                                        + 4733580                                + 4936650                   + 2238640</f>
        <v>14473190</v>
      </c>
      <c r="K740" s="1793" t="s">
        <v>5607</v>
      </c>
      <c r="L740" s="890"/>
      <c r="M740" s="2191" t="s">
        <v>5467</v>
      </c>
      <c r="N740" s="599" t="s">
        <v>5389</v>
      </c>
      <c r="O740" s="599">
        <v>4700000</v>
      </c>
      <c r="P740" s="890">
        <f>200000                       +550000                           +180000                           +550000</f>
        <v>1480000</v>
      </c>
      <c r="Q740" s="2082" t="s">
        <v>5499</v>
      </c>
      <c r="R740" s="890"/>
      <c r="S740" s="890"/>
      <c r="T740" s="890"/>
      <c r="U740" s="890"/>
      <c r="V740" s="890"/>
      <c r="W740" s="890"/>
      <c r="X740" s="890"/>
      <c r="Y740" s="890"/>
      <c r="Z740" s="890"/>
      <c r="AA740" s="890"/>
      <c r="AB740" s="890"/>
      <c r="AC740" s="890"/>
      <c r="AD740" s="890"/>
      <c r="AE740" s="890"/>
      <c r="AF740" s="890"/>
      <c r="AG740" s="890"/>
      <c r="AH740" s="890"/>
      <c r="AI740" s="1085"/>
      <c r="AJ740" s="1085"/>
      <c r="AK740" s="1085"/>
      <c r="AL740" s="1085"/>
      <c r="AM740" s="1085"/>
      <c r="AN740" s="1085"/>
      <c r="AO740" s="1085"/>
      <c r="AP740" s="1085"/>
      <c r="AQ740" s="1085"/>
      <c r="AR740" s="1085"/>
      <c r="AS740" s="1085"/>
      <c r="AT740" s="1085"/>
      <c r="AU740" s="1085"/>
      <c r="AV740" s="1085"/>
      <c r="AW740" s="1085"/>
      <c r="AX740" s="1085"/>
      <c r="AY740" s="1085"/>
      <c r="AZ740" s="1085"/>
      <c r="BA740" s="1085"/>
      <c r="BB740" s="1085"/>
      <c r="BC740" s="1085"/>
      <c r="BD740" s="1085"/>
      <c r="BE740" s="1085"/>
      <c r="BF740" s="1085"/>
      <c r="BG740" s="1085"/>
      <c r="BH740" s="1085"/>
      <c r="BI740" s="1085"/>
      <c r="BJ740" s="1085"/>
      <c r="BK740" s="1085"/>
      <c r="BL740" s="1085"/>
      <c r="BM740" s="1085"/>
      <c r="BN740" s="1085"/>
      <c r="BO740" s="1085"/>
      <c r="BP740" s="1085"/>
      <c r="BQ740" s="1085"/>
      <c r="BR740" s="1085"/>
      <c r="BS740" s="1085"/>
      <c r="BT740" s="1085"/>
      <c r="BU740" s="1085"/>
      <c r="BV740" s="1085"/>
      <c r="BW740" s="1085"/>
      <c r="BX740" s="1085"/>
      <c r="BY740" s="1085"/>
      <c r="BZ740" s="1085"/>
      <c r="CA740" s="1085"/>
      <c r="CB740" s="1085"/>
      <c r="CC740" s="1085"/>
      <c r="CD740" s="1085"/>
      <c r="CE740" s="1085"/>
      <c r="CF740" s="1085"/>
      <c r="CG740" s="1085"/>
      <c r="CH740" s="1085"/>
      <c r="CI740" s="1085"/>
      <c r="CJ740" s="1085"/>
      <c r="CK740" s="1085"/>
      <c r="CL740" s="1085"/>
      <c r="CM740" s="1085"/>
      <c r="CN740" s="1085"/>
      <c r="CO740" s="1085"/>
      <c r="CP740" s="1085"/>
      <c r="CQ740" s="1085"/>
      <c r="CR740" s="1085"/>
      <c r="CS740" s="1085"/>
      <c r="CT740" s="1085"/>
      <c r="CU740" s="1085"/>
      <c r="CV740" s="1085"/>
      <c r="CW740" s="1085"/>
      <c r="CX740" s="1085"/>
      <c r="CY740" s="1085"/>
      <c r="CZ740" s="1085"/>
      <c r="DA740" s="1085"/>
      <c r="DB740" s="1085"/>
      <c r="DC740" s="1085"/>
      <c r="DD740" s="1085"/>
      <c r="DE740" s="1085"/>
      <c r="DF740" s="1085"/>
      <c r="DG740" s="1085"/>
      <c r="DH740" s="1085"/>
      <c r="DI740" s="1085"/>
      <c r="DJ740" s="1085"/>
      <c r="DK740" s="1085"/>
      <c r="DL740" s="1085"/>
      <c r="DM740" s="1085"/>
      <c r="DN740" s="1085"/>
      <c r="DO740" s="1085"/>
      <c r="DP740" s="1085"/>
      <c r="DQ740" s="1085"/>
      <c r="DR740" s="1085"/>
      <c r="DS740" s="1085"/>
      <c r="DT740" s="1085"/>
      <c r="DU740" s="1085"/>
      <c r="DV740" s="1085"/>
      <c r="DW740" s="1085"/>
      <c r="DX740" s="1085"/>
      <c r="DY740" s="1085"/>
      <c r="DZ740" s="1085"/>
      <c r="EA740" s="1085"/>
      <c r="EB740" s="1085"/>
      <c r="EC740" s="1085"/>
      <c r="ED740" s="1085"/>
      <c r="EE740" s="1085"/>
      <c r="EF740" s="1085"/>
      <c r="EG740" s="1085"/>
      <c r="EH740" s="1085"/>
      <c r="EI740" s="1085"/>
      <c r="EJ740" s="1085"/>
      <c r="EK740" s="1085"/>
      <c r="EL740" s="1085"/>
      <c r="EM740" s="1085"/>
      <c r="EN740" s="1085"/>
      <c r="EO740" s="1085"/>
      <c r="EP740" s="1085"/>
      <c r="EQ740" s="1085"/>
      <c r="ER740" s="1085"/>
      <c r="ES740" s="1085"/>
      <c r="ET740" s="1085"/>
      <c r="EU740" s="1085"/>
      <c r="EV740" s="1085"/>
      <c r="EW740" s="1085"/>
      <c r="EX740" s="1085"/>
      <c r="EY740" s="1085"/>
      <c r="EZ740" s="1085"/>
      <c r="FA740" s="1085"/>
      <c r="FB740" s="1085"/>
      <c r="FC740" s="1085"/>
      <c r="FD740" s="1085"/>
      <c r="FE740" s="1085"/>
      <c r="FF740" s="1085"/>
      <c r="FG740" s="1085"/>
      <c r="FH740" s="1085"/>
      <c r="FI740" s="1085"/>
      <c r="FJ740" s="1085"/>
      <c r="FK740" s="1085"/>
      <c r="FL740" s="1085"/>
      <c r="FM740" s="1085"/>
      <c r="FN740" s="1085"/>
      <c r="FO740" s="1085"/>
      <c r="FP740" s="1085"/>
      <c r="FQ740" s="1085"/>
      <c r="FR740" s="1085"/>
      <c r="FS740" s="1085"/>
      <c r="FT740" s="1085"/>
      <c r="FU740" s="1085"/>
      <c r="FV740" s="1085"/>
      <c r="FW740" s="1085"/>
      <c r="FX740" s="1085"/>
      <c r="FY740" s="1085"/>
      <c r="FZ740" s="1085"/>
      <c r="GA740" s="1085"/>
      <c r="GB740" s="1085"/>
      <c r="GC740" s="1085"/>
      <c r="GD740" s="1085"/>
      <c r="GE740" s="1085"/>
      <c r="GF740" s="1085"/>
      <c r="GG740" s="1085"/>
      <c r="GH740" s="1085"/>
      <c r="GI740" s="1085"/>
      <c r="GJ740" s="1085"/>
      <c r="GK740" s="1085"/>
      <c r="GL740" s="1085"/>
      <c r="GM740" s="1085"/>
      <c r="GN740" s="1085"/>
      <c r="GO740" s="1085"/>
      <c r="GP740" s="1085"/>
      <c r="GQ740" s="1085"/>
      <c r="GR740" s="1085"/>
      <c r="GS740" s="1085"/>
      <c r="GT740" s="1085"/>
      <c r="GU740" s="1085"/>
      <c r="GV740" s="1085"/>
      <c r="GW740" s="1085"/>
      <c r="GX740" s="1085"/>
      <c r="GY740" s="1085"/>
      <c r="GZ740" s="1085"/>
      <c r="HA740" s="1085"/>
      <c r="HB740" s="1085"/>
      <c r="HC740" s="1085"/>
      <c r="HD740" s="1085"/>
      <c r="HE740" s="1085"/>
      <c r="HF740" s="1085"/>
      <c r="HG740" s="1085"/>
      <c r="HH740" s="1085"/>
      <c r="HI740" s="1085"/>
      <c r="HJ740" s="1085"/>
      <c r="HK740" s="1085"/>
      <c r="HL740" s="1085"/>
      <c r="HM740" s="1085"/>
      <c r="HN740" s="1085"/>
      <c r="HO740" s="1085"/>
      <c r="HP740" s="1085"/>
      <c r="HQ740" s="1085"/>
      <c r="HR740" s="1085"/>
      <c r="HS740" s="1085"/>
      <c r="HT740" s="1085"/>
      <c r="HU740" s="1085"/>
      <c r="HV740" s="1085"/>
      <c r="HW740" s="1085"/>
      <c r="HX740" s="1085"/>
      <c r="HY740" s="1085"/>
      <c r="HZ740" s="1085"/>
      <c r="IA740" s="1085"/>
      <c r="IB740" s="1085"/>
      <c r="IC740" s="1085"/>
      <c r="ID740" s="1085"/>
      <c r="IE740" s="1085"/>
      <c r="IF740" s="1085"/>
      <c r="IG740" s="1085"/>
      <c r="IH740" s="1085"/>
      <c r="II740" s="1085"/>
      <c r="IJ740" s="1085"/>
      <c r="IK740" s="1085"/>
      <c r="IL740" s="1085"/>
      <c r="IM740" s="1085"/>
      <c r="IN740" s="1085"/>
      <c r="IO740" s="1085"/>
      <c r="IP740" s="1085"/>
      <c r="IQ740" s="1085"/>
      <c r="IR740" s="1085"/>
      <c r="IS740" s="1085"/>
      <c r="IT740" s="1085"/>
      <c r="IU740" s="1085"/>
      <c r="IV740" s="1085"/>
    </row>
    <row r="741" spans="1:261" s="2151" customFormat="1" ht="216.75" customHeight="1">
      <c r="A741" s="890"/>
      <c r="B741" s="2277" t="s">
        <v>5427</v>
      </c>
      <c r="C741" s="2276" t="s">
        <v>5428</v>
      </c>
      <c r="D741" s="2276" t="s">
        <v>5429</v>
      </c>
      <c r="E741" s="890" t="s">
        <v>5430</v>
      </c>
      <c r="F741" s="2276" t="s">
        <v>5431</v>
      </c>
      <c r="G741" s="890"/>
      <c r="H741" s="890"/>
      <c r="I741" s="890"/>
      <c r="J741" s="1808"/>
      <c r="K741" s="2137"/>
      <c r="L741" s="890"/>
      <c r="M741" s="2191"/>
      <c r="N741" s="599"/>
      <c r="O741" s="599"/>
      <c r="P741" s="890"/>
      <c r="Q741" s="2082"/>
      <c r="R741" s="890"/>
      <c r="S741" s="890"/>
      <c r="T741" s="890"/>
      <c r="U741" s="890"/>
      <c r="V741" s="890"/>
      <c r="W741" s="890"/>
      <c r="X741" s="2203"/>
      <c r="Y741" s="890"/>
      <c r="Z741" s="890"/>
      <c r="AA741" s="890"/>
      <c r="AB741" s="890"/>
      <c r="AC741" s="890"/>
      <c r="AD741" s="2203"/>
      <c r="AE741" s="2203"/>
      <c r="AF741" s="2203"/>
      <c r="AG741" s="2203"/>
      <c r="AH741" s="2203"/>
      <c r="AI741" s="1085"/>
      <c r="AJ741" s="1085"/>
      <c r="AK741" s="1085"/>
      <c r="AL741" s="1085"/>
      <c r="AM741" s="1085"/>
      <c r="AN741" s="1085"/>
      <c r="AO741" s="1085"/>
      <c r="AP741" s="1085"/>
      <c r="AQ741" s="1085"/>
      <c r="AR741" s="1085"/>
      <c r="AS741" s="1085"/>
      <c r="AT741" s="1085"/>
      <c r="AU741" s="1085"/>
      <c r="AV741" s="1085"/>
      <c r="AW741" s="1085"/>
      <c r="AX741" s="1085"/>
      <c r="AY741" s="1085"/>
      <c r="AZ741" s="1085"/>
      <c r="BA741" s="1085"/>
      <c r="BB741" s="1085"/>
      <c r="BC741" s="1085"/>
      <c r="BD741" s="1085"/>
      <c r="BE741" s="1085"/>
      <c r="BF741" s="1085"/>
      <c r="BG741" s="1085"/>
      <c r="BH741" s="1085"/>
      <c r="BI741" s="1085"/>
      <c r="BJ741" s="1085"/>
      <c r="BK741" s="1085"/>
      <c r="BL741" s="1085"/>
      <c r="BM741" s="1085"/>
      <c r="BN741" s="1085"/>
      <c r="BO741" s="1085"/>
      <c r="BP741" s="1085"/>
      <c r="BQ741" s="1085"/>
      <c r="BR741" s="1085"/>
      <c r="BS741" s="1085"/>
      <c r="BT741" s="1085"/>
      <c r="BU741" s="1085"/>
      <c r="BV741" s="1085"/>
      <c r="BW741" s="1085"/>
      <c r="BX741" s="1085"/>
      <c r="BY741" s="1085"/>
      <c r="BZ741" s="1085"/>
      <c r="CA741" s="1085"/>
      <c r="CB741" s="1085"/>
      <c r="CC741" s="1085"/>
      <c r="CD741" s="1085"/>
      <c r="CE741" s="1085"/>
      <c r="CF741" s="1085"/>
      <c r="CG741" s="1085"/>
      <c r="CH741" s="1085"/>
      <c r="CI741" s="1085"/>
      <c r="CJ741" s="1085"/>
      <c r="CK741" s="1085"/>
      <c r="CL741" s="1085"/>
      <c r="CM741" s="1085"/>
      <c r="CN741" s="1085"/>
      <c r="CO741" s="1085"/>
      <c r="CP741" s="1085"/>
      <c r="CQ741" s="1085"/>
      <c r="CR741" s="1085"/>
      <c r="CS741" s="1085"/>
      <c r="CT741" s="1085"/>
      <c r="CU741" s="1085"/>
      <c r="CV741" s="1085"/>
      <c r="CW741" s="1085"/>
      <c r="CX741" s="1085"/>
      <c r="CY741" s="1085"/>
      <c r="CZ741" s="1085"/>
      <c r="DA741" s="1085"/>
      <c r="DB741" s="1085"/>
      <c r="DC741" s="1085"/>
      <c r="DD741" s="1085"/>
      <c r="DE741" s="1085"/>
      <c r="DF741" s="1085"/>
      <c r="DG741" s="1085"/>
      <c r="DH741" s="1085"/>
      <c r="DI741" s="1085"/>
      <c r="DJ741" s="1085"/>
      <c r="DK741" s="1085"/>
      <c r="DL741" s="1085"/>
      <c r="DM741" s="1085"/>
      <c r="DN741" s="1085"/>
      <c r="DO741" s="1085"/>
      <c r="DP741" s="1085"/>
      <c r="DQ741" s="1085"/>
      <c r="DR741" s="1085"/>
      <c r="DS741" s="1085"/>
      <c r="DT741" s="1085"/>
      <c r="DU741" s="1085"/>
      <c r="DV741" s="1085"/>
      <c r="DW741" s="1085"/>
      <c r="DX741" s="1085"/>
      <c r="DY741" s="1085"/>
      <c r="DZ741" s="1085"/>
      <c r="EA741" s="1085"/>
      <c r="EB741" s="1085"/>
      <c r="EC741" s="1085"/>
      <c r="ED741" s="1085"/>
      <c r="EE741" s="1085"/>
      <c r="EF741" s="1085"/>
      <c r="EG741" s="1085"/>
      <c r="EH741" s="1085"/>
      <c r="EI741" s="1085"/>
      <c r="EJ741" s="1085"/>
      <c r="EK741" s="1085"/>
      <c r="EL741" s="1085"/>
      <c r="EM741" s="1085"/>
      <c r="EN741" s="1085"/>
      <c r="EO741" s="1085"/>
      <c r="EP741" s="1085"/>
      <c r="EQ741" s="1085"/>
      <c r="ER741" s="1085"/>
      <c r="ES741" s="1085"/>
      <c r="ET741" s="1085"/>
      <c r="EU741" s="1085"/>
      <c r="EV741" s="1085"/>
      <c r="EW741" s="1085"/>
      <c r="EX741" s="1085"/>
      <c r="EY741" s="1085"/>
      <c r="EZ741" s="1085"/>
      <c r="FA741" s="1085"/>
      <c r="FB741" s="1085"/>
      <c r="FC741" s="1085"/>
      <c r="FD741" s="1085"/>
      <c r="FE741" s="1085"/>
      <c r="FF741" s="1085"/>
      <c r="FG741" s="1085"/>
      <c r="FH741" s="1085"/>
      <c r="FI741" s="1085"/>
      <c r="FJ741" s="1085"/>
      <c r="FK741" s="1085"/>
      <c r="FL741" s="1085"/>
      <c r="FM741" s="1085"/>
      <c r="FN741" s="1085"/>
      <c r="FO741" s="1085"/>
      <c r="FP741" s="1085"/>
      <c r="FQ741" s="1085"/>
      <c r="FR741" s="1085"/>
      <c r="FS741" s="1085"/>
      <c r="FT741" s="1085"/>
      <c r="FU741" s="1085"/>
      <c r="FV741" s="1085"/>
      <c r="FW741" s="1085"/>
      <c r="FX741" s="1085"/>
      <c r="FY741" s="1085"/>
      <c r="FZ741" s="1085"/>
      <c r="GA741" s="1085"/>
      <c r="GB741" s="1085"/>
      <c r="GC741" s="1085"/>
      <c r="GD741" s="1085"/>
      <c r="GE741" s="1085"/>
      <c r="GF741" s="1085"/>
      <c r="GG741" s="1085"/>
      <c r="GH741" s="1085"/>
      <c r="GI741" s="1085"/>
      <c r="GJ741" s="1085"/>
      <c r="GK741" s="1085"/>
      <c r="GL741" s="1085"/>
      <c r="GM741" s="1085"/>
      <c r="GN741" s="1085"/>
      <c r="GO741" s="1085"/>
      <c r="GP741" s="1085"/>
      <c r="GQ741" s="1085"/>
      <c r="GR741" s="1085"/>
      <c r="GS741" s="1085"/>
      <c r="GT741" s="1085"/>
      <c r="GU741" s="1085"/>
      <c r="GV741" s="1085"/>
      <c r="GW741" s="1085"/>
      <c r="GX741" s="1085"/>
      <c r="GY741" s="1085"/>
      <c r="GZ741" s="1085"/>
      <c r="HA741" s="1085"/>
      <c r="HB741" s="1085"/>
      <c r="HC741" s="1085"/>
      <c r="HD741" s="1085"/>
      <c r="HE741" s="1085"/>
      <c r="HF741" s="1085"/>
      <c r="HG741" s="1085"/>
      <c r="HH741" s="1085"/>
      <c r="HI741" s="1085"/>
      <c r="HJ741" s="1085"/>
      <c r="HK741" s="1085"/>
      <c r="HL741" s="1085"/>
      <c r="HM741" s="1085"/>
      <c r="HN741" s="1085"/>
      <c r="HO741" s="1085"/>
      <c r="HP741" s="1085"/>
      <c r="HQ741" s="1085"/>
      <c r="HR741" s="1085"/>
      <c r="HS741" s="1085"/>
      <c r="HT741" s="1085"/>
      <c r="HU741" s="1085"/>
      <c r="HV741" s="1085"/>
      <c r="HW741" s="1085"/>
      <c r="HX741" s="1085"/>
      <c r="HY741" s="1085"/>
      <c r="HZ741" s="1085"/>
      <c r="IA741" s="1085"/>
      <c r="IB741" s="1085"/>
      <c r="IC741" s="1085"/>
      <c r="ID741" s="1085"/>
      <c r="IE741" s="1085"/>
      <c r="IF741" s="1085"/>
      <c r="IG741" s="1085"/>
      <c r="IH741" s="1085"/>
      <c r="II741" s="1085"/>
      <c r="IJ741" s="1085"/>
      <c r="IK741" s="1085"/>
      <c r="IL741" s="1085"/>
      <c r="IM741" s="1085"/>
      <c r="IN741" s="1085"/>
      <c r="IO741" s="1085"/>
      <c r="IP741" s="1085"/>
      <c r="IQ741" s="1085"/>
      <c r="IR741" s="1085"/>
      <c r="IS741" s="1085"/>
      <c r="IT741" s="1085"/>
      <c r="IU741" s="1085"/>
      <c r="IV741" s="1085"/>
    </row>
    <row r="742" spans="1:261" s="2204" customFormat="1" ht="87.75" customHeight="1">
      <c r="A742" s="124"/>
      <c r="B742" s="2249" t="s">
        <v>5349</v>
      </c>
      <c r="C742" s="2082" t="s">
        <v>5350</v>
      </c>
      <c r="D742" s="2132" t="s">
        <v>5351</v>
      </c>
      <c r="E742" s="2021" t="s">
        <v>4840</v>
      </c>
      <c r="F742" s="2061" t="s">
        <v>5352</v>
      </c>
      <c r="G742" s="2205"/>
      <c r="H742" s="446"/>
      <c r="I742" s="2085"/>
      <c r="J742" s="2085"/>
      <c r="K742" s="2085"/>
      <c r="L742" s="446"/>
      <c r="M742" s="843" t="s">
        <v>5406</v>
      </c>
      <c r="N742" s="843"/>
      <c r="O742" s="2234"/>
      <c r="P742" s="2235"/>
      <c r="Q742" s="22"/>
      <c r="R742" s="2236">
        <v>100000</v>
      </c>
      <c r="S742" s="2235">
        <v>45920</v>
      </c>
      <c r="T742" s="22"/>
      <c r="U742" s="124"/>
      <c r="V742" s="706"/>
      <c r="W742" s="706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  <c r="AH742" s="124"/>
      <c r="AI742" s="124"/>
      <c r="AJ742" s="124"/>
      <c r="AK742" s="124"/>
      <c r="AL742" s="124"/>
      <c r="AM742" s="124"/>
      <c r="AN742" s="124"/>
      <c r="AO742" s="124"/>
      <c r="AP742" s="124"/>
      <c r="AQ742" s="124"/>
      <c r="AR742" s="124"/>
      <c r="AS742" s="124"/>
      <c r="AT742" s="124"/>
      <c r="AU742" s="124"/>
      <c r="AV742" s="124"/>
      <c r="AW742" s="124"/>
      <c r="AX742" s="124"/>
      <c r="AY742" s="124"/>
      <c r="AZ742" s="124"/>
      <c r="BA742" s="124"/>
      <c r="BB742" s="124"/>
      <c r="BC742" s="124"/>
      <c r="BD742" s="124"/>
      <c r="BE742" s="124"/>
      <c r="BF742" s="124"/>
      <c r="BG742" s="124"/>
      <c r="BH742" s="124"/>
      <c r="BI742" s="124"/>
      <c r="BJ742" s="124"/>
      <c r="BK742" s="124"/>
      <c r="BL742" s="124"/>
      <c r="BM742" s="124"/>
      <c r="BN742" s="124"/>
      <c r="BO742" s="124"/>
      <c r="BP742" s="124"/>
      <c r="BQ742" s="124"/>
      <c r="BR742" s="124"/>
      <c r="BS742" s="124"/>
      <c r="BT742" s="124"/>
      <c r="BU742" s="124"/>
      <c r="BV742" s="124"/>
      <c r="BW742" s="124"/>
      <c r="BX742" s="124"/>
      <c r="BY742" s="124"/>
      <c r="BZ742" s="124"/>
      <c r="CA742" s="124"/>
      <c r="CB742" s="124"/>
      <c r="CC742" s="124"/>
      <c r="CD742" s="124"/>
      <c r="CE742" s="124"/>
      <c r="CF742" s="124"/>
      <c r="CG742" s="124"/>
      <c r="CH742" s="124"/>
      <c r="CI742" s="124"/>
      <c r="CJ742" s="124"/>
      <c r="CK742" s="124"/>
      <c r="CL742" s="124"/>
      <c r="CM742" s="124"/>
      <c r="CN742" s="124"/>
      <c r="CO742" s="124"/>
      <c r="CP742" s="124"/>
      <c r="CQ742" s="124"/>
      <c r="CR742" s="124"/>
      <c r="CS742" s="124"/>
      <c r="CT742" s="124"/>
      <c r="CU742" s="124"/>
      <c r="CV742" s="124"/>
      <c r="CW742" s="124"/>
      <c r="CX742" s="124"/>
      <c r="CY742" s="124"/>
      <c r="CZ742" s="124"/>
      <c r="DA742" s="124"/>
      <c r="DB742" s="124"/>
      <c r="DC742" s="124"/>
      <c r="DD742" s="124"/>
      <c r="DE742" s="124"/>
      <c r="DF742" s="124"/>
      <c r="DG742" s="124"/>
      <c r="DH742" s="124"/>
      <c r="DI742" s="124"/>
      <c r="DJ742" s="124"/>
      <c r="DK742" s="124"/>
      <c r="DL742" s="124"/>
      <c r="DM742" s="124"/>
      <c r="DN742" s="124"/>
      <c r="DO742" s="124"/>
      <c r="DP742" s="124"/>
      <c r="DQ742" s="124"/>
      <c r="DR742" s="124"/>
      <c r="DS742" s="124"/>
      <c r="DT742" s="124"/>
      <c r="DU742" s="124"/>
      <c r="DV742" s="124"/>
      <c r="DW742" s="124"/>
      <c r="DX742" s="124"/>
      <c r="DY742" s="124"/>
      <c r="DZ742" s="124"/>
      <c r="EA742" s="124"/>
      <c r="EB742" s="124"/>
      <c r="EC742" s="124"/>
      <c r="ED742" s="124"/>
      <c r="EE742" s="124"/>
      <c r="EF742" s="124"/>
      <c r="EG742" s="124"/>
      <c r="EH742" s="124"/>
      <c r="EI742" s="124"/>
      <c r="EJ742" s="124"/>
      <c r="EK742" s="124"/>
      <c r="EL742" s="124"/>
      <c r="EM742" s="124"/>
      <c r="EN742" s="124"/>
      <c r="EO742" s="124"/>
      <c r="EP742" s="124"/>
      <c r="EQ742" s="124"/>
      <c r="ER742" s="124"/>
      <c r="ES742" s="124"/>
      <c r="ET742" s="124"/>
      <c r="EU742" s="124"/>
      <c r="EV742" s="124"/>
      <c r="EW742" s="124"/>
      <c r="EX742" s="124"/>
      <c r="EY742" s="124"/>
      <c r="EZ742" s="124"/>
      <c r="FA742" s="124"/>
      <c r="FB742" s="124"/>
      <c r="FC742" s="124"/>
      <c r="FD742" s="124"/>
      <c r="FE742" s="124"/>
      <c r="FF742" s="124"/>
      <c r="FG742" s="124"/>
      <c r="FH742" s="124"/>
      <c r="FI742" s="124"/>
      <c r="FJ742" s="124"/>
      <c r="FK742" s="124"/>
      <c r="FL742" s="124"/>
      <c r="FM742" s="124"/>
      <c r="FN742" s="124"/>
      <c r="FO742" s="124"/>
      <c r="FP742" s="124"/>
      <c r="FQ742" s="124"/>
      <c r="FR742" s="124"/>
      <c r="FS742" s="124"/>
      <c r="FT742" s="124"/>
      <c r="FU742" s="124"/>
      <c r="FV742" s="124"/>
      <c r="FW742" s="124"/>
      <c r="FX742" s="124"/>
      <c r="FY742" s="124"/>
      <c r="FZ742" s="124"/>
      <c r="GA742" s="124"/>
      <c r="GB742" s="124"/>
      <c r="GC742" s="124"/>
      <c r="GD742" s="124"/>
      <c r="GE742" s="124"/>
      <c r="GF742" s="124"/>
      <c r="GG742" s="124"/>
      <c r="GH742" s="124"/>
      <c r="GI742" s="124"/>
      <c r="GJ742" s="124"/>
      <c r="GK742" s="124"/>
      <c r="GL742" s="124"/>
      <c r="GM742" s="124"/>
      <c r="GN742" s="124"/>
      <c r="GO742" s="124"/>
      <c r="GP742" s="124"/>
      <c r="GQ742" s="124"/>
      <c r="GR742" s="124"/>
      <c r="GS742" s="124"/>
      <c r="GT742" s="124"/>
      <c r="GU742" s="124"/>
      <c r="GV742" s="124"/>
      <c r="GW742" s="124"/>
      <c r="GX742" s="124"/>
      <c r="GY742" s="124"/>
      <c r="GZ742" s="124"/>
      <c r="HA742" s="124"/>
      <c r="HB742" s="124"/>
      <c r="HC742" s="124"/>
      <c r="HD742" s="124"/>
      <c r="HE742" s="124"/>
      <c r="HF742" s="124"/>
      <c r="HG742" s="124"/>
      <c r="HH742" s="124"/>
      <c r="HI742" s="124"/>
      <c r="HJ742" s="124"/>
      <c r="HK742" s="124"/>
      <c r="HL742" s="124"/>
      <c r="HM742" s="124"/>
      <c r="HN742" s="124"/>
      <c r="HO742" s="124"/>
      <c r="HP742" s="124"/>
      <c r="HQ742" s="124"/>
      <c r="HR742" s="124"/>
      <c r="HS742" s="124"/>
      <c r="HT742" s="124"/>
      <c r="HU742" s="124"/>
      <c r="HV742" s="124"/>
      <c r="HW742" s="124"/>
      <c r="HX742" s="124"/>
      <c r="HY742" s="124"/>
      <c r="HZ742" s="124"/>
      <c r="IA742" s="124"/>
      <c r="IB742" s="124"/>
      <c r="IC742" s="124"/>
      <c r="ID742" s="124"/>
      <c r="IE742" s="124"/>
      <c r="IF742" s="124"/>
      <c r="IG742" s="124"/>
      <c r="IH742" s="124"/>
      <c r="II742" s="124"/>
      <c r="IJ742" s="124"/>
      <c r="IK742" s="124"/>
      <c r="IL742" s="124"/>
      <c r="IM742" s="124"/>
      <c r="IN742" s="124"/>
      <c r="IO742" s="124"/>
      <c r="IP742" s="124"/>
      <c r="IQ742" s="124"/>
      <c r="IR742" s="124"/>
      <c r="IS742" s="124"/>
      <c r="IT742" s="124"/>
      <c r="IU742" s="124"/>
      <c r="IV742" s="124"/>
      <c r="IW742" s="124"/>
      <c r="IX742" s="124"/>
      <c r="IY742" s="124"/>
      <c r="IZ742" s="124"/>
      <c r="JA742" s="124"/>
    </row>
    <row r="743" spans="1:261" ht="69" customHeight="1">
      <c r="A743" s="741"/>
      <c r="B743" s="2364" t="s">
        <v>5372</v>
      </c>
      <c r="C743" s="2491" t="s">
        <v>5378</v>
      </c>
      <c r="D743" s="2492" t="s">
        <v>5375</v>
      </c>
      <c r="E743" s="2492" t="s">
        <v>5374</v>
      </c>
      <c r="F743" s="2494" t="s">
        <v>5376</v>
      </c>
      <c r="G743" s="2492" t="s">
        <v>5377</v>
      </c>
      <c r="H743" s="741"/>
      <c r="I743" s="741"/>
      <c r="J743" s="893"/>
      <c r="K743" s="1921"/>
      <c r="L743" s="741"/>
      <c r="M743" s="843" t="s">
        <v>5407</v>
      </c>
      <c r="N743" s="843"/>
      <c r="O743" s="1978"/>
      <c r="P743" s="2235"/>
      <c r="Q743" s="22"/>
      <c r="R743" s="1978">
        <v>150000</v>
      </c>
      <c r="S743" s="2235">
        <v>45943</v>
      </c>
      <c r="T743" s="741"/>
      <c r="U743" s="741"/>
      <c r="V743" s="741"/>
      <c r="W743" s="741"/>
      <c r="X743" s="741"/>
      <c r="Y743" s="741"/>
      <c r="Z743" s="741"/>
      <c r="AA743" s="741"/>
      <c r="AB743" s="741"/>
      <c r="AC743" s="741"/>
      <c r="AD743" s="741"/>
      <c r="AE743" s="741"/>
      <c r="AF743" s="741"/>
      <c r="AG743" s="741"/>
      <c r="AH743" s="741"/>
    </row>
    <row r="744" spans="1:261" s="1722" customFormat="1" ht="59.25" customHeight="1">
      <c r="A744" s="599">
        <v>1</v>
      </c>
      <c r="B744" s="2366"/>
      <c r="C744" s="2478"/>
      <c r="D744" s="2493"/>
      <c r="E744" s="2493"/>
      <c r="F744" s="2495"/>
      <c r="G744" s="2493"/>
      <c r="H744" s="599"/>
      <c r="I744" s="599"/>
      <c r="J744" s="599"/>
      <c r="K744" s="599"/>
      <c r="L744" s="599"/>
      <c r="M744" s="446" t="s">
        <v>5379</v>
      </c>
      <c r="N744" s="599" t="s">
        <v>5380</v>
      </c>
      <c r="O744" s="599" t="s">
        <v>5381</v>
      </c>
      <c r="P744" s="599"/>
      <c r="Q744" s="599"/>
      <c r="R744" s="599"/>
      <c r="S744" s="599"/>
      <c r="T744" s="599"/>
      <c r="U744" s="599"/>
      <c r="V744" s="599"/>
      <c r="W744" s="599"/>
      <c r="X744" s="599"/>
      <c r="Y744" s="599"/>
      <c r="Z744" s="599"/>
      <c r="AA744" s="599"/>
      <c r="AB744" s="599"/>
      <c r="AC744" s="599"/>
      <c r="AD744" s="599"/>
      <c r="AE744" s="599"/>
      <c r="AF744" s="599"/>
      <c r="AG744" s="599"/>
      <c r="AH744" s="599"/>
      <c r="AI744" s="599"/>
      <c r="AJ744" s="599"/>
      <c r="AK744" s="599"/>
      <c r="AL744" s="599"/>
      <c r="AM744" s="599"/>
      <c r="AN744" s="599"/>
      <c r="AO744" s="599"/>
      <c r="AP744" s="599"/>
      <c r="AQ744" s="599"/>
      <c r="AR744" s="599"/>
      <c r="AS744" s="599"/>
      <c r="AT744" s="599"/>
      <c r="AU744" s="599"/>
      <c r="AV744" s="599"/>
      <c r="AW744" s="599"/>
      <c r="AX744" s="599"/>
      <c r="AY744" s="599"/>
      <c r="AZ744" s="599"/>
      <c r="BA744" s="599"/>
      <c r="BB744" s="599"/>
      <c r="BC744" s="599"/>
      <c r="BD744" s="599"/>
      <c r="BE744" s="599"/>
      <c r="BF744" s="599"/>
      <c r="BG744" s="599"/>
      <c r="BH744" s="599"/>
      <c r="BI744" s="599"/>
      <c r="BJ744" s="599"/>
      <c r="BK744" s="599"/>
      <c r="BL744" s="599"/>
      <c r="BM744" s="599"/>
      <c r="BN744" s="599"/>
      <c r="BO744" s="599"/>
      <c r="BP744" s="599"/>
      <c r="BQ744" s="599"/>
      <c r="BR744" s="599"/>
      <c r="BS744" s="599"/>
      <c r="BT744" s="599"/>
      <c r="BU744" s="599"/>
      <c r="BV744" s="599"/>
      <c r="BW744" s="599"/>
      <c r="BX744" s="599"/>
      <c r="BY744" s="599"/>
      <c r="BZ744" s="599"/>
      <c r="CA744" s="599"/>
      <c r="CB744" s="599"/>
      <c r="CC744" s="599"/>
      <c r="CD744" s="599"/>
      <c r="CE744" s="599"/>
      <c r="CF744" s="599"/>
      <c r="CG744" s="599"/>
      <c r="CH744" s="599"/>
      <c r="CI744" s="599"/>
      <c r="CJ744" s="599"/>
      <c r="CK744" s="599"/>
      <c r="CL744" s="599"/>
      <c r="CM744" s="599"/>
      <c r="CN744" s="599"/>
      <c r="CO744" s="599"/>
      <c r="CP744" s="599"/>
      <c r="CQ744" s="599"/>
      <c r="CR744" s="599"/>
      <c r="CS744" s="599"/>
      <c r="CT744" s="599"/>
      <c r="CU744" s="599"/>
      <c r="CV744" s="599"/>
      <c r="CW744" s="599"/>
      <c r="CX744" s="599"/>
      <c r="CY744" s="599"/>
      <c r="CZ744" s="599"/>
      <c r="DA744" s="599"/>
      <c r="DB744" s="599"/>
      <c r="DC744" s="599"/>
      <c r="DD744" s="599"/>
      <c r="DE744" s="599"/>
      <c r="DF744" s="599"/>
      <c r="DG744" s="599"/>
      <c r="DH744" s="599"/>
      <c r="DI744" s="599"/>
      <c r="DJ744" s="599"/>
      <c r="DK744" s="599"/>
      <c r="DL744" s="599"/>
      <c r="DM744" s="599"/>
      <c r="DN744" s="599"/>
      <c r="DO744" s="599"/>
      <c r="DP744" s="599"/>
      <c r="DQ744" s="599"/>
      <c r="DR744" s="599"/>
      <c r="DS744" s="599"/>
      <c r="DT744" s="599"/>
      <c r="DU744" s="599"/>
      <c r="DV744" s="599"/>
      <c r="DW744" s="599"/>
      <c r="DX744" s="599"/>
      <c r="DY744" s="599"/>
      <c r="DZ744" s="599"/>
      <c r="EA744" s="599"/>
      <c r="EB744" s="599"/>
      <c r="EC744" s="599"/>
      <c r="ED744" s="599"/>
      <c r="EE744" s="599"/>
      <c r="EF744" s="599"/>
      <c r="EG744" s="599"/>
      <c r="EH744" s="599"/>
      <c r="EI744" s="599"/>
      <c r="EJ744" s="599"/>
      <c r="EK744" s="599"/>
      <c r="EL744" s="599"/>
      <c r="EM744" s="599"/>
      <c r="EN744" s="599"/>
      <c r="EO744" s="599"/>
      <c r="EP744" s="599"/>
      <c r="EQ744" s="599"/>
      <c r="ER744" s="599"/>
      <c r="ES744" s="599"/>
      <c r="ET744" s="599"/>
      <c r="EU744" s="599"/>
      <c r="EV744" s="599"/>
      <c r="EW744" s="599"/>
      <c r="EX744" s="599"/>
      <c r="EY744" s="599"/>
      <c r="EZ744" s="599"/>
      <c r="FA744" s="599"/>
      <c r="FB744" s="599"/>
      <c r="FC744" s="599"/>
      <c r="FD744" s="599"/>
      <c r="FE744" s="599"/>
      <c r="FF744" s="599"/>
      <c r="FG744" s="599"/>
      <c r="FH744" s="599"/>
      <c r="FI744" s="599"/>
      <c r="FJ744" s="599"/>
      <c r="FK744" s="599"/>
      <c r="FL744" s="599"/>
      <c r="FM744" s="599"/>
      <c r="FN744" s="599"/>
      <c r="FO744" s="599"/>
      <c r="FP744" s="599"/>
      <c r="FQ744" s="599"/>
      <c r="FR744" s="599"/>
      <c r="FS744" s="599"/>
      <c r="FT744" s="599"/>
      <c r="FU744" s="599"/>
      <c r="FV744" s="599"/>
      <c r="FW744" s="599"/>
      <c r="FX744" s="599"/>
      <c r="FY744" s="599"/>
      <c r="FZ744" s="599"/>
      <c r="GA744" s="599"/>
      <c r="GB744" s="599"/>
      <c r="GC744" s="599"/>
      <c r="GD744" s="599"/>
      <c r="GE744" s="599"/>
      <c r="GF744" s="599"/>
      <c r="GG744" s="599"/>
      <c r="GH744" s="599"/>
      <c r="GI744" s="599"/>
      <c r="GJ744" s="599"/>
      <c r="GK744" s="599"/>
      <c r="GL744" s="599"/>
      <c r="GM744" s="599"/>
      <c r="GN744" s="599"/>
      <c r="GO744" s="599"/>
      <c r="GP744" s="599"/>
      <c r="GQ744" s="599"/>
      <c r="GR744" s="599"/>
      <c r="GS744" s="599"/>
      <c r="GT744" s="599"/>
      <c r="GU744" s="599"/>
      <c r="GV744" s="599"/>
      <c r="GW744" s="599"/>
      <c r="GX744" s="599"/>
      <c r="GY744" s="599"/>
      <c r="GZ744" s="599"/>
      <c r="HA744" s="599"/>
      <c r="HB744" s="599"/>
      <c r="HC744" s="599"/>
      <c r="HD744" s="599"/>
      <c r="HE744" s="599"/>
      <c r="HF744" s="599"/>
      <c r="HG744" s="599"/>
      <c r="HH744" s="599"/>
      <c r="HI744" s="599"/>
      <c r="HJ744" s="599"/>
      <c r="HK744" s="599"/>
      <c r="HL744" s="599"/>
      <c r="HM744" s="599"/>
      <c r="HN744" s="599"/>
      <c r="HO744" s="599"/>
      <c r="HP744" s="599"/>
      <c r="HQ744" s="599"/>
      <c r="HR744" s="599"/>
      <c r="HS744" s="599"/>
      <c r="HT744" s="599"/>
      <c r="HU744" s="599"/>
      <c r="HV744" s="599"/>
      <c r="HW744" s="599"/>
      <c r="HX744" s="599"/>
      <c r="HY744" s="599"/>
      <c r="HZ744" s="599"/>
      <c r="IA744" s="599"/>
      <c r="IB744" s="599"/>
      <c r="IC744" s="599"/>
      <c r="ID744" s="599"/>
      <c r="IE744" s="599"/>
      <c r="IF744" s="599"/>
      <c r="IG744" s="599"/>
      <c r="IH744" s="599"/>
      <c r="II744" s="599"/>
      <c r="IJ744" s="599"/>
      <c r="IK744" s="599"/>
      <c r="IL744" s="599"/>
      <c r="IM744" s="599"/>
      <c r="IN744" s="599"/>
      <c r="IO744" s="599"/>
      <c r="IP744" s="599"/>
      <c r="IQ744" s="599"/>
      <c r="IR744" s="599"/>
      <c r="IS744" s="599"/>
      <c r="IT744" s="599"/>
      <c r="IU744" s="599"/>
      <c r="IV744" s="599"/>
    </row>
    <row r="745" spans="1:261" s="776" customFormat="1" ht="104.25" customHeight="1">
      <c r="A745" s="2021">
        <v>2</v>
      </c>
      <c r="B745" s="2249" t="s">
        <v>5391</v>
      </c>
      <c r="C745" s="2021" t="s">
        <v>5393</v>
      </c>
      <c r="D745" s="2007" t="s">
        <v>5494</v>
      </c>
      <c r="E745" s="2021" t="s">
        <v>5394</v>
      </c>
      <c r="F745" s="2225">
        <v>3780000</v>
      </c>
      <c r="G745" s="2021"/>
      <c r="H745" s="2021"/>
      <c r="I745" s="2021"/>
      <c r="J745" s="2021"/>
      <c r="K745" s="2021"/>
      <c r="L745" s="2021"/>
      <c r="M745" s="1880"/>
      <c r="N745" s="2021"/>
      <c r="O745" s="2021"/>
      <c r="P745" s="2021"/>
      <c r="Q745" s="2021"/>
      <c r="R745" s="2021"/>
      <c r="S745" s="2021"/>
      <c r="T745" s="2021"/>
      <c r="U745" s="2021"/>
      <c r="V745" s="2021"/>
      <c r="W745" s="2021"/>
      <c r="X745" s="2021"/>
      <c r="Y745" s="2021"/>
      <c r="Z745" s="2021"/>
      <c r="AA745" s="2021"/>
      <c r="AB745" s="2021"/>
      <c r="AC745" s="2021"/>
      <c r="AD745" s="2021"/>
      <c r="AE745" s="2021"/>
      <c r="AF745" s="2021"/>
      <c r="AG745" s="2021"/>
      <c r="AH745" s="2021"/>
      <c r="AI745" s="2021"/>
      <c r="AJ745" s="2021"/>
      <c r="AK745" s="2021"/>
      <c r="AL745" s="2021"/>
      <c r="AM745" s="2021"/>
      <c r="AN745" s="2021"/>
      <c r="AO745" s="2021"/>
      <c r="AP745" s="2021"/>
      <c r="AQ745" s="2021"/>
      <c r="AR745" s="2021"/>
      <c r="AS745" s="2021"/>
      <c r="AT745" s="2021"/>
      <c r="AU745" s="2021"/>
      <c r="AV745" s="2021"/>
      <c r="AW745" s="2021"/>
      <c r="AX745" s="2021"/>
      <c r="AY745" s="2021"/>
      <c r="AZ745" s="2021"/>
      <c r="BA745" s="2021"/>
      <c r="BB745" s="2021"/>
      <c r="BC745" s="2021"/>
      <c r="BD745" s="2021"/>
      <c r="BE745" s="2021"/>
      <c r="BF745" s="2021"/>
      <c r="BG745" s="2021"/>
      <c r="BH745" s="2021"/>
      <c r="BI745" s="2021"/>
      <c r="BJ745" s="2021"/>
      <c r="BK745" s="2021"/>
      <c r="BL745" s="2021"/>
      <c r="BM745" s="2021"/>
      <c r="BN745" s="2021"/>
      <c r="BO745" s="2021"/>
      <c r="BP745" s="2021"/>
      <c r="BQ745" s="2021"/>
      <c r="BR745" s="2021"/>
      <c r="BS745" s="2021"/>
      <c r="BT745" s="2021"/>
      <c r="BU745" s="2021"/>
      <c r="BV745" s="2021"/>
      <c r="BW745" s="2021"/>
      <c r="BX745" s="2021"/>
      <c r="BY745" s="2021"/>
      <c r="BZ745" s="2021"/>
      <c r="CA745" s="2021"/>
      <c r="CB745" s="2021"/>
      <c r="CC745" s="2021"/>
      <c r="CD745" s="2021"/>
      <c r="CE745" s="2021"/>
      <c r="CF745" s="2021"/>
      <c r="CG745" s="2021"/>
      <c r="CH745" s="2021"/>
      <c r="CI745" s="2021"/>
      <c r="CJ745" s="2021"/>
      <c r="CK745" s="2021"/>
      <c r="CL745" s="2021"/>
      <c r="CM745" s="2021"/>
      <c r="CN745" s="2021"/>
      <c r="CO745" s="2021"/>
      <c r="CP745" s="2021"/>
      <c r="CQ745" s="2021"/>
      <c r="CR745" s="2021"/>
      <c r="CS745" s="2021"/>
      <c r="CT745" s="2021"/>
      <c r="CU745" s="2021"/>
      <c r="CV745" s="2021"/>
      <c r="CW745" s="2021"/>
      <c r="CX745" s="2021"/>
      <c r="CY745" s="2021"/>
      <c r="CZ745" s="2021"/>
      <c r="DA745" s="2021"/>
      <c r="DB745" s="2021"/>
      <c r="DC745" s="2021"/>
      <c r="DD745" s="2021"/>
      <c r="DE745" s="2021"/>
      <c r="DF745" s="2021"/>
      <c r="DG745" s="2021"/>
      <c r="DH745" s="2021"/>
      <c r="DI745" s="2021"/>
      <c r="DJ745" s="2021"/>
      <c r="DK745" s="2021"/>
      <c r="DL745" s="2021"/>
      <c r="DM745" s="2021"/>
      <c r="DN745" s="2021"/>
      <c r="DO745" s="2021"/>
      <c r="DP745" s="2021"/>
      <c r="DQ745" s="2021"/>
      <c r="DR745" s="2021"/>
      <c r="DS745" s="2021"/>
      <c r="DT745" s="2021"/>
      <c r="DU745" s="2021"/>
      <c r="DV745" s="2021"/>
      <c r="DW745" s="2021"/>
      <c r="DX745" s="2021"/>
      <c r="DY745" s="2021"/>
      <c r="DZ745" s="2021"/>
      <c r="EA745" s="2021"/>
      <c r="EB745" s="2021"/>
      <c r="EC745" s="2021"/>
      <c r="ED745" s="2021"/>
      <c r="EE745" s="2021"/>
      <c r="EF745" s="2021"/>
      <c r="EG745" s="2021"/>
      <c r="EH745" s="2021"/>
      <c r="EI745" s="2021"/>
      <c r="EJ745" s="2021"/>
      <c r="EK745" s="2021"/>
      <c r="EL745" s="2021"/>
      <c r="EM745" s="2021"/>
      <c r="EN745" s="2021"/>
      <c r="EO745" s="2021"/>
      <c r="EP745" s="2021"/>
      <c r="EQ745" s="2021"/>
      <c r="ER745" s="2021"/>
      <c r="ES745" s="2021"/>
      <c r="ET745" s="2021"/>
      <c r="EU745" s="2021"/>
      <c r="EV745" s="2021"/>
      <c r="EW745" s="2021"/>
      <c r="EX745" s="2021"/>
      <c r="EY745" s="2021"/>
      <c r="EZ745" s="2021"/>
      <c r="FA745" s="2021"/>
      <c r="FB745" s="2021"/>
      <c r="FC745" s="2021"/>
      <c r="FD745" s="2021"/>
      <c r="FE745" s="2021"/>
      <c r="FF745" s="2021"/>
      <c r="FG745" s="2021"/>
      <c r="FH745" s="2021"/>
      <c r="FI745" s="2021"/>
      <c r="FJ745" s="2021"/>
      <c r="FK745" s="2021"/>
      <c r="FL745" s="2021"/>
      <c r="FM745" s="2021"/>
      <c r="FN745" s="2021"/>
      <c r="FO745" s="2021"/>
      <c r="FP745" s="2021"/>
      <c r="FQ745" s="2021"/>
      <c r="FR745" s="2021"/>
      <c r="FS745" s="2021"/>
      <c r="FT745" s="2021"/>
      <c r="FU745" s="2021"/>
      <c r="FV745" s="2021"/>
      <c r="FW745" s="2021"/>
      <c r="FX745" s="2021"/>
      <c r="FY745" s="2021"/>
      <c r="FZ745" s="2021"/>
      <c r="GA745" s="2021"/>
      <c r="GB745" s="2021"/>
      <c r="GC745" s="2021"/>
      <c r="GD745" s="2021"/>
      <c r="GE745" s="2021"/>
      <c r="GF745" s="2021"/>
      <c r="GG745" s="2021"/>
      <c r="GH745" s="2021"/>
      <c r="GI745" s="2021"/>
      <c r="GJ745" s="2021"/>
      <c r="GK745" s="2021"/>
      <c r="GL745" s="2021"/>
      <c r="GM745" s="2021"/>
      <c r="GN745" s="2021"/>
      <c r="GO745" s="2021"/>
      <c r="GP745" s="2021"/>
      <c r="GQ745" s="2021"/>
      <c r="GR745" s="2021"/>
      <c r="GS745" s="2021"/>
      <c r="GT745" s="2021"/>
      <c r="GU745" s="2021"/>
      <c r="GV745" s="2021"/>
      <c r="GW745" s="2021"/>
      <c r="GX745" s="2021"/>
      <c r="GY745" s="2021"/>
      <c r="GZ745" s="2021"/>
      <c r="HA745" s="2021"/>
      <c r="HB745" s="2021"/>
      <c r="HC745" s="2021"/>
      <c r="HD745" s="2021"/>
      <c r="HE745" s="2021"/>
      <c r="HF745" s="2021"/>
      <c r="HG745" s="2021"/>
      <c r="HH745" s="2021"/>
      <c r="HI745" s="2021"/>
      <c r="HJ745" s="2021"/>
      <c r="HK745" s="2021"/>
      <c r="HL745" s="2021"/>
      <c r="HM745" s="2021"/>
      <c r="HN745" s="2021"/>
      <c r="HO745" s="2021"/>
      <c r="HP745" s="2021"/>
      <c r="HQ745" s="2021"/>
      <c r="HR745" s="2021"/>
      <c r="HS745" s="2021"/>
      <c r="HT745" s="2021"/>
      <c r="HU745" s="2021"/>
      <c r="HV745" s="2021"/>
      <c r="HW745" s="2021"/>
      <c r="HX745" s="2021"/>
      <c r="HY745" s="2021"/>
      <c r="HZ745" s="2021"/>
      <c r="IA745" s="2021"/>
      <c r="IB745" s="2021"/>
      <c r="IC745" s="2021"/>
      <c r="ID745" s="2021"/>
      <c r="IE745" s="2021"/>
      <c r="IF745" s="2021"/>
      <c r="IG745" s="2021"/>
      <c r="IH745" s="2021"/>
      <c r="II745" s="2021"/>
      <c r="IJ745" s="2021"/>
      <c r="IK745" s="2021"/>
      <c r="IL745" s="2021"/>
      <c r="IM745" s="2021"/>
      <c r="IN745" s="2021"/>
      <c r="IO745" s="2021"/>
      <c r="IP745" s="2021"/>
      <c r="IQ745" s="2021"/>
      <c r="IR745" s="2021"/>
      <c r="IS745" s="2021"/>
      <c r="IT745" s="2021"/>
      <c r="IU745" s="2021"/>
      <c r="IV745" s="2021"/>
    </row>
    <row r="746" spans="1:261" s="2232" customFormat="1" ht="72" customHeight="1">
      <c r="A746" s="1880">
        <v>3</v>
      </c>
      <c r="B746" s="2249" t="s">
        <v>5408</v>
      </c>
      <c r="C746" s="610" t="s">
        <v>5410</v>
      </c>
      <c r="D746" s="2278" t="s">
        <v>5409</v>
      </c>
      <c r="E746" s="599"/>
      <c r="F746" s="601">
        <v>1267245</v>
      </c>
      <c r="G746" s="2021"/>
      <c r="H746" s="599"/>
      <c r="I746" s="599"/>
      <c r="J746" s="599"/>
      <c r="K746" s="599"/>
      <c r="L746" s="599"/>
      <c r="M746" s="446"/>
      <c r="N746" s="599"/>
      <c r="O746" s="599"/>
      <c r="P746" s="599"/>
      <c r="Q746" s="599"/>
      <c r="R746" s="599"/>
      <c r="S746" s="599"/>
      <c r="T746" s="599"/>
      <c r="U746" s="599"/>
      <c r="V746" s="599"/>
      <c r="W746" s="599"/>
      <c r="X746" s="599"/>
      <c r="Y746" s="599"/>
      <c r="Z746" s="599"/>
      <c r="AA746" s="599"/>
      <c r="AB746" s="599"/>
      <c r="AC746" s="599"/>
      <c r="AD746" s="599"/>
      <c r="AE746" s="599"/>
      <c r="AF746" s="599"/>
      <c r="AG746" s="599"/>
      <c r="AH746" s="599"/>
      <c r="AI746" s="599"/>
      <c r="AJ746" s="599"/>
      <c r="AK746" s="599"/>
      <c r="AL746" s="599"/>
      <c r="AM746" s="599"/>
      <c r="AN746" s="599"/>
      <c r="AO746" s="599"/>
      <c r="AP746" s="599"/>
      <c r="AQ746" s="599"/>
      <c r="AR746" s="599"/>
      <c r="AS746" s="599"/>
      <c r="AT746" s="599"/>
      <c r="AU746" s="599"/>
      <c r="AV746" s="599"/>
      <c r="AW746" s="599"/>
      <c r="AX746" s="599"/>
      <c r="AY746" s="599"/>
      <c r="AZ746" s="599"/>
      <c r="BA746" s="2141"/>
      <c r="BB746" s="2141"/>
      <c r="BC746" s="2141"/>
      <c r="BD746" s="2141"/>
      <c r="BE746" s="2141"/>
      <c r="BF746" s="2141"/>
      <c r="BG746" s="2141"/>
      <c r="BH746" s="2141"/>
      <c r="BI746" s="2141"/>
      <c r="BJ746" s="2141"/>
      <c r="BK746" s="2141"/>
      <c r="BL746" s="2141"/>
      <c r="BM746" s="2141"/>
      <c r="BN746" s="2141"/>
      <c r="BO746" s="2141"/>
      <c r="BP746" s="2141"/>
      <c r="BQ746" s="2141"/>
      <c r="BR746" s="2141"/>
      <c r="BS746" s="2141"/>
      <c r="BT746" s="2141"/>
      <c r="BU746" s="2141"/>
      <c r="BV746" s="2141"/>
      <c r="BW746" s="2141"/>
      <c r="BX746" s="2141"/>
      <c r="BY746" s="2141"/>
      <c r="BZ746" s="2141"/>
      <c r="CA746" s="2141"/>
      <c r="CB746" s="2141"/>
      <c r="CC746" s="2141"/>
      <c r="CD746" s="2141"/>
      <c r="CE746" s="2141"/>
      <c r="CF746" s="2141"/>
      <c r="CG746" s="2141"/>
      <c r="CH746" s="2141"/>
      <c r="CI746" s="2141"/>
      <c r="CJ746" s="2141"/>
      <c r="CK746" s="2141"/>
      <c r="CL746" s="2141"/>
      <c r="CM746" s="2141"/>
      <c r="CN746" s="2141"/>
      <c r="CO746" s="2141"/>
      <c r="CP746" s="2141"/>
      <c r="CQ746" s="2141"/>
      <c r="CR746" s="2141"/>
      <c r="CS746" s="2141"/>
      <c r="CT746" s="2141"/>
      <c r="CU746" s="2141"/>
      <c r="CV746" s="2141"/>
      <c r="CW746" s="2141"/>
      <c r="CX746" s="2141"/>
      <c r="CY746" s="2141"/>
      <c r="CZ746" s="2141"/>
      <c r="DA746" s="2141"/>
      <c r="DB746" s="2141"/>
      <c r="DC746" s="2141"/>
      <c r="DD746" s="2141"/>
      <c r="DE746" s="2141"/>
      <c r="DF746" s="2141"/>
      <c r="DG746" s="2141"/>
      <c r="DH746" s="2141"/>
      <c r="DI746" s="2141"/>
      <c r="DJ746" s="2141"/>
      <c r="DK746" s="2141"/>
      <c r="DL746" s="2141"/>
      <c r="DM746" s="2141"/>
      <c r="DN746" s="2141"/>
      <c r="DO746" s="2141"/>
      <c r="DP746" s="2141"/>
      <c r="DQ746" s="2141"/>
      <c r="DR746" s="2141"/>
      <c r="DS746" s="2141"/>
      <c r="DT746" s="2141"/>
      <c r="DU746" s="2141"/>
      <c r="DV746" s="2141"/>
      <c r="DW746" s="2141"/>
      <c r="DX746" s="2141"/>
      <c r="DY746" s="2141"/>
      <c r="DZ746" s="2141"/>
      <c r="EA746" s="2141"/>
      <c r="EB746" s="2141"/>
      <c r="EC746" s="2141"/>
      <c r="ED746" s="2141"/>
      <c r="EE746" s="2141"/>
      <c r="EF746" s="2141"/>
      <c r="EG746" s="2141"/>
      <c r="EH746" s="2141"/>
      <c r="EI746" s="2141"/>
      <c r="EJ746" s="2141"/>
      <c r="EK746" s="2141"/>
      <c r="EL746" s="2141"/>
      <c r="EM746" s="2141"/>
      <c r="EN746" s="2141"/>
      <c r="EO746" s="2141"/>
      <c r="EP746" s="2141"/>
      <c r="EQ746" s="2141"/>
      <c r="ER746" s="2141"/>
      <c r="ES746" s="2141"/>
      <c r="ET746" s="2141"/>
      <c r="EU746" s="2141"/>
      <c r="EV746" s="2141"/>
      <c r="EW746" s="2141"/>
      <c r="EX746" s="2141"/>
      <c r="EY746" s="2141"/>
      <c r="EZ746" s="2141"/>
      <c r="FA746" s="2141"/>
      <c r="FB746" s="2141"/>
      <c r="FC746" s="2141"/>
      <c r="FD746" s="2141"/>
      <c r="FE746" s="2141"/>
      <c r="FF746" s="2141"/>
      <c r="FG746" s="2141"/>
      <c r="FH746" s="2141"/>
      <c r="FI746" s="2141"/>
      <c r="FJ746" s="2141"/>
      <c r="FK746" s="2141"/>
      <c r="FL746" s="2141"/>
      <c r="FM746" s="2141"/>
      <c r="FN746" s="2141"/>
      <c r="FO746" s="2141"/>
      <c r="FP746" s="2141"/>
      <c r="FQ746" s="2141"/>
      <c r="FR746" s="2141"/>
      <c r="FS746" s="2141"/>
      <c r="FT746" s="2141"/>
      <c r="FU746" s="2141"/>
      <c r="FV746" s="2141"/>
      <c r="FW746" s="2141"/>
      <c r="FX746" s="2141"/>
      <c r="FY746" s="2141"/>
      <c r="FZ746" s="2141"/>
      <c r="GA746" s="2141"/>
      <c r="GB746" s="2141"/>
      <c r="GC746" s="2141"/>
      <c r="GD746" s="2141"/>
      <c r="GE746" s="2141"/>
      <c r="GF746" s="2141"/>
      <c r="GG746" s="2141"/>
      <c r="GH746" s="2141"/>
      <c r="GI746" s="2141"/>
      <c r="GJ746" s="2141"/>
      <c r="GK746" s="2141"/>
      <c r="GL746" s="2141"/>
      <c r="GM746" s="2141"/>
      <c r="GN746" s="2141"/>
      <c r="GO746" s="2141"/>
      <c r="GP746" s="2141"/>
      <c r="GQ746" s="2141"/>
      <c r="GR746" s="2141"/>
      <c r="GS746" s="2141"/>
      <c r="GT746" s="2141"/>
      <c r="GU746" s="2141"/>
      <c r="GV746" s="2141"/>
      <c r="GW746" s="2141"/>
      <c r="GX746" s="2141"/>
      <c r="GY746" s="2141"/>
      <c r="GZ746" s="2141"/>
      <c r="HA746" s="2141"/>
      <c r="HB746" s="2141"/>
      <c r="HC746" s="2141"/>
      <c r="HD746" s="2141"/>
      <c r="HE746" s="2141"/>
      <c r="HF746" s="2141"/>
      <c r="HG746" s="2141"/>
      <c r="HH746" s="2141"/>
      <c r="HI746" s="2141"/>
      <c r="HJ746" s="2141"/>
      <c r="HK746" s="2141"/>
      <c r="HL746" s="2141"/>
      <c r="HM746" s="2141"/>
      <c r="HN746" s="2141"/>
      <c r="HO746" s="2141"/>
      <c r="HP746" s="2141"/>
      <c r="HQ746" s="2141"/>
      <c r="HR746" s="2141"/>
      <c r="HS746" s="2141"/>
      <c r="HT746" s="2141"/>
      <c r="HU746" s="2141"/>
      <c r="HV746" s="2141"/>
      <c r="HW746" s="2141"/>
      <c r="HX746" s="2141"/>
      <c r="HY746" s="2141"/>
      <c r="HZ746" s="2141"/>
      <c r="IA746" s="2141"/>
      <c r="IB746" s="2141"/>
      <c r="IC746" s="2141"/>
      <c r="ID746" s="2141"/>
      <c r="IE746" s="2141"/>
      <c r="IF746" s="2141"/>
      <c r="IG746" s="2141"/>
      <c r="IH746" s="2141"/>
      <c r="II746" s="2141"/>
      <c r="IJ746" s="2141"/>
      <c r="IK746" s="2141"/>
      <c r="IL746" s="2141"/>
      <c r="IM746" s="2141"/>
      <c r="IN746" s="2141"/>
      <c r="IO746" s="2141"/>
      <c r="IP746" s="2141"/>
      <c r="IQ746" s="2141"/>
      <c r="IR746" s="2141"/>
      <c r="IS746" s="2141"/>
      <c r="IT746" s="2141"/>
      <c r="IU746" s="2141"/>
      <c r="IV746" s="2141"/>
    </row>
    <row r="747" spans="1:261" s="1722" customFormat="1" ht="101.25" customHeight="1">
      <c r="A747" s="599">
        <v>4</v>
      </c>
      <c r="B747" s="2269" t="s">
        <v>5416</v>
      </c>
      <c r="C747" s="2273" t="s">
        <v>5418</v>
      </c>
      <c r="D747" s="2274" t="s">
        <v>5482</v>
      </c>
      <c r="E747" s="2021" t="s">
        <v>1449</v>
      </c>
      <c r="F747" s="601" t="s">
        <v>5417</v>
      </c>
      <c r="G747" s="2021"/>
      <c r="H747" s="599"/>
      <c r="I747" s="599"/>
      <c r="J747" s="599"/>
      <c r="K747" s="599"/>
      <c r="L747" s="599"/>
      <c r="M747" s="446"/>
      <c r="N747" s="599"/>
      <c r="O747" s="599"/>
      <c r="P747" s="599"/>
      <c r="Q747" s="599"/>
      <c r="R747" s="599"/>
      <c r="S747" s="599"/>
      <c r="T747" s="599"/>
      <c r="U747" s="599"/>
      <c r="V747" s="599"/>
      <c r="W747" s="599"/>
      <c r="X747" s="599"/>
      <c r="Y747" s="599"/>
      <c r="Z747" s="599"/>
      <c r="AA747" s="599"/>
      <c r="AB747" s="599"/>
      <c r="AC747" s="599"/>
      <c r="AD747" s="599"/>
      <c r="AE747" s="599"/>
      <c r="AF747" s="599"/>
      <c r="AG747" s="599"/>
      <c r="AH747" s="599"/>
      <c r="AI747" s="599"/>
      <c r="AJ747" s="599"/>
      <c r="AK747" s="599"/>
      <c r="AL747" s="599"/>
      <c r="AM747" s="599"/>
      <c r="AN747" s="599"/>
      <c r="AO747" s="599"/>
      <c r="AP747" s="599"/>
      <c r="AQ747" s="599"/>
      <c r="AR747" s="599"/>
      <c r="AS747" s="599"/>
      <c r="AT747" s="599"/>
      <c r="AU747" s="599"/>
      <c r="AV747" s="599"/>
      <c r="AW747" s="599"/>
      <c r="AX747" s="599"/>
      <c r="AY747" s="599"/>
      <c r="AZ747" s="599"/>
      <c r="BA747" s="599"/>
      <c r="BB747" s="599"/>
      <c r="BC747" s="599"/>
      <c r="BD747" s="599"/>
      <c r="BE747" s="599"/>
      <c r="BF747" s="599"/>
      <c r="BG747" s="599"/>
      <c r="BH747" s="599"/>
      <c r="BI747" s="599"/>
      <c r="BJ747" s="599"/>
      <c r="BK747" s="599"/>
      <c r="BL747" s="599"/>
      <c r="BM747" s="599"/>
      <c r="BN747" s="599"/>
      <c r="BO747" s="599"/>
      <c r="BP747" s="599"/>
      <c r="BQ747" s="599"/>
      <c r="BR747" s="599"/>
      <c r="BS747" s="599"/>
      <c r="BT747" s="599"/>
      <c r="BU747" s="599"/>
      <c r="BV747" s="599"/>
      <c r="BW747" s="599"/>
      <c r="BX747" s="599"/>
      <c r="BY747" s="599"/>
      <c r="BZ747" s="599"/>
      <c r="CA747" s="599"/>
      <c r="CB747" s="599"/>
      <c r="CC747" s="599"/>
      <c r="CD747" s="599"/>
      <c r="CE747" s="599"/>
      <c r="CF747" s="599"/>
      <c r="CG747" s="599"/>
      <c r="CH747" s="599"/>
      <c r="CI747" s="599"/>
      <c r="CJ747" s="599"/>
      <c r="CK747" s="599"/>
      <c r="CL747" s="599"/>
      <c r="CM747" s="599"/>
      <c r="CN747" s="599"/>
      <c r="CO747" s="599"/>
      <c r="CP747" s="599"/>
      <c r="CQ747" s="599"/>
      <c r="CR747" s="599"/>
      <c r="CS747" s="599"/>
      <c r="CT747" s="599"/>
      <c r="CU747" s="599"/>
      <c r="CV747" s="599"/>
      <c r="CW747" s="599"/>
      <c r="CX747" s="599"/>
      <c r="CY747" s="599"/>
      <c r="CZ747" s="599"/>
      <c r="DA747" s="599"/>
      <c r="DB747" s="599"/>
      <c r="DC747" s="599"/>
      <c r="DD747" s="599"/>
      <c r="DE747" s="599"/>
      <c r="DF747" s="599"/>
      <c r="DG747" s="599"/>
      <c r="DH747" s="599"/>
      <c r="DI747" s="599"/>
      <c r="DJ747" s="599"/>
      <c r="DK747" s="599"/>
      <c r="DL747" s="599"/>
      <c r="DM747" s="599"/>
      <c r="DN747" s="599"/>
      <c r="DO747" s="599"/>
      <c r="DP747" s="599"/>
      <c r="DQ747" s="599"/>
      <c r="DR747" s="599"/>
      <c r="DS747" s="599"/>
      <c r="DT747" s="599"/>
      <c r="DU747" s="599"/>
      <c r="DV747" s="599"/>
      <c r="DW747" s="599"/>
      <c r="DX747" s="599"/>
      <c r="DY747" s="599"/>
      <c r="DZ747" s="599"/>
      <c r="EA747" s="599"/>
      <c r="EB747" s="599"/>
      <c r="EC747" s="599"/>
      <c r="ED747" s="599"/>
      <c r="EE747" s="599"/>
      <c r="EF747" s="599"/>
      <c r="EG747" s="599"/>
      <c r="EH747" s="599"/>
      <c r="EI747" s="599"/>
      <c r="EJ747" s="599"/>
      <c r="EK747" s="599"/>
      <c r="EL747" s="599"/>
      <c r="EM747" s="599"/>
      <c r="EN747" s="599"/>
      <c r="EO747" s="599"/>
      <c r="EP747" s="599"/>
      <c r="EQ747" s="599"/>
      <c r="ER747" s="599"/>
      <c r="ES747" s="599"/>
      <c r="ET747" s="599"/>
      <c r="EU747" s="599"/>
      <c r="EV747" s="599"/>
      <c r="EW747" s="599"/>
      <c r="EX747" s="599"/>
      <c r="EY747" s="599"/>
      <c r="EZ747" s="599"/>
      <c r="FA747" s="599"/>
      <c r="FB747" s="599"/>
      <c r="FC747" s="599"/>
      <c r="FD747" s="599"/>
      <c r="FE747" s="599"/>
      <c r="FF747" s="599"/>
      <c r="FG747" s="599"/>
      <c r="FH747" s="599"/>
      <c r="FI747" s="599"/>
      <c r="FJ747" s="599"/>
      <c r="FK747" s="599"/>
      <c r="FL747" s="599"/>
      <c r="FM747" s="599"/>
      <c r="FN747" s="599"/>
      <c r="FO747" s="599"/>
      <c r="FP747" s="599"/>
      <c r="FQ747" s="599"/>
      <c r="FR747" s="599"/>
      <c r="FS747" s="599"/>
      <c r="FT747" s="599"/>
      <c r="FU747" s="599"/>
      <c r="FV747" s="599"/>
      <c r="FW747" s="599"/>
      <c r="FX747" s="599"/>
      <c r="FY747" s="599"/>
      <c r="FZ747" s="599"/>
      <c r="GA747" s="599"/>
      <c r="GB747" s="599"/>
      <c r="GC747" s="599"/>
      <c r="GD747" s="599"/>
      <c r="GE747" s="599"/>
      <c r="GF747" s="599"/>
      <c r="GG747" s="599"/>
      <c r="GH747" s="599"/>
      <c r="GI747" s="599"/>
      <c r="GJ747" s="599"/>
      <c r="GK747" s="599"/>
      <c r="GL747" s="599"/>
      <c r="GM747" s="599"/>
      <c r="GN747" s="599"/>
      <c r="GO747" s="599"/>
      <c r="GP747" s="599"/>
      <c r="GQ747" s="599"/>
      <c r="GR747" s="599"/>
      <c r="GS747" s="599"/>
      <c r="GT747" s="599"/>
      <c r="GU747" s="599"/>
      <c r="GV747" s="599"/>
      <c r="GW747" s="599"/>
      <c r="GX747" s="599"/>
      <c r="GY747" s="599"/>
      <c r="GZ747" s="599"/>
      <c r="HA747" s="599"/>
      <c r="HB747" s="599"/>
      <c r="HC747" s="599"/>
      <c r="HD747" s="599"/>
      <c r="HE747" s="599"/>
      <c r="HF747" s="599"/>
      <c r="HG747" s="599"/>
      <c r="HH747" s="599"/>
      <c r="HI747" s="599"/>
      <c r="HJ747" s="599"/>
      <c r="HK747" s="599"/>
      <c r="HL747" s="599"/>
      <c r="HM747" s="599"/>
      <c r="HN747" s="599"/>
      <c r="HO747" s="599"/>
      <c r="HP747" s="599"/>
      <c r="HQ747" s="599"/>
      <c r="HR747" s="599"/>
      <c r="HS747" s="599"/>
      <c r="HT747" s="599"/>
      <c r="HU747" s="599"/>
      <c r="HV747" s="599"/>
      <c r="HW747" s="599"/>
      <c r="HX747" s="599"/>
      <c r="HY747" s="599"/>
      <c r="HZ747" s="599"/>
      <c r="IA747" s="599"/>
      <c r="IB747" s="599"/>
      <c r="IC747" s="599"/>
      <c r="ID747" s="599"/>
      <c r="IE747" s="599"/>
      <c r="IF747" s="599"/>
      <c r="IG747" s="599"/>
      <c r="IH747" s="599"/>
      <c r="II747" s="599"/>
      <c r="IJ747" s="599"/>
      <c r="IK747" s="599"/>
      <c r="IL747" s="599"/>
      <c r="IM747" s="599"/>
      <c r="IN747" s="599"/>
      <c r="IO747" s="599"/>
      <c r="IP747" s="599"/>
      <c r="IQ747" s="599"/>
      <c r="IR747" s="599"/>
      <c r="IS747" s="599"/>
      <c r="IT747" s="599"/>
      <c r="IU747" s="599"/>
      <c r="IV747" s="599"/>
    </row>
    <row r="748" spans="1:261" s="2232" customFormat="1" ht="72" customHeight="1">
      <c r="A748" s="2304"/>
      <c r="B748" s="2473" t="s">
        <v>5476</v>
      </c>
      <c r="C748" s="2475" t="s">
        <v>5475</v>
      </c>
      <c r="D748" s="2477" t="s">
        <v>5477</v>
      </c>
      <c r="E748" s="2341"/>
      <c r="F748" s="2477" t="s">
        <v>5478</v>
      </c>
      <c r="G748" s="2341"/>
      <c r="H748" s="2304"/>
      <c r="I748" s="2304"/>
      <c r="J748" s="2319">
        <v>1052786.8999999999</v>
      </c>
      <c r="K748" s="2304" t="s">
        <v>5613</v>
      </c>
      <c r="L748" s="2304"/>
      <c r="M748" s="610" t="s">
        <v>5599</v>
      </c>
      <c r="N748" s="2021" t="s">
        <v>5598</v>
      </c>
      <c r="O748" s="2340">
        <v>1484000</v>
      </c>
      <c r="P748" s="2304"/>
      <c r="Q748" s="2304"/>
      <c r="R748" s="2304"/>
      <c r="S748" s="2304"/>
      <c r="T748" s="2304"/>
      <c r="U748" s="2304"/>
      <c r="V748" s="2304"/>
      <c r="W748" s="2141"/>
      <c r="X748" s="2141"/>
      <c r="Y748" s="2141"/>
      <c r="Z748" s="2141"/>
      <c r="AA748" s="2141"/>
      <c r="AB748" s="2141"/>
      <c r="AC748" s="2141"/>
      <c r="AD748" s="2141"/>
      <c r="AE748" s="2141"/>
      <c r="AF748" s="2141"/>
      <c r="AG748" s="2141"/>
      <c r="AH748" s="2141"/>
      <c r="AI748" s="2141"/>
      <c r="AJ748" s="2141"/>
      <c r="AK748" s="2141"/>
      <c r="AL748" s="2141"/>
      <c r="AM748" s="2141"/>
      <c r="AN748" s="2141"/>
      <c r="AO748" s="2141"/>
      <c r="AP748" s="2141"/>
      <c r="AQ748" s="2141"/>
      <c r="AR748" s="2141"/>
      <c r="AS748" s="2141"/>
      <c r="AT748" s="2141"/>
      <c r="AU748" s="2141"/>
      <c r="AV748" s="2141"/>
      <c r="AW748" s="2141"/>
      <c r="AX748" s="2141"/>
      <c r="AY748" s="2141"/>
      <c r="AZ748" s="2141"/>
      <c r="BA748" s="2141"/>
      <c r="BB748" s="2141"/>
      <c r="BC748" s="2141"/>
      <c r="BD748" s="2141"/>
      <c r="BE748" s="2141"/>
      <c r="BF748" s="2141"/>
      <c r="BG748" s="2141"/>
      <c r="BH748" s="2141"/>
      <c r="BI748" s="2141"/>
      <c r="BJ748" s="2141"/>
      <c r="BK748" s="2141"/>
      <c r="BL748" s="2141"/>
      <c r="BM748" s="2141"/>
      <c r="BN748" s="2141"/>
      <c r="BO748" s="2141"/>
      <c r="BP748" s="2141"/>
      <c r="BQ748" s="2141"/>
      <c r="BR748" s="2141"/>
      <c r="BS748" s="2141"/>
      <c r="BT748" s="2141"/>
      <c r="BU748" s="2141"/>
      <c r="BV748" s="2141"/>
      <c r="BW748" s="2141"/>
      <c r="BX748" s="2141"/>
      <c r="BY748" s="2141"/>
      <c r="BZ748" s="2141"/>
      <c r="CA748" s="2141"/>
      <c r="CB748" s="2141"/>
      <c r="CC748" s="2141"/>
      <c r="CD748" s="2141"/>
      <c r="CE748" s="2141"/>
      <c r="CF748" s="2141"/>
      <c r="CG748" s="2141"/>
      <c r="CH748" s="2141"/>
      <c r="CI748" s="2141"/>
      <c r="CJ748" s="2141"/>
      <c r="CK748" s="2141"/>
      <c r="CL748" s="2141"/>
      <c r="CM748" s="2141"/>
      <c r="CN748" s="2141"/>
      <c r="CO748" s="2141"/>
      <c r="CP748" s="2141"/>
      <c r="CQ748" s="2141"/>
      <c r="CR748" s="2141"/>
      <c r="CS748" s="2141"/>
      <c r="CT748" s="2141"/>
      <c r="CU748" s="2141"/>
      <c r="CV748" s="2141"/>
      <c r="CW748" s="2141"/>
      <c r="CX748" s="2141"/>
      <c r="CY748" s="2141"/>
      <c r="CZ748" s="2141"/>
      <c r="DA748" s="2141"/>
      <c r="DB748" s="2141"/>
      <c r="DC748" s="2141"/>
      <c r="DD748" s="2141"/>
      <c r="DE748" s="2141"/>
      <c r="DF748" s="2141"/>
      <c r="DG748" s="2141"/>
      <c r="DH748" s="2141"/>
      <c r="DI748" s="2141"/>
      <c r="DJ748" s="2141"/>
      <c r="DK748" s="2141"/>
      <c r="DL748" s="2141"/>
      <c r="DM748" s="2141"/>
      <c r="DN748" s="2141"/>
      <c r="DO748" s="2141"/>
      <c r="DP748" s="2141"/>
      <c r="DQ748" s="2141"/>
      <c r="DR748" s="2141"/>
      <c r="DS748" s="2141"/>
      <c r="DT748" s="2141"/>
      <c r="DU748" s="2141"/>
      <c r="DV748" s="2141"/>
      <c r="DW748" s="2141"/>
      <c r="DX748" s="2141"/>
      <c r="DY748" s="2141"/>
      <c r="DZ748" s="2141"/>
      <c r="EA748" s="2141"/>
      <c r="EB748" s="2141"/>
      <c r="EC748" s="2141"/>
      <c r="ED748" s="2141"/>
      <c r="EE748" s="2141"/>
      <c r="EF748" s="2141"/>
      <c r="EG748" s="2141"/>
      <c r="EH748" s="2141"/>
      <c r="EI748" s="2141"/>
      <c r="EJ748" s="2141"/>
      <c r="EK748" s="2141"/>
      <c r="EL748" s="2141"/>
      <c r="EM748" s="2141"/>
      <c r="EN748" s="2141"/>
      <c r="EO748" s="2141"/>
      <c r="EP748" s="2141"/>
      <c r="EQ748" s="2141"/>
      <c r="ER748" s="2141"/>
      <c r="ES748" s="2141"/>
      <c r="ET748" s="2141"/>
      <c r="EU748" s="2141"/>
      <c r="EV748" s="2141"/>
      <c r="EW748" s="2141"/>
      <c r="EX748" s="2141"/>
      <c r="EY748" s="2141"/>
      <c r="EZ748" s="2141"/>
      <c r="FA748" s="2141"/>
      <c r="FB748" s="2141"/>
      <c r="FC748" s="2141"/>
      <c r="FD748" s="2141"/>
      <c r="FE748" s="2141"/>
      <c r="FF748" s="2141"/>
      <c r="FG748" s="2141"/>
      <c r="FH748" s="2141"/>
      <c r="FI748" s="2141"/>
      <c r="FJ748" s="2141"/>
      <c r="FK748" s="2141"/>
      <c r="FL748" s="2141"/>
      <c r="FM748" s="2141"/>
      <c r="FN748" s="2141"/>
      <c r="FO748" s="2141"/>
      <c r="FP748" s="2141"/>
      <c r="FQ748" s="2141"/>
      <c r="FR748" s="2141"/>
      <c r="FS748" s="2141"/>
      <c r="FT748" s="2141"/>
      <c r="FU748" s="2141"/>
      <c r="FV748" s="2141"/>
      <c r="FW748" s="2141"/>
      <c r="FX748" s="2141"/>
      <c r="FY748" s="2141"/>
      <c r="FZ748" s="2141"/>
      <c r="GA748" s="2141"/>
      <c r="GB748" s="2141"/>
      <c r="GC748" s="2141"/>
      <c r="GD748" s="2141"/>
      <c r="GE748" s="2141"/>
      <c r="GF748" s="2141"/>
      <c r="GG748" s="2141"/>
      <c r="GH748" s="2141"/>
      <c r="GI748" s="2141"/>
      <c r="GJ748" s="2141"/>
      <c r="GK748" s="2141"/>
      <c r="GL748" s="2141"/>
      <c r="GM748" s="2141"/>
      <c r="GN748" s="2141"/>
      <c r="GO748" s="2141"/>
      <c r="GP748" s="2141"/>
      <c r="GQ748" s="2141"/>
      <c r="GR748" s="2141"/>
      <c r="GS748" s="2141"/>
      <c r="GT748" s="2141"/>
      <c r="GU748" s="2141"/>
      <c r="GV748" s="2141"/>
      <c r="GW748" s="2141"/>
      <c r="GX748" s="2141"/>
      <c r="GY748" s="2141"/>
      <c r="GZ748" s="2141"/>
      <c r="HA748" s="2141"/>
      <c r="HB748" s="2141"/>
      <c r="HC748" s="2141"/>
      <c r="HD748" s="2141"/>
      <c r="HE748" s="2141"/>
      <c r="HF748" s="2141"/>
      <c r="HG748" s="2141"/>
      <c r="HH748" s="2141"/>
      <c r="HI748" s="2141"/>
      <c r="HJ748" s="2141"/>
      <c r="HK748" s="2141"/>
      <c r="HL748" s="2141"/>
      <c r="HM748" s="2141"/>
      <c r="HN748" s="2141"/>
      <c r="HO748" s="2141"/>
      <c r="HP748" s="2141"/>
      <c r="HQ748" s="2141"/>
      <c r="HR748" s="2141"/>
      <c r="HS748" s="2141"/>
      <c r="HT748" s="2141"/>
      <c r="HU748" s="2141"/>
      <c r="HV748" s="2141"/>
      <c r="HW748" s="2141"/>
      <c r="HX748" s="2141"/>
      <c r="HY748" s="2141"/>
      <c r="HZ748" s="2141"/>
      <c r="IA748" s="2141"/>
      <c r="IB748" s="2141"/>
      <c r="IC748" s="2141"/>
      <c r="ID748" s="2141"/>
      <c r="IE748" s="2141"/>
      <c r="IF748" s="2141"/>
      <c r="IG748" s="2141"/>
      <c r="IH748" s="2141"/>
      <c r="II748" s="2141"/>
      <c r="IJ748" s="2141"/>
      <c r="IK748" s="2141"/>
      <c r="IL748" s="2141"/>
      <c r="IM748" s="2141"/>
      <c r="IN748" s="2141"/>
      <c r="IO748" s="2141"/>
      <c r="IP748" s="2141"/>
      <c r="IQ748" s="2141"/>
      <c r="IR748" s="2141"/>
      <c r="IS748" s="2141"/>
      <c r="IT748" s="2141"/>
      <c r="IU748" s="2141"/>
      <c r="IV748" s="2141"/>
    </row>
    <row r="749" spans="1:261" ht="64.5" customHeight="1">
      <c r="A749" s="599">
        <v>5</v>
      </c>
      <c r="B749" s="2474"/>
      <c r="C749" s="2476"/>
      <c r="D749" s="2478"/>
      <c r="E749" s="610"/>
      <c r="F749" s="2478"/>
      <c r="G749" s="599"/>
      <c r="H749" s="599"/>
      <c r="I749" s="599"/>
      <c r="J749" s="599"/>
      <c r="K749" s="599"/>
      <c r="L749" s="599"/>
      <c r="M749" s="610" t="s">
        <v>5597</v>
      </c>
      <c r="N749" s="2021" t="s">
        <v>5598</v>
      </c>
      <c r="O749" s="2340">
        <v>1484000</v>
      </c>
      <c r="P749" s="599"/>
      <c r="Q749" s="599"/>
      <c r="R749" s="599"/>
      <c r="S749" s="599"/>
      <c r="T749" s="599"/>
      <c r="U749" s="599"/>
      <c r="V749" s="599"/>
    </row>
    <row r="750" spans="1:261" ht="154.5" customHeight="1">
      <c r="A750" s="599">
        <v>6</v>
      </c>
      <c r="B750" s="1882" t="s">
        <v>5479</v>
      </c>
      <c r="C750" s="599" t="s">
        <v>5603</v>
      </c>
      <c r="D750" s="2278" t="s">
        <v>5483</v>
      </c>
      <c r="E750" s="599"/>
      <c r="F750" s="599" t="s">
        <v>5481</v>
      </c>
      <c r="G750" s="599"/>
      <c r="H750" s="599"/>
      <c r="I750" s="599"/>
      <c r="J750" s="1791" t="s">
        <v>5605</v>
      </c>
      <c r="K750" s="1793" t="s">
        <v>5604</v>
      </c>
      <c r="L750" s="599"/>
      <c r="M750" s="2021" t="s">
        <v>5601</v>
      </c>
      <c r="N750" s="2021" t="s">
        <v>5602</v>
      </c>
      <c r="O750" s="599">
        <v>2279000</v>
      </c>
      <c r="P750" s="599"/>
      <c r="Q750" s="2344"/>
      <c r="R750" s="599"/>
      <c r="S750" s="599"/>
      <c r="T750" s="599"/>
      <c r="U750" s="599"/>
      <c r="V750" s="599"/>
    </row>
    <row r="751" spans="1:261" ht="222" customHeight="1">
      <c r="A751" s="599">
        <v>7</v>
      </c>
      <c r="B751" s="1882" t="s">
        <v>5496</v>
      </c>
      <c r="C751" s="599" t="s">
        <v>5498</v>
      </c>
      <c r="D751" s="610" t="s">
        <v>5497</v>
      </c>
      <c r="E751" s="610"/>
      <c r="F751" s="2021">
        <v>415000</v>
      </c>
      <c r="G751" s="599"/>
      <c r="H751" s="599"/>
      <c r="I751" s="599"/>
      <c r="J751" s="599"/>
      <c r="K751" s="599"/>
      <c r="L751" s="599"/>
      <c r="M751" s="599"/>
      <c r="N751" s="599"/>
      <c r="O751" s="599"/>
      <c r="P751" s="599"/>
      <c r="Q751" s="599"/>
      <c r="R751" s="599"/>
      <c r="S751" s="599"/>
      <c r="T751" s="599"/>
      <c r="U751" s="599"/>
      <c r="V751" s="599"/>
    </row>
    <row r="752" spans="1:261" ht="107.25" customHeight="1" thickBot="1">
      <c r="A752" s="2326"/>
      <c r="B752" s="2326" t="s">
        <v>5606</v>
      </c>
      <c r="C752" s="2326" t="s">
        <v>5563</v>
      </c>
      <c r="D752" s="2320"/>
      <c r="E752" s="2304"/>
      <c r="F752" s="2319">
        <v>209840</v>
      </c>
      <c r="G752" s="2304"/>
      <c r="H752" s="2304"/>
      <c r="I752" s="2304"/>
      <c r="J752" s="2304"/>
      <c r="K752" s="2304"/>
      <c r="L752" s="2304"/>
      <c r="M752" s="2304"/>
      <c r="N752" s="2304"/>
      <c r="O752" s="2304"/>
      <c r="P752" s="2304"/>
      <c r="Q752" s="2304"/>
      <c r="R752" s="2304"/>
      <c r="S752" s="2304"/>
      <c r="T752" s="2304"/>
      <c r="U752" s="2304"/>
    </row>
    <row r="753" spans="1:256" ht="66.75" customHeight="1">
      <c r="A753" s="2327"/>
      <c r="B753" s="2328" t="s">
        <v>5568</v>
      </c>
      <c r="C753" s="2329" t="s">
        <v>5567</v>
      </c>
      <c r="D753" s="983" t="s">
        <v>5569</v>
      </c>
      <c r="E753" s="2304"/>
      <c r="F753" s="2304" t="s">
        <v>5570</v>
      </c>
      <c r="G753" s="2304"/>
      <c r="H753" s="2304"/>
      <c r="I753" s="2304"/>
      <c r="J753" s="2304"/>
      <c r="K753" s="2304"/>
      <c r="L753" s="2304"/>
      <c r="M753" s="2304"/>
      <c r="N753" s="2304"/>
      <c r="O753" s="2304"/>
      <c r="P753" s="2304"/>
      <c r="Q753" s="2304"/>
      <c r="R753" s="2304"/>
      <c r="S753" s="2304"/>
      <c r="T753" s="2304"/>
      <c r="U753" s="2304"/>
    </row>
    <row r="754" spans="1:256" ht="30.75" thickBot="1">
      <c r="A754" s="2330"/>
      <c r="B754" s="1842" t="s">
        <v>5581</v>
      </c>
      <c r="C754" s="2331" t="s">
        <v>5584</v>
      </c>
      <c r="D754" s="983" t="s">
        <v>5582</v>
      </c>
      <c r="E754" s="2304"/>
      <c r="F754" s="2304" t="s">
        <v>5583</v>
      </c>
      <c r="G754" s="2304"/>
      <c r="H754" s="2304"/>
      <c r="I754" s="2304"/>
      <c r="J754" s="2304"/>
      <c r="K754" s="2304"/>
      <c r="L754" s="2304"/>
      <c r="M754" s="2304"/>
      <c r="N754" s="2304"/>
      <c r="O754" s="2304"/>
      <c r="P754" s="2304"/>
      <c r="Q754" s="2304"/>
      <c r="R754" s="2304"/>
      <c r="S754" s="2304"/>
      <c r="T754" s="2304"/>
      <c r="U754" s="2304"/>
    </row>
    <row r="755" spans="1:256" s="2151" customFormat="1" ht="140.25" customHeight="1">
      <c r="A755" s="2203"/>
      <c r="B755" s="2249" t="s">
        <v>5337</v>
      </c>
      <c r="C755" s="599" t="s">
        <v>5338</v>
      </c>
      <c r="D755" s="2021" t="s">
        <v>5470</v>
      </c>
      <c r="E755" s="1871"/>
      <c r="F755" s="2229" t="s">
        <v>5339</v>
      </c>
      <c r="G755" s="893"/>
      <c r="H755" s="890"/>
      <c r="I755" s="890"/>
      <c r="J755" s="890" t="s">
        <v>5614</v>
      </c>
      <c r="K755" s="1337"/>
      <c r="L755" s="890"/>
      <c r="M755" s="890"/>
      <c r="N755" s="893"/>
      <c r="O755" s="890"/>
      <c r="P755" s="890"/>
      <c r="Q755" s="893"/>
      <c r="R755" s="890"/>
      <c r="S755" s="890"/>
      <c r="T755" s="890"/>
      <c r="U755" s="2203"/>
      <c r="V755" s="2203"/>
      <c r="W755" s="2203"/>
      <c r="X755" s="2203"/>
      <c r="Y755" s="2208"/>
      <c r="Z755" s="2141"/>
      <c r="AA755" s="2141"/>
      <c r="AB755" s="2203"/>
      <c r="AC755" s="2141"/>
      <c r="AD755" s="2203"/>
      <c r="AE755" s="2203"/>
      <c r="AF755" s="2203"/>
      <c r="AG755" s="2203"/>
      <c r="AH755" s="2203"/>
      <c r="AI755" s="1085"/>
      <c r="AJ755" s="1085"/>
      <c r="AK755" s="1085"/>
      <c r="AL755" s="1085"/>
      <c r="AM755" s="1085"/>
      <c r="AN755" s="1085"/>
      <c r="AO755" s="1085"/>
      <c r="AP755" s="1085"/>
      <c r="AQ755" s="1085"/>
      <c r="AR755" s="1085"/>
      <c r="AS755" s="1085"/>
      <c r="AT755" s="1085"/>
      <c r="AU755" s="1085"/>
      <c r="AV755" s="1085"/>
      <c r="AW755" s="1085"/>
      <c r="AX755" s="1085"/>
      <c r="AY755" s="1085"/>
      <c r="AZ755" s="1085"/>
      <c r="BA755" s="1085"/>
      <c r="BB755" s="1085"/>
      <c r="BC755" s="1085"/>
      <c r="BD755" s="1085"/>
      <c r="BE755" s="1085"/>
      <c r="BF755" s="1085"/>
      <c r="BG755" s="1085"/>
      <c r="BH755" s="1085"/>
      <c r="BI755" s="1085"/>
      <c r="BJ755" s="1085"/>
      <c r="BK755" s="1085"/>
      <c r="BL755" s="1085"/>
      <c r="BM755" s="1085"/>
      <c r="BN755" s="1085"/>
      <c r="BO755" s="1085"/>
      <c r="BP755" s="1085"/>
      <c r="BQ755" s="1085"/>
      <c r="BR755" s="1085"/>
      <c r="BS755" s="1085"/>
      <c r="BT755" s="1085"/>
      <c r="BU755" s="1085"/>
      <c r="BV755" s="1085"/>
      <c r="BW755" s="1085"/>
      <c r="BX755" s="1085"/>
      <c r="BY755" s="1085"/>
      <c r="BZ755" s="1085"/>
      <c r="CA755" s="1085"/>
      <c r="CB755" s="1085"/>
      <c r="CC755" s="1085"/>
      <c r="CD755" s="1085"/>
      <c r="CE755" s="1085"/>
      <c r="CF755" s="1085"/>
      <c r="CG755" s="1085"/>
      <c r="CH755" s="1085"/>
      <c r="CI755" s="1085"/>
      <c r="CJ755" s="1085"/>
      <c r="CK755" s="1085"/>
      <c r="CL755" s="1085"/>
      <c r="CM755" s="1085"/>
      <c r="CN755" s="1085"/>
      <c r="CO755" s="1085"/>
      <c r="CP755" s="1085"/>
      <c r="CQ755" s="1085"/>
      <c r="CR755" s="1085"/>
      <c r="CS755" s="1085"/>
      <c r="CT755" s="1085"/>
      <c r="CU755" s="1085"/>
      <c r="CV755" s="1085"/>
      <c r="CW755" s="1085"/>
      <c r="CX755" s="1085"/>
      <c r="CY755" s="1085"/>
      <c r="CZ755" s="1085"/>
      <c r="DA755" s="1085"/>
      <c r="DB755" s="1085"/>
      <c r="DC755" s="1085"/>
      <c r="DD755" s="1085"/>
      <c r="DE755" s="1085"/>
      <c r="DF755" s="1085"/>
      <c r="DG755" s="1085"/>
      <c r="DH755" s="1085"/>
      <c r="DI755" s="1085"/>
      <c r="DJ755" s="1085"/>
      <c r="DK755" s="1085"/>
      <c r="DL755" s="1085"/>
      <c r="DM755" s="1085"/>
      <c r="DN755" s="1085"/>
      <c r="DO755" s="1085"/>
      <c r="DP755" s="1085"/>
      <c r="DQ755" s="1085"/>
      <c r="DR755" s="1085"/>
      <c r="DS755" s="1085"/>
      <c r="DT755" s="1085"/>
      <c r="DU755" s="1085"/>
      <c r="DV755" s="1085"/>
      <c r="DW755" s="1085"/>
      <c r="DX755" s="1085"/>
      <c r="DY755" s="1085"/>
      <c r="DZ755" s="1085"/>
      <c r="EA755" s="1085"/>
      <c r="EB755" s="1085"/>
      <c r="EC755" s="1085"/>
      <c r="ED755" s="1085"/>
      <c r="EE755" s="1085"/>
      <c r="EF755" s="1085"/>
      <c r="EG755" s="1085"/>
      <c r="EH755" s="1085"/>
      <c r="EI755" s="1085"/>
      <c r="EJ755" s="1085"/>
      <c r="EK755" s="1085"/>
      <c r="EL755" s="1085"/>
      <c r="EM755" s="1085"/>
      <c r="EN755" s="1085"/>
      <c r="EO755" s="1085"/>
      <c r="EP755" s="1085"/>
      <c r="EQ755" s="1085"/>
      <c r="ER755" s="1085"/>
      <c r="ES755" s="1085"/>
      <c r="ET755" s="1085"/>
      <c r="EU755" s="1085"/>
      <c r="EV755" s="1085"/>
      <c r="EW755" s="1085"/>
      <c r="EX755" s="1085"/>
      <c r="EY755" s="1085"/>
      <c r="EZ755" s="1085"/>
      <c r="FA755" s="1085"/>
      <c r="FB755" s="1085"/>
      <c r="FC755" s="1085"/>
      <c r="FD755" s="1085"/>
      <c r="FE755" s="1085"/>
      <c r="FF755" s="1085"/>
      <c r="FG755" s="1085"/>
      <c r="FH755" s="1085"/>
      <c r="FI755" s="1085"/>
      <c r="FJ755" s="1085"/>
      <c r="FK755" s="1085"/>
      <c r="FL755" s="1085"/>
      <c r="FM755" s="1085"/>
      <c r="FN755" s="1085"/>
      <c r="FO755" s="1085"/>
      <c r="FP755" s="1085"/>
      <c r="FQ755" s="1085"/>
      <c r="FR755" s="1085"/>
      <c r="FS755" s="1085"/>
      <c r="FT755" s="1085"/>
      <c r="FU755" s="1085"/>
      <c r="FV755" s="1085"/>
      <c r="FW755" s="1085"/>
      <c r="FX755" s="1085"/>
      <c r="FY755" s="1085"/>
      <c r="FZ755" s="1085"/>
      <c r="GA755" s="1085"/>
      <c r="GB755" s="1085"/>
      <c r="GC755" s="1085"/>
      <c r="GD755" s="1085"/>
      <c r="GE755" s="1085"/>
      <c r="GF755" s="1085"/>
      <c r="GG755" s="1085"/>
      <c r="GH755" s="1085"/>
      <c r="GI755" s="1085"/>
      <c r="GJ755" s="1085"/>
      <c r="GK755" s="1085"/>
      <c r="GL755" s="1085"/>
      <c r="GM755" s="1085"/>
      <c r="GN755" s="1085"/>
      <c r="GO755" s="1085"/>
      <c r="GP755" s="1085"/>
      <c r="GQ755" s="1085"/>
      <c r="GR755" s="1085"/>
      <c r="GS755" s="1085"/>
      <c r="GT755" s="1085"/>
      <c r="GU755" s="1085"/>
      <c r="GV755" s="1085"/>
      <c r="GW755" s="1085"/>
      <c r="GX755" s="1085"/>
      <c r="GY755" s="1085"/>
      <c r="GZ755" s="1085"/>
      <c r="HA755" s="1085"/>
      <c r="HB755" s="1085"/>
      <c r="HC755" s="1085"/>
      <c r="HD755" s="1085"/>
      <c r="HE755" s="1085"/>
      <c r="HF755" s="1085"/>
      <c r="HG755" s="1085"/>
      <c r="HH755" s="1085"/>
      <c r="HI755" s="1085"/>
      <c r="HJ755" s="1085"/>
      <c r="HK755" s="1085"/>
      <c r="HL755" s="1085"/>
      <c r="HM755" s="1085"/>
      <c r="HN755" s="1085"/>
      <c r="HO755" s="1085"/>
      <c r="HP755" s="1085"/>
      <c r="HQ755" s="1085"/>
      <c r="HR755" s="1085"/>
      <c r="HS755" s="1085"/>
      <c r="HT755" s="1085"/>
      <c r="HU755" s="1085"/>
      <c r="HV755" s="1085"/>
      <c r="HW755" s="1085"/>
      <c r="HX755" s="1085"/>
      <c r="HY755" s="1085"/>
      <c r="HZ755" s="1085"/>
      <c r="IA755" s="1085"/>
      <c r="IB755" s="1085"/>
      <c r="IC755" s="1085"/>
      <c r="ID755" s="1085"/>
      <c r="IE755" s="1085"/>
      <c r="IF755" s="1085"/>
      <c r="IG755" s="1085"/>
      <c r="IH755" s="1085"/>
      <c r="II755" s="1085"/>
      <c r="IJ755" s="1085"/>
      <c r="IK755" s="1085"/>
      <c r="IL755" s="1085"/>
      <c r="IM755" s="1085"/>
      <c r="IN755" s="1085"/>
      <c r="IO755" s="1085"/>
      <c r="IP755" s="1085"/>
      <c r="IQ755" s="1085"/>
      <c r="IR755" s="1085"/>
      <c r="IS755" s="1085"/>
      <c r="IT755" s="1085"/>
      <c r="IU755" s="1085"/>
      <c r="IV755" s="1085"/>
    </row>
    <row r="756" spans="1:256">
      <c r="A756" s="2304"/>
      <c r="B756" s="2304"/>
      <c r="C756" s="2304"/>
      <c r="D756" s="2304"/>
      <c r="E756" s="2304"/>
      <c r="F756" s="2304"/>
      <c r="G756" s="2304"/>
      <c r="H756" s="2304"/>
      <c r="I756" s="2304"/>
      <c r="J756" s="2304"/>
      <c r="K756" s="2304"/>
      <c r="L756" s="2304"/>
      <c r="M756" s="2304"/>
      <c r="N756" s="2304"/>
      <c r="O756" s="2304"/>
      <c r="P756" s="2304"/>
      <c r="Q756" s="2304"/>
      <c r="R756" s="2304"/>
      <c r="S756" s="2304"/>
      <c r="T756" s="2304"/>
      <c r="U756" s="2304"/>
    </row>
    <row r="757" spans="1:256">
      <c r="J757" s="973"/>
    </row>
    <row r="758" spans="1:256">
      <c r="J758" s="973"/>
    </row>
    <row r="759" spans="1:256">
      <c r="J759" s="973"/>
    </row>
    <row r="760" spans="1:256">
      <c r="E760" s="973" t="s">
        <v>571</v>
      </c>
      <c r="J760" s="973"/>
    </row>
    <row r="761" spans="1:256">
      <c r="J761" s="973"/>
    </row>
    <row r="762" spans="1:256">
      <c r="J762" s="973"/>
    </row>
    <row r="763" spans="1:256">
      <c r="J763" s="973"/>
    </row>
    <row r="764" spans="1:256">
      <c r="J764" s="973"/>
    </row>
    <row r="765" spans="1:256">
      <c r="J765" s="973"/>
    </row>
    <row r="766" spans="1:256">
      <c r="J766" s="973"/>
    </row>
    <row r="767" spans="1:256">
      <c r="J767" s="973"/>
    </row>
    <row r="768" spans="1:256">
      <c r="J768" s="973"/>
    </row>
    <row r="769" spans="10:10">
      <c r="J769" s="973"/>
    </row>
    <row r="770" spans="10:10">
      <c r="J770" s="973"/>
    </row>
    <row r="771" spans="10:10">
      <c r="J771" s="973"/>
    </row>
    <row r="772" spans="10:10">
      <c r="J772" s="973"/>
    </row>
    <row r="773" spans="10:10">
      <c r="J773" s="973"/>
    </row>
    <row r="774" spans="10:10">
      <c r="J774" s="973"/>
    </row>
    <row r="775" spans="10:10">
      <c r="J775" s="973"/>
    </row>
    <row r="776" spans="10:10">
      <c r="J776" s="973"/>
    </row>
    <row r="777" spans="10:10">
      <c r="J777" s="973"/>
    </row>
    <row r="778" spans="10:10">
      <c r="J778" s="973"/>
    </row>
    <row r="779" spans="10:10">
      <c r="J779" s="973"/>
    </row>
    <row r="780" spans="10:10">
      <c r="J780" s="973"/>
    </row>
    <row r="781" spans="10:10">
      <c r="J781" s="973"/>
    </row>
    <row r="782" spans="10:10">
      <c r="J782" s="973"/>
    </row>
    <row r="783" spans="10:10">
      <c r="J783" s="973"/>
    </row>
    <row r="784" spans="10:10">
      <c r="J784" s="973"/>
    </row>
    <row r="785" spans="10:10">
      <c r="J785" s="973"/>
    </row>
    <row r="786" spans="10:10">
      <c r="J786" s="973"/>
    </row>
    <row r="787" spans="10:10">
      <c r="J787" s="973"/>
    </row>
    <row r="788" spans="10:10">
      <c r="J788" s="973"/>
    </row>
    <row r="789" spans="10:10">
      <c r="J789" s="973"/>
    </row>
    <row r="790" spans="10:10">
      <c r="J790" s="973"/>
    </row>
    <row r="791" spans="10:10">
      <c r="J791" s="973"/>
    </row>
    <row r="792" spans="10:10">
      <c r="J792" s="973"/>
    </row>
    <row r="793" spans="10:10">
      <c r="J793" s="973"/>
    </row>
    <row r="794" spans="10:10">
      <c r="J794" s="973"/>
    </row>
    <row r="795" spans="10:10">
      <c r="J795" s="973"/>
    </row>
    <row r="796" spans="10:10">
      <c r="J796" s="973"/>
    </row>
    <row r="797" spans="10:10">
      <c r="J797" s="973"/>
    </row>
    <row r="798" spans="10:10">
      <c r="J798" s="973"/>
    </row>
    <row r="799" spans="10:10">
      <c r="J799" s="973"/>
    </row>
    <row r="800" spans="10:10">
      <c r="J800" s="973"/>
    </row>
    <row r="801" spans="10:10">
      <c r="J801" s="973"/>
    </row>
    <row r="802" spans="10:10">
      <c r="J802" s="973"/>
    </row>
    <row r="803" spans="10:10">
      <c r="J803" s="973"/>
    </row>
    <row r="804" spans="10:10">
      <c r="J804" s="973"/>
    </row>
    <row r="805" spans="10:10">
      <c r="J805" s="973"/>
    </row>
    <row r="806" spans="10:10">
      <c r="J806" s="973"/>
    </row>
    <row r="807" spans="10:10">
      <c r="J807" s="973"/>
    </row>
    <row r="808" spans="10:10">
      <c r="J808" s="973"/>
    </row>
    <row r="809" spans="10:10">
      <c r="J809" s="973"/>
    </row>
    <row r="810" spans="10:10">
      <c r="J810" s="973"/>
    </row>
    <row r="811" spans="10:10">
      <c r="J811" s="973"/>
    </row>
    <row r="812" spans="10:10">
      <c r="J812" s="973"/>
    </row>
    <row r="813" spans="10:10">
      <c r="J813" s="973"/>
    </row>
    <row r="814" spans="10:10">
      <c r="J814" s="973"/>
    </row>
    <row r="815" spans="10:10">
      <c r="J815" s="973"/>
    </row>
    <row r="816" spans="10:10">
      <c r="J816" s="973"/>
    </row>
    <row r="817" spans="10:10">
      <c r="J817" s="973"/>
    </row>
    <row r="818" spans="10:10">
      <c r="J818" s="973"/>
    </row>
    <row r="819" spans="10:10">
      <c r="J819" s="973"/>
    </row>
    <row r="820" spans="10:10">
      <c r="J820" s="973"/>
    </row>
    <row r="821" spans="10:10">
      <c r="J821" s="973"/>
    </row>
    <row r="822" spans="10:10">
      <c r="J822" s="973"/>
    </row>
    <row r="823" spans="10:10">
      <c r="J823" s="973"/>
    </row>
    <row r="824" spans="10:10">
      <c r="J824" s="973"/>
    </row>
    <row r="825" spans="10:10">
      <c r="J825" s="973"/>
    </row>
    <row r="826" spans="10:10">
      <c r="J826" s="973"/>
    </row>
    <row r="827" spans="10:10">
      <c r="J827" s="973"/>
    </row>
    <row r="828" spans="10:10">
      <c r="J828" s="973"/>
    </row>
    <row r="829" spans="10:10">
      <c r="J829" s="973"/>
    </row>
    <row r="830" spans="10:10">
      <c r="J830" s="973"/>
    </row>
    <row r="831" spans="10:10">
      <c r="J831" s="973"/>
    </row>
    <row r="832" spans="10:10">
      <c r="J832" s="973"/>
    </row>
    <row r="833" spans="10:10">
      <c r="J833" s="973"/>
    </row>
    <row r="834" spans="10:10">
      <c r="J834" s="973"/>
    </row>
    <row r="835" spans="10:10">
      <c r="J835" s="973"/>
    </row>
    <row r="836" spans="10:10">
      <c r="J836" s="973"/>
    </row>
    <row r="837" spans="10:10">
      <c r="J837" s="973"/>
    </row>
    <row r="838" spans="10:10">
      <c r="J838" s="973"/>
    </row>
    <row r="839" spans="10:10">
      <c r="J839" s="973"/>
    </row>
    <row r="840" spans="10:10">
      <c r="J840" s="973"/>
    </row>
    <row r="841" spans="10:10">
      <c r="J841" s="973"/>
    </row>
    <row r="842" spans="10:10">
      <c r="J842" s="973"/>
    </row>
    <row r="843" spans="10:10">
      <c r="J843" s="973"/>
    </row>
    <row r="844" spans="10:10">
      <c r="J844" s="973"/>
    </row>
    <row r="845" spans="10:10">
      <c r="J845" s="973"/>
    </row>
    <row r="846" spans="10:10">
      <c r="J846" s="973"/>
    </row>
    <row r="847" spans="10:10">
      <c r="J847" s="973"/>
    </row>
    <row r="848" spans="10:10">
      <c r="J848" s="973"/>
    </row>
    <row r="849" spans="10:10">
      <c r="J849" s="973"/>
    </row>
    <row r="850" spans="10:10">
      <c r="J850" s="973"/>
    </row>
    <row r="851" spans="10:10">
      <c r="J851" s="973"/>
    </row>
    <row r="852" spans="10:10">
      <c r="J852" s="973"/>
    </row>
    <row r="853" spans="10:10">
      <c r="J853" s="973"/>
    </row>
    <row r="854" spans="10:10">
      <c r="J854" s="973"/>
    </row>
    <row r="855" spans="10:10">
      <c r="J855" s="973"/>
    </row>
    <row r="856" spans="10:10">
      <c r="J856" s="973"/>
    </row>
    <row r="857" spans="10:10">
      <c r="J857" s="973"/>
    </row>
    <row r="858" spans="10:10">
      <c r="J858" s="973"/>
    </row>
    <row r="859" spans="10:10">
      <c r="J859" s="973"/>
    </row>
    <row r="860" spans="10:10">
      <c r="J860" s="973"/>
    </row>
    <row r="861" spans="10:10">
      <c r="J861" s="973"/>
    </row>
    <row r="862" spans="10:10">
      <c r="J862" s="973"/>
    </row>
    <row r="863" spans="10:10">
      <c r="J863" s="973"/>
    </row>
    <row r="864" spans="10:10">
      <c r="J864" s="973"/>
    </row>
    <row r="865" spans="10:10">
      <c r="J865" s="973"/>
    </row>
    <row r="866" spans="10:10">
      <c r="J866" s="973"/>
    </row>
    <row r="867" spans="10:10">
      <c r="J867" s="973"/>
    </row>
    <row r="868" spans="10:10">
      <c r="J868" s="973"/>
    </row>
    <row r="869" spans="10:10">
      <c r="J869" s="973"/>
    </row>
    <row r="870" spans="10:10">
      <c r="J870" s="973"/>
    </row>
    <row r="871" spans="10:10">
      <c r="J871" s="973"/>
    </row>
    <row r="872" spans="10:10">
      <c r="J872" s="973"/>
    </row>
    <row r="873" spans="10:10">
      <c r="J873" s="973"/>
    </row>
    <row r="874" spans="10:10">
      <c r="J874" s="973"/>
    </row>
    <row r="875" spans="10:10">
      <c r="J875" s="973"/>
    </row>
    <row r="876" spans="10:10">
      <c r="J876" s="973"/>
    </row>
    <row r="877" spans="10:10">
      <c r="J877" s="973"/>
    </row>
    <row r="878" spans="10:10">
      <c r="J878" s="973"/>
    </row>
    <row r="879" spans="10:10">
      <c r="J879" s="973"/>
    </row>
    <row r="880" spans="10:10">
      <c r="J880" s="973"/>
    </row>
    <row r="881" spans="10:10">
      <c r="J881" s="973"/>
    </row>
    <row r="882" spans="10:10">
      <c r="J882" s="973"/>
    </row>
    <row r="883" spans="10:10">
      <c r="J883" s="973"/>
    </row>
    <row r="884" spans="10:10">
      <c r="J884" s="973"/>
    </row>
    <row r="885" spans="10:10">
      <c r="J885" s="973"/>
    </row>
    <row r="886" spans="10:10">
      <c r="J886" s="973"/>
    </row>
    <row r="887" spans="10:10">
      <c r="J887" s="973"/>
    </row>
    <row r="888" spans="10:10">
      <c r="J888" s="973"/>
    </row>
    <row r="889" spans="10:10">
      <c r="J889" s="973"/>
    </row>
    <row r="890" spans="10:10">
      <c r="J890" s="973"/>
    </row>
    <row r="891" spans="10:10">
      <c r="J891" s="973"/>
    </row>
    <row r="892" spans="10:10">
      <c r="J892" s="973"/>
    </row>
    <row r="893" spans="10:10">
      <c r="J893" s="973"/>
    </row>
    <row r="894" spans="10:10">
      <c r="J894" s="973"/>
    </row>
    <row r="895" spans="10:10">
      <c r="J895" s="973"/>
    </row>
    <row r="896" spans="10:10">
      <c r="J896" s="973"/>
    </row>
    <row r="897" spans="10:10">
      <c r="J897" s="973"/>
    </row>
    <row r="898" spans="10:10">
      <c r="J898" s="973"/>
    </row>
    <row r="899" spans="10:10">
      <c r="J899" s="973"/>
    </row>
    <row r="900" spans="10:10">
      <c r="J900" s="973"/>
    </row>
    <row r="901" spans="10:10">
      <c r="J901" s="973"/>
    </row>
    <row r="902" spans="10:10">
      <c r="J902" s="973"/>
    </row>
    <row r="903" spans="10:10">
      <c r="J903" s="973"/>
    </row>
    <row r="904" spans="10:10">
      <c r="J904" s="973"/>
    </row>
    <row r="905" spans="10:10">
      <c r="J905" s="973"/>
    </row>
    <row r="906" spans="10:10">
      <c r="J906" s="973"/>
    </row>
    <row r="907" spans="10:10">
      <c r="J907" s="973"/>
    </row>
    <row r="908" spans="10:10">
      <c r="J908" s="973"/>
    </row>
    <row r="909" spans="10:10">
      <c r="J909" s="973"/>
    </row>
    <row r="910" spans="10:10">
      <c r="J910" s="973"/>
    </row>
    <row r="911" spans="10:10">
      <c r="J911" s="973"/>
    </row>
    <row r="912" spans="10:10">
      <c r="J912" s="973"/>
    </row>
    <row r="913" spans="10:10">
      <c r="J913" s="973"/>
    </row>
    <row r="914" spans="10:10">
      <c r="J914" s="973"/>
    </row>
    <row r="915" spans="10:10">
      <c r="J915" s="973"/>
    </row>
    <row r="916" spans="10:10">
      <c r="J916" s="973"/>
    </row>
    <row r="917" spans="10:10">
      <c r="J917" s="973"/>
    </row>
    <row r="918" spans="10:10">
      <c r="J918" s="973"/>
    </row>
    <row r="919" spans="10:10">
      <c r="J919" s="973"/>
    </row>
    <row r="920" spans="10:10">
      <c r="J920" s="973"/>
    </row>
    <row r="921" spans="10:10">
      <c r="J921" s="973"/>
    </row>
    <row r="922" spans="10:10">
      <c r="J922" s="973"/>
    </row>
    <row r="923" spans="10:10">
      <c r="J923" s="973"/>
    </row>
    <row r="924" spans="10:10">
      <c r="J924" s="973"/>
    </row>
    <row r="925" spans="10:10">
      <c r="J925" s="973"/>
    </row>
    <row r="926" spans="10:10">
      <c r="J926" s="973"/>
    </row>
    <row r="927" spans="10:10">
      <c r="J927" s="973"/>
    </row>
    <row r="928" spans="10:10">
      <c r="J928" s="973"/>
    </row>
    <row r="929" spans="10:10">
      <c r="J929" s="973"/>
    </row>
    <row r="930" spans="10:10">
      <c r="J930" s="973"/>
    </row>
    <row r="931" spans="10:10">
      <c r="J931" s="973"/>
    </row>
    <row r="932" spans="10:10">
      <c r="J932" s="973"/>
    </row>
    <row r="933" spans="10:10">
      <c r="J933" s="973"/>
    </row>
    <row r="934" spans="10:10">
      <c r="J934" s="973"/>
    </row>
    <row r="935" spans="10:10">
      <c r="J935" s="973"/>
    </row>
  </sheetData>
  <mergeCells count="831">
    <mergeCell ref="B743:B744"/>
    <mergeCell ref="C743:C744"/>
    <mergeCell ref="D743:D744"/>
    <mergeCell ref="E743:E744"/>
    <mergeCell ref="F743:F744"/>
    <mergeCell ref="K675:K677"/>
    <mergeCell ref="L675:L677"/>
    <mergeCell ref="B670:B671"/>
    <mergeCell ref="D670:D671"/>
    <mergeCell ref="F675:F677"/>
    <mergeCell ref="E675:E677"/>
    <mergeCell ref="B675:B677"/>
    <mergeCell ref="C675:C677"/>
    <mergeCell ref="D675:D677"/>
    <mergeCell ref="I675:I677"/>
    <mergeCell ref="J477:J480"/>
    <mergeCell ref="K477:K480"/>
    <mergeCell ref="H591:H592"/>
    <mergeCell ref="I591:I592"/>
    <mergeCell ref="D561:D562"/>
    <mergeCell ref="E561:E562"/>
    <mergeCell ref="F561:F562"/>
    <mergeCell ref="I531:I532"/>
    <mergeCell ref="K552:K553"/>
    <mergeCell ref="I552:I553"/>
    <mergeCell ref="I542:I543"/>
    <mergeCell ref="J542:J543"/>
    <mergeCell ref="K542:K543"/>
    <mergeCell ref="D566:D567"/>
    <mergeCell ref="J559:J560"/>
    <mergeCell ref="H524:H528"/>
    <mergeCell ref="K513:K514"/>
    <mergeCell ref="D498:D501"/>
    <mergeCell ref="F498:F501"/>
    <mergeCell ref="H498:H501"/>
    <mergeCell ref="G498:G501"/>
    <mergeCell ref="G502:G505"/>
    <mergeCell ref="H502:H505"/>
    <mergeCell ref="I502:I505"/>
    <mergeCell ref="J502:J505"/>
    <mergeCell ref="K502:K505"/>
    <mergeCell ref="E513:E514"/>
    <mergeCell ref="C547:C548"/>
    <mergeCell ref="G524:G528"/>
    <mergeCell ref="J531:J532"/>
    <mergeCell ref="D542:D543"/>
    <mergeCell ref="E542:E543"/>
    <mergeCell ref="C545:C546"/>
    <mergeCell ref="D545:D546"/>
    <mergeCell ref="K531:K532"/>
    <mergeCell ref="G531:G532"/>
    <mergeCell ref="H531:H532"/>
    <mergeCell ref="B542:B544"/>
    <mergeCell ref="F559:F560"/>
    <mergeCell ref="E552:E553"/>
    <mergeCell ref="G559:G560"/>
    <mergeCell ref="B566:B567"/>
    <mergeCell ref="E547:E548"/>
    <mergeCell ref="F547:F548"/>
    <mergeCell ref="E545:E546"/>
    <mergeCell ref="H542:H543"/>
    <mergeCell ref="F545:F546"/>
    <mergeCell ref="C542:C543"/>
    <mergeCell ref="E566:E567"/>
    <mergeCell ref="B552:B553"/>
    <mergeCell ref="F566:F567"/>
    <mergeCell ref="E559:E560"/>
    <mergeCell ref="C552:C553"/>
    <mergeCell ref="B554:B555"/>
    <mergeCell ref="B561:B562"/>
    <mergeCell ref="C561:C562"/>
    <mergeCell ref="G561:G562"/>
    <mergeCell ref="C566:C567"/>
    <mergeCell ref="D552:D553"/>
    <mergeCell ref="F542:F543"/>
    <mergeCell ref="F552:F553"/>
    <mergeCell ref="I561:I562"/>
    <mergeCell ref="A593:A595"/>
    <mergeCell ref="B593:B595"/>
    <mergeCell ref="C593:C595"/>
    <mergeCell ref="D593:D595"/>
    <mergeCell ref="E593:E595"/>
    <mergeCell ref="F593:F595"/>
    <mergeCell ref="A571:A572"/>
    <mergeCell ref="A591:A592"/>
    <mergeCell ref="C580:C581"/>
    <mergeCell ref="D580:D581"/>
    <mergeCell ref="F580:F581"/>
    <mergeCell ref="E580:E581"/>
    <mergeCell ref="G580:G581"/>
    <mergeCell ref="C576:C578"/>
    <mergeCell ref="F589:I589"/>
    <mergeCell ref="C582:C583"/>
    <mergeCell ref="D582:D583"/>
    <mergeCell ref="E582:E583"/>
    <mergeCell ref="F582:F583"/>
    <mergeCell ref="B571:B572"/>
    <mergeCell ref="C571:C572"/>
    <mergeCell ref="T501:U501"/>
    <mergeCell ref="C559:C560"/>
    <mergeCell ref="L556:L558"/>
    <mergeCell ref="K556:K558"/>
    <mergeCell ref="J556:J558"/>
    <mergeCell ref="I556:I558"/>
    <mergeCell ref="H556:H558"/>
    <mergeCell ref="G556:G558"/>
    <mergeCell ref="I524:I528"/>
    <mergeCell ref="J524:J528"/>
    <mergeCell ref="K524:K528"/>
    <mergeCell ref="L513:L514"/>
    <mergeCell ref="E524:E528"/>
    <mergeCell ref="F524:F528"/>
    <mergeCell ref="C557:C558"/>
    <mergeCell ref="F513:F515"/>
    <mergeCell ref="D513:D515"/>
    <mergeCell ref="D559:D560"/>
    <mergeCell ref="E531:E532"/>
    <mergeCell ref="L559:L560"/>
    <mergeCell ref="L552:L553"/>
    <mergeCell ref="G552:G553"/>
    <mergeCell ref="H552:H553"/>
    <mergeCell ref="G542:G543"/>
    <mergeCell ref="O295:O296"/>
    <mergeCell ref="L511:L512"/>
    <mergeCell ref="I513:I514"/>
    <mergeCell ref="H513:H514"/>
    <mergeCell ref="G513:G514"/>
    <mergeCell ref="E511:E512"/>
    <mergeCell ref="K511:K512"/>
    <mergeCell ref="J511:J512"/>
    <mergeCell ref="G511:G512"/>
    <mergeCell ref="H511:H512"/>
    <mergeCell ref="I511:I512"/>
    <mergeCell ref="J513:J514"/>
    <mergeCell ref="J301:J305"/>
    <mergeCell ref="L498:L501"/>
    <mergeCell ref="L502:L505"/>
    <mergeCell ref="F301:F305"/>
    <mergeCell ref="E301:E305"/>
    <mergeCell ref="G301:G305"/>
    <mergeCell ref="H301:H305"/>
    <mergeCell ref="L324:L326"/>
    <mergeCell ref="J379:J382"/>
    <mergeCell ref="K341:K343"/>
    <mergeCell ref="L306:L307"/>
    <mergeCell ref="L308:L309"/>
    <mergeCell ref="B301:B305"/>
    <mergeCell ref="C301:C305"/>
    <mergeCell ref="D301:D305"/>
    <mergeCell ref="B308:B309"/>
    <mergeCell ref="B306:B307"/>
    <mergeCell ref="C306:C307"/>
    <mergeCell ref="D306:D307"/>
    <mergeCell ref="F341:F343"/>
    <mergeCell ref="J341:J343"/>
    <mergeCell ref="G308:G309"/>
    <mergeCell ref="H308:H309"/>
    <mergeCell ref="I301:I305"/>
    <mergeCell ref="B356:B357"/>
    <mergeCell ref="C356:C357"/>
    <mergeCell ref="D356:D357"/>
    <mergeCell ref="E356:E357"/>
    <mergeCell ref="F356:F357"/>
    <mergeCell ref="B359:B360"/>
    <mergeCell ref="C359:C360"/>
    <mergeCell ref="B341:B343"/>
    <mergeCell ref="C341:C343"/>
    <mergeCell ref="D341:D343"/>
    <mergeCell ref="A165:A167"/>
    <mergeCell ref="B165:B167"/>
    <mergeCell ref="A184:A188"/>
    <mergeCell ref="H169:H170"/>
    <mergeCell ref="B173:B175"/>
    <mergeCell ref="D174:D175"/>
    <mergeCell ref="E174:E175"/>
    <mergeCell ref="F174:F175"/>
    <mergeCell ref="G174:G175"/>
    <mergeCell ref="H174:H175"/>
    <mergeCell ref="B182:B183"/>
    <mergeCell ref="C182:C183"/>
    <mergeCell ref="A176:A180"/>
    <mergeCell ref="B176:B180"/>
    <mergeCell ref="C176:C180"/>
    <mergeCell ref="B202:B203"/>
    <mergeCell ref="C202:C203"/>
    <mergeCell ref="A241:A242"/>
    <mergeCell ref="B241:B242"/>
    <mergeCell ref="C241:C242"/>
    <mergeCell ref="D202:D203"/>
    <mergeCell ref="E202:E203"/>
    <mergeCell ref="F202:F203"/>
    <mergeCell ref="B210:B213"/>
    <mergeCell ref="C210:C211"/>
    <mergeCell ref="D210:D211"/>
    <mergeCell ref="F210:F211"/>
    <mergeCell ref="F106:F107"/>
    <mergeCell ref="B108:B111"/>
    <mergeCell ref="C108:C110"/>
    <mergeCell ref="D108:D110"/>
    <mergeCell ref="E108:E110"/>
    <mergeCell ref="F108:F109"/>
    <mergeCell ref="A162:A163"/>
    <mergeCell ref="B162:B163"/>
    <mergeCell ref="C162:C163"/>
    <mergeCell ref="D162:D163"/>
    <mergeCell ref="E162:E163"/>
    <mergeCell ref="F162:F163"/>
    <mergeCell ref="A67:A72"/>
    <mergeCell ref="B67:B72"/>
    <mergeCell ref="C67:C72"/>
    <mergeCell ref="D67:D72"/>
    <mergeCell ref="E67:E71"/>
    <mergeCell ref="B106:B107"/>
    <mergeCell ref="C106:C107"/>
    <mergeCell ref="D106:D107"/>
    <mergeCell ref="E106:E107"/>
    <mergeCell ref="B87:B89"/>
    <mergeCell ref="C87:C89"/>
    <mergeCell ref="A41:A44"/>
    <mergeCell ref="B41:B44"/>
    <mergeCell ref="C41:C44"/>
    <mergeCell ref="D41:D44"/>
    <mergeCell ref="E41:E44"/>
    <mergeCell ref="A45:A46"/>
    <mergeCell ref="B45:B46"/>
    <mergeCell ref="C45:C46"/>
    <mergeCell ref="D45:D46"/>
    <mergeCell ref="E45:E46"/>
    <mergeCell ref="K58:L58"/>
    <mergeCell ref="B60:B62"/>
    <mergeCell ref="C60:C62"/>
    <mergeCell ref="D60:D62"/>
    <mergeCell ref="E60:E62"/>
    <mergeCell ref="F60:F62"/>
    <mergeCell ref="H60:H61"/>
    <mergeCell ref="I60:I61"/>
    <mergeCell ref="L64:L66"/>
    <mergeCell ref="B64:B66"/>
    <mergeCell ref="C64:C66"/>
    <mergeCell ref="D64:D66"/>
    <mergeCell ref="E64:E66"/>
    <mergeCell ref="F64:F66"/>
    <mergeCell ref="G64:G66"/>
    <mergeCell ref="H64:H66"/>
    <mergeCell ref="J64:J66"/>
    <mergeCell ref="K64:K66"/>
    <mergeCell ref="B24:C24"/>
    <mergeCell ref="A28:A29"/>
    <mergeCell ref="B28:B29"/>
    <mergeCell ref="C28:C29"/>
    <mergeCell ref="B2:H2"/>
    <mergeCell ref="B4:K4"/>
    <mergeCell ref="D28:D29"/>
    <mergeCell ref="E28:E29"/>
    <mergeCell ref="F28:F29"/>
    <mergeCell ref="G28:G29"/>
    <mergeCell ref="H28:H29"/>
    <mergeCell ref="J28:J29"/>
    <mergeCell ref="K28:K29"/>
    <mergeCell ref="A12:A13"/>
    <mergeCell ref="B12:B13"/>
    <mergeCell ref="A15:A17"/>
    <mergeCell ref="B15:B17"/>
    <mergeCell ref="C15:C17"/>
    <mergeCell ref="D15:D17"/>
    <mergeCell ref="E15:E17"/>
    <mergeCell ref="F15:F17"/>
    <mergeCell ref="G15:G17"/>
    <mergeCell ref="D35:D38"/>
    <mergeCell ref="H35:H38"/>
    <mergeCell ref="J35:J38"/>
    <mergeCell ref="L35:L38"/>
    <mergeCell ref="E36:E38"/>
    <mergeCell ref="F36:F38"/>
    <mergeCell ref="G36:G38"/>
    <mergeCell ref="K36:K38"/>
    <mergeCell ref="M4:V4"/>
    <mergeCell ref="L28:L29"/>
    <mergeCell ref="J15:J17"/>
    <mergeCell ref="K15:K17"/>
    <mergeCell ref="L15:L17"/>
    <mergeCell ref="E54:E55"/>
    <mergeCell ref="F54:F55"/>
    <mergeCell ref="G54:G55"/>
    <mergeCell ref="H54:H55"/>
    <mergeCell ref="J54:J55"/>
    <mergeCell ref="K54:K55"/>
    <mergeCell ref="L54:L55"/>
    <mergeCell ref="K51:K53"/>
    <mergeCell ref="A51:A53"/>
    <mergeCell ref="A35:A38"/>
    <mergeCell ref="B35:B38"/>
    <mergeCell ref="C35:C38"/>
    <mergeCell ref="M69:M70"/>
    <mergeCell ref="B75:B77"/>
    <mergeCell ref="C75:C77"/>
    <mergeCell ref="B82:B84"/>
    <mergeCell ref="C82:C84"/>
    <mergeCell ref="D82:D84"/>
    <mergeCell ref="F67:F71"/>
    <mergeCell ref="G67:G71"/>
    <mergeCell ref="H67:H71"/>
    <mergeCell ref="J67:J71"/>
    <mergeCell ref="K67:K71"/>
    <mergeCell ref="L67:L71"/>
    <mergeCell ref="L51:L53"/>
    <mergeCell ref="B52:B53"/>
    <mergeCell ref="C52:C53"/>
    <mergeCell ref="G52:G53"/>
    <mergeCell ref="J52:J53"/>
    <mergeCell ref="A54:A55"/>
    <mergeCell ref="B54:B55"/>
    <mergeCell ref="C54:C55"/>
    <mergeCell ref="D54:D55"/>
    <mergeCell ref="N87:N89"/>
    <mergeCell ref="A90:A91"/>
    <mergeCell ref="B90:B93"/>
    <mergeCell ref="C90:C91"/>
    <mergeCell ref="K90:K93"/>
    <mergeCell ref="M92:M93"/>
    <mergeCell ref="N92:N93"/>
    <mergeCell ref="O92:O93"/>
    <mergeCell ref="P92:P93"/>
    <mergeCell ref="R92:R93"/>
    <mergeCell ref="S92:S93"/>
    <mergeCell ref="A96:A100"/>
    <mergeCell ref="L96:L99"/>
    <mergeCell ref="B101:B102"/>
    <mergeCell ref="C101:C102"/>
    <mergeCell ref="D101:D102"/>
    <mergeCell ref="B104:B105"/>
    <mergeCell ref="C104:C105"/>
    <mergeCell ref="D104:D105"/>
    <mergeCell ref="E104:E105"/>
    <mergeCell ref="F104:F105"/>
    <mergeCell ref="G108:G110"/>
    <mergeCell ref="H108:H110"/>
    <mergeCell ref="J108:J110"/>
    <mergeCell ref="D113:D114"/>
    <mergeCell ref="E113:E114"/>
    <mergeCell ref="F113:F114"/>
    <mergeCell ref="B118:B119"/>
    <mergeCell ref="A127:A129"/>
    <mergeCell ref="B127:B129"/>
    <mergeCell ref="C127:C129"/>
    <mergeCell ref="I127:I128"/>
    <mergeCell ref="L127:L128"/>
    <mergeCell ref="C113:C114"/>
    <mergeCell ref="B113:B114"/>
    <mergeCell ref="N127:N129"/>
    <mergeCell ref="P128:P129"/>
    <mergeCell ref="A132:A134"/>
    <mergeCell ref="B132:B134"/>
    <mergeCell ref="C132:C134"/>
    <mergeCell ref="E132:E134"/>
    <mergeCell ref="H132:H134"/>
    <mergeCell ref="L132:L134"/>
    <mergeCell ref="N132:N134"/>
    <mergeCell ref="O132:O134"/>
    <mergeCell ref="P132:P134"/>
    <mergeCell ref="Q132:Q134"/>
    <mergeCell ref="T134:V134"/>
    <mergeCell ref="B135:B138"/>
    <mergeCell ref="H135:H138"/>
    <mergeCell ref="K135:K138"/>
    <mergeCell ref="A139:A140"/>
    <mergeCell ref="B139:B140"/>
    <mergeCell ref="C139:C140"/>
    <mergeCell ref="H139:H140"/>
    <mergeCell ref="I139:I140"/>
    <mergeCell ref="J139:J140"/>
    <mergeCell ref="L139:L140"/>
    <mergeCell ref="M139:M140"/>
    <mergeCell ref="N139:N140"/>
    <mergeCell ref="P139:P140"/>
    <mergeCell ref="Q139:Q140"/>
    <mergeCell ref="R139:R140"/>
    <mergeCell ref="P154:P158"/>
    <mergeCell ref="L157:L16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T141:V141"/>
    <mergeCell ref="B151:B153"/>
    <mergeCell ref="C151:C153"/>
    <mergeCell ref="H151:H153"/>
    <mergeCell ref="I151:I153"/>
    <mergeCell ref="J151:J153"/>
    <mergeCell ref="K151:K153"/>
    <mergeCell ref="L151:L153"/>
    <mergeCell ref="L165:L167"/>
    <mergeCell ref="B154:B160"/>
    <mergeCell ref="C154:C160"/>
    <mergeCell ref="D154:D160"/>
    <mergeCell ref="E154:E160"/>
    <mergeCell ref="F154:F160"/>
    <mergeCell ref="G154:G160"/>
    <mergeCell ref="H154:H160"/>
    <mergeCell ref="I154:I160"/>
    <mergeCell ref="J154:J160"/>
    <mergeCell ref="C165:C167"/>
    <mergeCell ref="D165:D167"/>
    <mergeCell ref="E165:E167"/>
    <mergeCell ref="F165:F167"/>
    <mergeCell ref="G165:G167"/>
    <mergeCell ref="H165:H167"/>
    <mergeCell ref="I165:I167"/>
    <mergeCell ref="J165:J167"/>
    <mergeCell ref="K165:K167"/>
    <mergeCell ref="I174:I175"/>
    <mergeCell ref="J174:J175"/>
    <mergeCell ref="B169:B170"/>
    <mergeCell ref="C169:C170"/>
    <mergeCell ref="K174:K175"/>
    <mergeCell ref="L174:L175"/>
    <mergeCell ref="K176:K180"/>
    <mergeCell ref="L176:L180"/>
    <mergeCell ref="K182:K183"/>
    <mergeCell ref="G184:G188"/>
    <mergeCell ref="H184:H188"/>
    <mergeCell ref="I184:I188"/>
    <mergeCell ref="J184:J188"/>
    <mergeCell ref="K184:K188"/>
    <mergeCell ref="L184:L188"/>
    <mergeCell ref="K189:L189"/>
    <mergeCell ref="B184:B188"/>
    <mergeCell ref="C184:C188"/>
    <mergeCell ref="D184:D188"/>
    <mergeCell ref="E184:E188"/>
    <mergeCell ref="F184:F188"/>
    <mergeCell ref="J194:J195"/>
    <mergeCell ref="K194:K195"/>
    <mergeCell ref="A196:A197"/>
    <mergeCell ref="B196:B197"/>
    <mergeCell ref="C196:C197"/>
    <mergeCell ref="E196:E197"/>
    <mergeCell ref="A191:A193"/>
    <mergeCell ref="B194:B195"/>
    <mergeCell ref="C194:C195"/>
    <mergeCell ref="D194:D195"/>
    <mergeCell ref="E194:E195"/>
    <mergeCell ref="F194:F195"/>
    <mergeCell ref="I194:I195"/>
    <mergeCell ref="B189:B193"/>
    <mergeCell ref="C189:C191"/>
    <mergeCell ref="G194:G195"/>
    <mergeCell ref="H194:H195"/>
    <mergeCell ref="K198:K201"/>
    <mergeCell ref="L198:L201"/>
    <mergeCell ref="A199:A201"/>
    <mergeCell ref="B198:B201"/>
    <mergeCell ref="C198:C201"/>
    <mergeCell ref="D198:D201"/>
    <mergeCell ref="E198:E201"/>
    <mergeCell ref="F198:F201"/>
    <mergeCell ref="G198:G201"/>
    <mergeCell ref="H198:H201"/>
    <mergeCell ref="I198:I201"/>
    <mergeCell ref="J198:J201"/>
    <mergeCell ref="J210:J211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H210:H211"/>
    <mergeCell ref="K204:K205"/>
    <mergeCell ref="L204:L205"/>
    <mergeCell ref="L215:L217"/>
    <mergeCell ref="B223:B225"/>
    <mergeCell ref="P223:Q223"/>
    <mergeCell ref="A230:A232"/>
    <mergeCell ref="B230:B232"/>
    <mergeCell ref="C230:C232"/>
    <mergeCell ref="D230:D232"/>
    <mergeCell ref="E230:E232"/>
    <mergeCell ref="F230:F232"/>
    <mergeCell ref="G230:G232"/>
    <mergeCell ref="H230:H232"/>
    <mergeCell ref="I230:I232"/>
    <mergeCell ref="J230:J232"/>
    <mergeCell ref="K230:K231"/>
    <mergeCell ref="L230:L231"/>
    <mergeCell ref="B215:B217"/>
    <mergeCell ref="C215:C217"/>
    <mergeCell ref="D215:D216"/>
    <mergeCell ref="E215:E217"/>
    <mergeCell ref="F215:F216"/>
    <mergeCell ref="G215:G217"/>
    <mergeCell ref="H215:H217"/>
    <mergeCell ref="J215:J216"/>
    <mergeCell ref="K215:K216"/>
    <mergeCell ref="J241:J242"/>
    <mergeCell ref="K241:K242"/>
    <mergeCell ref="L241:L242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D241:D242"/>
    <mergeCell ref="E241:E242"/>
    <mergeCell ref="F241:F242"/>
    <mergeCell ref="G241:G242"/>
    <mergeCell ref="H241:H242"/>
    <mergeCell ref="I241:I242"/>
    <mergeCell ref="M272:M273"/>
    <mergeCell ref="N272:N273"/>
    <mergeCell ref="B274:B298"/>
    <mergeCell ref="C274:C297"/>
    <mergeCell ref="D274:D276"/>
    <mergeCell ref="F274:F297"/>
    <mergeCell ref="K274:K297"/>
    <mergeCell ref="J275:J297"/>
    <mergeCell ref="D277:D297"/>
    <mergeCell ref="I281:I285"/>
    <mergeCell ref="A321:A323"/>
    <mergeCell ref="B321:B323"/>
    <mergeCell ref="C321:C323"/>
    <mergeCell ref="D321:D323"/>
    <mergeCell ref="E321:E323"/>
    <mergeCell ref="F321:F323"/>
    <mergeCell ref="G321:G323"/>
    <mergeCell ref="H321:H323"/>
    <mergeCell ref="I321:I323"/>
    <mergeCell ref="Q324:R324"/>
    <mergeCell ref="B325:B326"/>
    <mergeCell ref="C325:C326"/>
    <mergeCell ref="D325:D326"/>
    <mergeCell ref="E325:E326"/>
    <mergeCell ref="F325:F326"/>
    <mergeCell ref="H325:H326"/>
    <mergeCell ref="I325:I326"/>
    <mergeCell ref="I308:I309"/>
    <mergeCell ref="J308:J309"/>
    <mergeCell ref="K308:K309"/>
    <mergeCell ref="P309:Q309"/>
    <mergeCell ref="B314:B315"/>
    <mergeCell ref="C314:C315"/>
    <mergeCell ref="D314:D315"/>
    <mergeCell ref="Q316:R316"/>
    <mergeCell ref="J321:J323"/>
    <mergeCell ref="K321:K323"/>
    <mergeCell ref="L321:L323"/>
    <mergeCell ref="Q321:R321"/>
    <mergeCell ref="C308:C309"/>
    <mergeCell ref="D308:D309"/>
    <mergeCell ref="E308:E309"/>
    <mergeCell ref="F308:F309"/>
    <mergeCell ref="B362:B363"/>
    <mergeCell ref="C362:C364"/>
    <mergeCell ref="D362:D364"/>
    <mergeCell ref="E362:E363"/>
    <mergeCell ref="H362:H363"/>
    <mergeCell ref="B368:B369"/>
    <mergeCell ref="C368:C369"/>
    <mergeCell ref="D368:D369"/>
    <mergeCell ref="F368:F369"/>
    <mergeCell ref="B370:B373"/>
    <mergeCell ref="C370:C373"/>
    <mergeCell ref="D370:D373"/>
    <mergeCell ref="E370:E373"/>
    <mergeCell ref="F370:F373"/>
    <mergeCell ref="B374:B378"/>
    <mergeCell ref="B379:B381"/>
    <mergeCell ref="C379:C381"/>
    <mergeCell ref="D379:D381"/>
    <mergeCell ref="E379:E381"/>
    <mergeCell ref="F379:F381"/>
    <mergeCell ref="K379:K382"/>
    <mergeCell ref="A383:A384"/>
    <mergeCell ref="B383:B384"/>
    <mergeCell ref="C383:C384"/>
    <mergeCell ref="D383:D384"/>
    <mergeCell ref="H383:H384"/>
    <mergeCell ref="C386:C391"/>
    <mergeCell ref="D386:D391"/>
    <mergeCell ref="E386:E391"/>
    <mergeCell ref="F386:F391"/>
    <mergeCell ref="G386:G391"/>
    <mergeCell ref="I386:I391"/>
    <mergeCell ref="J386:J391"/>
    <mergeCell ref="K386:K391"/>
    <mergeCell ref="L386:L391"/>
    <mergeCell ref="B393:B397"/>
    <mergeCell ref="B402:B405"/>
    <mergeCell ref="C402:C405"/>
    <mergeCell ref="D402:D405"/>
    <mergeCell ref="E402:E405"/>
    <mergeCell ref="F402:F405"/>
    <mergeCell ref="G402:G405"/>
    <mergeCell ref="J402:J405"/>
    <mergeCell ref="K407:K410"/>
    <mergeCell ref="A413:A415"/>
    <mergeCell ref="B413:B415"/>
    <mergeCell ref="C413:C415"/>
    <mergeCell ref="D413:D415"/>
    <mergeCell ref="E413:E415"/>
    <mergeCell ref="F413:F415"/>
    <mergeCell ref="G413:G415"/>
    <mergeCell ref="H413:H415"/>
    <mergeCell ref="I413:I415"/>
    <mergeCell ref="J413:J415"/>
    <mergeCell ref="B407:B410"/>
    <mergeCell ref="C407:C410"/>
    <mergeCell ref="D407:D410"/>
    <mergeCell ref="E407:E410"/>
    <mergeCell ref="F407:F410"/>
    <mergeCell ref="G407:G410"/>
    <mergeCell ref="H407:H410"/>
    <mergeCell ref="I407:I410"/>
    <mergeCell ref="J407:J410"/>
    <mergeCell ref="B432:B434"/>
    <mergeCell ref="C432:C434"/>
    <mergeCell ref="D432:D434"/>
    <mergeCell ref="F432:F434"/>
    <mergeCell ref="J432:J434"/>
    <mergeCell ref="I432:I434"/>
    <mergeCell ref="B416:B421"/>
    <mergeCell ref="C416:C417"/>
    <mergeCell ref="D416:D417"/>
    <mergeCell ref="C418:C421"/>
    <mergeCell ref="D418:D421"/>
    <mergeCell ref="F418:F421"/>
    <mergeCell ref="G418:G421"/>
    <mergeCell ref="B423:B424"/>
    <mergeCell ref="C423:C424"/>
    <mergeCell ref="D423:D424"/>
    <mergeCell ref="N462:N463"/>
    <mergeCell ref="H437:H439"/>
    <mergeCell ref="J437:J439"/>
    <mergeCell ref="K437:K439"/>
    <mergeCell ref="K442:L442"/>
    <mergeCell ref="J423:J424"/>
    <mergeCell ref="E425:E430"/>
    <mergeCell ref="G425:G430"/>
    <mergeCell ref="H425:H430"/>
    <mergeCell ref="I425:I430"/>
    <mergeCell ref="F441:F443"/>
    <mergeCell ref="G441:G443"/>
    <mergeCell ref="I470:I473"/>
    <mergeCell ref="B444:B445"/>
    <mergeCell ref="C444:C445"/>
    <mergeCell ref="B437:B439"/>
    <mergeCell ref="C437:C439"/>
    <mergeCell ref="D437:D439"/>
    <mergeCell ref="E437:E439"/>
    <mergeCell ref="F437:F439"/>
    <mergeCell ref="G437:G439"/>
    <mergeCell ref="J470:J473"/>
    <mergeCell ref="K470:K473"/>
    <mergeCell ref="L470:L473"/>
    <mergeCell ref="B461:B463"/>
    <mergeCell ref="C461:C463"/>
    <mergeCell ref="D461:D463"/>
    <mergeCell ref="L432:L434"/>
    <mergeCell ref="E432:E434"/>
    <mergeCell ref="G432:G434"/>
    <mergeCell ref="H432:H434"/>
    <mergeCell ref="K432:K434"/>
    <mergeCell ref="L437:L439"/>
    <mergeCell ref="B440:B443"/>
    <mergeCell ref="C441:C443"/>
    <mergeCell ref="D441:D443"/>
    <mergeCell ref="E441:E443"/>
    <mergeCell ref="D465:D467"/>
    <mergeCell ref="B470:B473"/>
    <mergeCell ref="C470:C473"/>
    <mergeCell ref="D470:D473"/>
    <mergeCell ref="E470:E473"/>
    <mergeCell ref="F470:F473"/>
    <mergeCell ref="G470:G473"/>
    <mergeCell ref="H470:H473"/>
    <mergeCell ref="B511:B512"/>
    <mergeCell ref="C511:C512"/>
    <mergeCell ref="D511:D512"/>
    <mergeCell ref="F511:F512"/>
    <mergeCell ref="B474:B476"/>
    <mergeCell ref="C474:C476"/>
    <mergeCell ref="D474:D476"/>
    <mergeCell ref="F474:F476"/>
    <mergeCell ref="B446:B447"/>
    <mergeCell ref="C446:C447"/>
    <mergeCell ref="B457:B458"/>
    <mergeCell ref="D457:D458"/>
    <mergeCell ref="E457:E458"/>
    <mergeCell ref="F457:F458"/>
    <mergeCell ref="B477:B480"/>
    <mergeCell ref="C477:C480"/>
    <mergeCell ref="D477:D480"/>
    <mergeCell ref="E477:E480"/>
    <mergeCell ref="F477:F480"/>
    <mergeCell ref="E498:E501"/>
    <mergeCell ref="D502:D505"/>
    <mergeCell ref="E502:E505"/>
    <mergeCell ref="F502:F505"/>
    <mergeCell ref="C502:C505"/>
    <mergeCell ref="R498:R499"/>
    <mergeCell ref="B493:B497"/>
    <mergeCell ref="F483:F484"/>
    <mergeCell ref="E483:E484"/>
    <mergeCell ref="G483:G484"/>
    <mergeCell ref="G493:G497"/>
    <mergeCell ref="K498:K501"/>
    <mergeCell ref="J498:J501"/>
    <mergeCell ref="I498:I501"/>
    <mergeCell ref="E493:E497"/>
    <mergeCell ref="H493:H497"/>
    <mergeCell ref="I493:I497"/>
    <mergeCell ref="J493:J497"/>
    <mergeCell ref="K493:K497"/>
    <mergeCell ref="C498:C501"/>
    <mergeCell ref="C493:C497"/>
    <mergeCell ref="D493:D497"/>
    <mergeCell ref="F493:F497"/>
    <mergeCell ref="H487:H491"/>
    <mergeCell ref="E487:E491"/>
    <mergeCell ref="B483:B484"/>
    <mergeCell ref="C483:C484"/>
    <mergeCell ref="D483:D484"/>
    <mergeCell ref="B498:B501"/>
    <mergeCell ref="B538:B541"/>
    <mergeCell ref="B524:B528"/>
    <mergeCell ref="C524:C528"/>
    <mergeCell ref="D524:D528"/>
    <mergeCell ref="B513:B515"/>
    <mergeCell ref="C513:C515"/>
    <mergeCell ref="D538:D540"/>
    <mergeCell ref="C516:C518"/>
    <mergeCell ref="F538:F540"/>
    <mergeCell ref="F531:F532"/>
    <mergeCell ref="E538:E540"/>
    <mergeCell ref="C538:C540"/>
    <mergeCell ref="K559:K560"/>
    <mergeCell ref="L561:L562"/>
    <mergeCell ref="L542:L543"/>
    <mergeCell ref="J659:J660"/>
    <mergeCell ref="L659:L660"/>
    <mergeCell ref="I659:I660"/>
    <mergeCell ref="H659:H660"/>
    <mergeCell ref="G659:G660"/>
    <mergeCell ref="L545:L546"/>
    <mergeCell ref="K545:K546"/>
    <mergeCell ref="J552:J553"/>
    <mergeCell ref="H559:H560"/>
    <mergeCell ref="I559:I560"/>
    <mergeCell ref="K561:K562"/>
    <mergeCell ref="G591:G592"/>
    <mergeCell ref="I580:I581"/>
    <mergeCell ref="H580:H581"/>
    <mergeCell ref="L566:L567"/>
    <mergeCell ref="G635:G639"/>
    <mergeCell ref="H635:H639"/>
    <mergeCell ref="I635:I639"/>
    <mergeCell ref="J635:J639"/>
    <mergeCell ref="J561:J562"/>
    <mergeCell ref="H561:H562"/>
    <mergeCell ref="D635:D639"/>
    <mergeCell ref="B659:B660"/>
    <mergeCell ref="C659:C660"/>
    <mergeCell ref="D659:D660"/>
    <mergeCell ref="E659:E660"/>
    <mergeCell ref="F659:F660"/>
    <mergeCell ref="B656:B658"/>
    <mergeCell ref="C656:C658"/>
    <mergeCell ref="D656:D658"/>
    <mergeCell ref="B635:B639"/>
    <mergeCell ref="C635:C639"/>
    <mergeCell ref="E635:E639"/>
    <mergeCell ref="F635:F639"/>
    <mergeCell ref="B629:B630"/>
    <mergeCell ref="D629:D630"/>
    <mergeCell ref="F619:F620"/>
    <mergeCell ref="G619:G620"/>
    <mergeCell ref="H619:H620"/>
    <mergeCell ref="I619:I620"/>
    <mergeCell ref="C621:C622"/>
    <mergeCell ref="D621:D622"/>
    <mergeCell ref="E621:E622"/>
    <mergeCell ref="F621:F622"/>
    <mergeCell ref="U572:V572"/>
    <mergeCell ref="F628:I628"/>
    <mergeCell ref="C615:C617"/>
    <mergeCell ref="C619:C620"/>
    <mergeCell ref="D619:D620"/>
    <mergeCell ref="E619:E620"/>
    <mergeCell ref="D571:D572"/>
    <mergeCell ref="E571:E572"/>
    <mergeCell ref="F571:F572"/>
    <mergeCell ref="B748:B749"/>
    <mergeCell ref="C748:C749"/>
    <mergeCell ref="D748:D749"/>
    <mergeCell ref="F748:F749"/>
    <mergeCell ref="J699:J700"/>
    <mergeCell ref="J731:J732"/>
    <mergeCell ref="A640:A642"/>
    <mergeCell ref="B640:B642"/>
    <mergeCell ref="C640:C642"/>
    <mergeCell ref="D640:D642"/>
    <mergeCell ref="E640:E642"/>
    <mergeCell ref="F640:F642"/>
    <mergeCell ref="J675:J677"/>
    <mergeCell ref="B713:B714"/>
    <mergeCell ref="C713:C714"/>
    <mergeCell ref="D713:D714"/>
    <mergeCell ref="F713:F714"/>
    <mergeCell ref="G713:G714"/>
    <mergeCell ref="E713:E714"/>
    <mergeCell ref="C706:C707"/>
    <mergeCell ref="B706:B707"/>
    <mergeCell ref="D706:D707"/>
    <mergeCell ref="F706:F707"/>
    <mergeCell ref="G743:G744"/>
  </mergeCells>
  <printOptions gridLines="1"/>
  <pageMargins left="0.75" right="0.75" top="1" bottom="1" header="0.51200000000000001" footer="0.51200000000000001"/>
  <pageSetup paperSize="9" scale="10" firstPageNumber="0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7"/>
  <sheetViews>
    <sheetView workbookViewId="0">
      <selection activeCell="R19" sqref="R19"/>
    </sheetView>
  </sheetViews>
  <sheetFormatPr defaultColWidth="8.85546875" defaultRowHeight="12.75"/>
  <cols>
    <col min="2" max="2" width="37.42578125" customWidth="1"/>
    <col min="3" max="3" width="12.28515625" customWidth="1"/>
    <col min="10" max="10" width="32.42578125" customWidth="1"/>
  </cols>
  <sheetData>
    <row r="2" spans="2:16">
      <c r="B2" t="s">
        <v>3475</v>
      </c>
      <c r="C2">
        <v>61334</v>
      </c>
      <c r="J2">
        <v>61336</v>
      </c>
    </row>
    <row r="3" spans="2:16" ht="13.5" thickBot="1">
      <c r="G3" t="s">
        <v>3479</v>
      </c>
      <c r="H3" t="s">
        <v>3481</v>
      </c>
    </row>
    <row r="4" spans="2:16" ht="30.75" customHeight="1" thickBot="1">
      <c r="B4" s="944" t="s">
        <v>3432</v>
      </c>
      <c r="C4" s="945" t="s">
        <v>3030</v>
      </c>
      <c r="D4" s="945">
        <v>1</v>
      </c>
      <c r="E4" s="940">
        <v>537115</v>
      </c>
      <c r="J4" s="944" t="s">
        <v>3432</v>
      </c>
      <c r="K4" s="945" t="s">
        <v>3030</v>
      </c>
      <c r="L4" s="945">
        <v>1</v>
      </c>
      <c r="M4" s="940">
        <v>537115</v>
      </c>
      <c r="O4" t="s">
        <v>3480</v>
      </c>
      <c r="P4" t="s">
        <v>3481</v>
      </c>
    </row>
    <row r="5" spans="2:16" ht="18" customHeight="1" thickBot="1">
      <c r="B5" s="946" t="s">
        <v>3433</v>
      </c>
      <c r="C5" s="947"/>
      <c r="D5" s="947"/>
      <c r="E5" s="724">
        <v>14775</v>
      </c>
      <c r="G5">
        <f>E4+E5+E10</f>
        <v>1179336</v>
      </c>
      <c r="J5" s="946" t="s">
        <v>3433</v>
      </c>
      <c r="K5" s="947"/>
      <c r="L5" s="947"/>
      <c r="M5" s="724">
        <v>14775</v>
      </c>
    </row>
    <row r="6" spans="2:16" ht="21" customHeight="1" thickBot="1">
      <c r="B6" s="936" t="s">
        <v>3434</v>
      </c>
      <c r="C6" s="934" t="s">
        <v>3031</v>
      </c>
      <c r="D6" s="934">
        <v>0.24</v>
      </c>
      <c r="E6" s="734">
        <v>3500</v>
      </c>
      <c r="J6" s="936" t="s">
        <v>3434</v>
      </c>
      <c r="K6" s="934" t="s">
        <v>3031</v>
      </c>
      <c r="L6" s="934">
        <v>0.24</v>
      </c>
      <c r="M6" s="734">
        <v>3500</v>
      </c>
      <c r="O6">
        <f>M4+M5+M10</f>
        <v>1159094</v>
      </c>
    </row>
    <row r="7" spans="2:16" ht="13.5" thickBot="1">
      <c r="B7" s="948" t="s">
        <v>3435</v>
      </c>
      <c r="C7" s="934" t="s">
        <v>3032</v>
      </c>
      <c r="D7" s="934">
        <v>4.5</v>
      </c>
      <c r="E7" s="734">
        <v>2100</v>
      </c>
      <c r="J7" s="948" t="s">
        <v>3435</v>
      </c>
      <c r="K7" s="934" t="s">
        <v>3032</v>
      </c>
      <c r="L7" s="934">
        <v>4.5</v>
      </c>
      <c r="M7" s="734">
        <v>2100</v>
      </c>
    </row>
    <row r="8" spans="2:16" ht="13.5" thickBot="1">
      <c r="B8" s="948" t="s">
        <v>3436</v>
      </c>
      <c r="C8" s="934" t="s">
        <v>1999</v>
      </c>
      <c r="D8" s="934">
        <v>1.2E-2</v>
      </c>
      <c r="E8" s="734">
        <v>2875</v>
      </c>
      <c r="J8" s="948" t="s">
        <v>3436</v>
      </c>
      <c r="K8" s="934" t="s">
        <v>1999</v>
      </c>
      <c r="L8" s="934">
        <v>1.2E-2</v>
      </c>
      <c r="M8" s="734">
        <v>2875</v>
      </c>
    </row>
    <row r="9" spans="2:16" ht="13.5" thickBot="1">
      <c r="B9" s="948" t="s">
        <v>3437</v>
      </c>
      <c r="C9" s="934" t="s">
        <v>3032</v>
      </c>
      <c r="D9" s="934">
        <v>14</v>
      </c>
      <c r="E9" s="734">
        <v>4300</v>
      </c>
      <c r="J9" s="948" t="s">
        <v>3437</v>
      </c>
      <c r="K9" s="934" t="s">
        <v>3032</v>
      </c>
      <c r="L9" s="934">
        <v>14</v>
      </c>
      <c r="M9" s="734">
        <v>4300</v>
      </c>
    </row>
    <row r="10" spans="2:16" ht="18" customHeight="1" thickBot="1">
      <c r="B10" s="933" t="s">
        <v>3047</v>
      </c>
      <c r="C10" s="949"/>
      <c r="D10" s="949"/>
      <c r="E10" s="724">
        <f>E11+E12+E13+E14</f>
        <v>627446</v>
      </c>
      <c r="J10" s="933" t="s">
        <v>3047</v>
      </c>
      <c r="K10" s="949"/>
      <c r="L10" s="949"/>
      <c r="M10" s="724">
        <f>M11+M12+M13+M14</f>
        <v>607204</v>
      </c>
    </row>
    <row r="11" spans="2:16" ht="38.25" customHeight="1" thickBot="1">
      <c r="B11" s="936" t="s">
        <v>3045</v>
      </c>
      <c r="C11" s="934" t="s">
        <v>3032</v>
      </c>
      <c r="D11" s="934">
        <v>98</v>
      </c>
      <c r="E11" s="734">
        <v>148449</v>
      </c>
      <c r="J11" s="936" t="s">
        <v>3045</v>
      </c>
      <c r="K11" s="934" t="s">
        <v>3032</v>
      </c>
      <c r="L11" s="934">
        <v>98</v>
      </c>
      <c r="M11" s="734">
        <v>148449</v>
      </c>
    </row>
    <row r="12" spans="2:16" ht="24" customHeight="1" thickBot="1">
      <c r="B12" s="936" t="s">
        <v>3438</v>
      </c>
      <c r="C12" s="934" t="s">
        <v>1999</v>
      </c>
      <c r="D12" s="934">
        <v>1.4</v>
      </c>
      <c r="E12" s="726">
        <v>284083</v>
      </c>
      <c r="J12" s="936" t="s">
        <v>3438</v>
      </c>
      <c r="K12" s="934" t="s">
        <v>1999</v>
      </c>
      <c r="L12" s="934">
        <v>1.32</v>
      </c>
      <c r="M12" s="726">
        <f>284083-5467-14775</f>
        <v>263841</v>
      </c>
    </row>
    <row r="13" spans="2:16" ht="38.25" customHeight="1" thickBot="1">
      <c r="B13" s="936" t="s">
        <v>3440</v>
      </c>
      <c r="C13" s="934" t="s">
        <v>3468</v>
      </c>
      <c r="D13" s="934">
        <v>8</v>
      </c>
      <c r="E13" s="734">
        <v>116914</v>
      </c>
      <c r="J13" s="936" t="s">
        <v>3440</v>
      </c>
      <c r="K13" s="934" t="s">
        <v>3468</v>
      </c>
      <c r="L13" s="934">
        <v>8</v>
      </c>
      <c r="M13" s="734">
        <v>116914</v>
      </c>
    </row>
    <row r="14" spans="2:16" ht="45" customHeight="1" thickBot="1">
      <c r="B14" s="936" t="s">
        <v>3469</v>
      </c>
      <c r="C14" s="934" t="s">
        <v>3032</v>
      </c>
      <c r="D14" s="937">
        <v>245</v>
      </c>
      <c r="E14" s="734">
        <v>78000</v>
      </c>
      <c r="G14" t="s">
        <v>3483</v>
      </c>
      <c r="H14" t="s">
        <v>3482</v>
      </c>
      <c r="J14" s="936" t="s">
        <v>3469</v>
      </c>
      <c r="K14" s="934" t="s">
        <v>3032</v>
      </c>
      <c r="L14" s="937">
        <v>245</v>
      </c>
      <c r="M14" s="734">
        <v>78000</v>
      </c>
      <c r="O14" t="s">
        <v>3484</v>
      </c>
      <c r="P14" t="s">
        <v>3482</v>
      </c>
    </row>
    <row r="15" spans="2:16" ht="26.25" customHeight="1" thickBot="1">
      <c r="B15" s="933" t="s">
        <v>3444</v>
      </c>
      <c r="C15" s="949"/>
      <c r="D15" s="950"/>
      <c r="E15" s="935">
        <f>E16+E17+E18+E19+E20+E21</f>
        <v>172810</v>
      </c>
      <c r="G15">
        <f>E15+E22+E25+E27+E29</f>
        <v>822560</v>
      </c>
      <c r="J15" s="933" t="s">
        <v>3444</v>
      </c>
      <c r="K15" s="949"/>
      <c r="L15" s="950"/>
      <c r="M15" s="935">
        <f>M16+M17+M18+M19+M20+M21</f>
        <v>172810</v>
      </c>
      <c r="O15">
        <f>M15+M22+M25+M27</f>
        <v>774810</v>
      </c>
    </row>
    <row r="16" spans="2:16" ht="14.25" customHeight="1" thickBot="1">
      <c r="B16" s="936" t="s">
        <v>3470</v>
      </c>
      <c r="C16" s="934" t="s">
        <v>1999</v>
      </c>
      <c r="D16" s="726">
        <v>0.05</v>
      </c>
      <c r="E16" s="726">
        <v>4520</v>
      </c>
      <c r="J16" s="936" t="s">
        <v>3470</v>
      </c>
      <c r="K16" s="934" t="s">
        <v>1999</v>
      </c>
      <c r="L16" s="726">
        <v>0.05</v>
      </c>
      <c r="M16" s="726">
        <v>4520</v>
      </c>
    </row>
    <row r="17" spans="2:13" ht="19.5" customHeight="1" thickBot="1">
      <c r="B17" s="936" t="s">
        <v>3446</v>
      </c>
      <c r="C17" s="934" t="s">
        <v>3033</v>
      </c>
      <c r="D17" s="726">
        <v>2</v>
      </c>
      <c r="E17" s="726">
        <v>67800</v>
      </c>
      <c r="G17">
        <f>G5+G15</f>
        <v>2001896</v>
      </c>
      <c r="J17" s="936" t="s">
        <v>3446</v>
      </c>
      <c r="K17" s="934" t="s">
        <v>3033</v>
      </c>
      <c r="L17" s="726">
        <v>2</v>
      </c>
      <c r="M17" s="726">
        <v>67800</v>
      </c>
    </row>
    <row r="18" spans="2:13" ht="22.5" customHeight="1" thickBot="1">
      <c r="B18" s="936" t="s">
        <v>3439</v>
      </c>
      <c r="C18" s="934" t="s">
        <v>1999</v>
      </c>
      <c r="D18" s="951">
        <v>0.01</v>
      </c>
      <c r="E18" s="734">
        <v>10000</v>
      </c>
      <c r="J18" s="936" t="s">
        <v>3439</v>
      </c>
      <c r="K18" s="934" t="s">
        <v>1999</v>
      </c>
      <c r="L18" s="951">
        <v>0.01</v>
      </c>
      <c r="M18" s="734">
        <v>10000</v>
      </c>
    </row>
    <row r="19" spans="2:13" ht="38.25" customHeight="1" thickBot="1">
      <c r="B19" s="936" t="s">
        <v>3447</v>
      </c>
      <c r="C19" s="952" t="s">
        <v>1999</v>
      </c>
      <c r="D19" s="952">
        <v>6.8000000000000005E-2</v>
      </c>
      <c r="E19" s="726">
        <v>15490</v>
      </c>
      <c r="J19" s="936" t="s">
        <v>3447</v>
      </c>
      <c r="K19" s="952" t="s">
        <v>1999</v>
      </c>
      <c r="L19" s="952">
        <v>6.8000000000000005E-2</v>
      </c>
      <c r="M19" s="726">
        <v>15490</v>
      </c>
    </row>
    <row r="20" spans="2:13" ht="28.5" customHeight="1" thickBot="1">
      <c r="B20" s="936" t="s">
        <v>3448</v>
      </c>
      <c r="C20" s="934" t="s">
        <v>3032</v>
      </c>
      <c r="D20" s="934">
        <v>50</v>
      </c>
      <c r="E20" s="734">
        <v>35000</v>
      </c>
      <c r="J20" s="936" t="s">
        <v>3448</v>
      </c>
      <c r="K20" s="934" t="s">
        <v>3032</v>
      </c>
      <c r="L20" s="934">
        <v>2</v>
      </c>
      <c r="M20" s="734">
        <v>35000</v>
      </c>
    </row>
    <row r="21" spans="2:13" ht="20.25" customHeight="1" thickBot="1">
      <c r="B21" s="936" t="s">
        <v>3450</v>
      </c>
      <c r="C21" s="934" t="s">
        <v>3032</v>
      </c>
      <c r="D21" s="934">
        <v>63</v>
      </c>
      <c r="E21" s="734">
        <v>40000</v>
      </c>
      <c r="J21" s="936" t="s">
        <v>3450</v>
      </c>
      <c r="K21" s="934" t="s">
        <v>3032</v>
      </c>
      <c r="L21" s="934">
        <v>63</v>
      </c>
      <c r="M21" s="734">
        <v>40000</v>
      </c>
    </row>
    <row r="22" spans="2:13" ht="27" customHeight="1" thickBot="1">
      <c r="B22" s="933" t="s">
        <v>3451</v>
      </c>
      <c r="C22" s="949"/>
      <c r="D22" s="949"/>
      <c r="E22" s="935">
        <f>E23+E24</f>
        <v>38600</v>
      </c>
      <c r="J22" s="933" t="s">
        <v>3451</v>
      </c>
      <c r="K22" s="949"/>
      <c r="L22" s="949"/>
      <c r="M22" s="935">
        <f>M23+M24</f>
        <v>38600</v>
      </c>
    </row>
    <row r="23" spans="2:13" ht="13.5" thickBot="1">
      <c r="B23" s="936" t="s">
        <v>3452</v>
      </c>
      <c r="C23" s="934" t="s">
        <v>3034</v>
      </c>
      <c r="D23" s="934">
        <v>65</v>
      </c>
      <c r="E23" s="734">
        <v>15470</v>
      </c>
      <c r="J23" s="936" t="s">
        <v>3452</v>
      </c>
      <c r="K23" s="934" t="s">
        <v>3034</v>
      </c>
      <c r="L23" s="934">
        <v>65</v>
      </c>
      <c r="M23" s="734">
        <v>15470</v>
      </c>
    </row>
    <row r="24" spans="2:13" ht="16.5" customHeight="1" thickBot="1">
      <c r="B24" s="936" t="s">
        <v>3453</v>
      </c>
      <c r="C24" s="937" t="s">
        <v>3035</v>
      </c>
      <c r="D24" s="937">
        <v>16</v>
      </c>
      <c r="E24" s="734">
        <v>23130</v>
      </c>
      <c r="J24" s="936" t="s">
        <v>3453</v>
      </c>
      <c r="K24" s="937" t="s">
        <v>3035</v>
      </c>
      <c r="L24" s="937">
        <v>16</v>
      </c>
      <c r="M24" s="734">
        <v>23130</v>
      </c>
    </row>
    <row r="25" spans="2:13" ht="16.5" customHeight="1" thickBot="1">
      <c r="B25" s="936" t="s">
        <v>3477</v>
      </c>
      <c r="C25" s="953"/>
      <c r="D25" s="953"/>
      <c r="E25" s="935">
        <v>250000</v>
      </c>
      <c r="J25" s="936" t="s">
        <v>3477</v>
      </c>
      <c r="K25" s="953"/>
      <c r="L25" s="953"/>
      <c r="M25" s="935">
        <v>250000</v>
      </c>
    </row>
    <row r="26" spans="2:13" ht="16.5" customHeight="1" thickBot="1">
      <c r="B26" s="936" t="s">
        <v>3477</v>
      </c>
      <c r="C26" s="953"/>
      <c r="D26" s="953"/>
      <c r="E26" s="734">
        <v>250000</v>
      </c>
      <c r="J26" s="936" t="s">
        <v>3477</v>
      </c>
      <c r="K26" s="953"/>
      <c r="L26" s="953"/>
      <c r="M26" s="734">
        <v>250000</v>
      </c>
    </row>
    <row r="27" spans="2:13" ht="25.5" customHeight="1" thickBot="1">
      <c r="B27" s="933" t="s">
        <v>3458</v>
      </c>
      <c r="C27" s="950"/>
      <c r="D27" s="950"/>
      <c r="E27" s="935">
        <v>313400</v>
      </c>
      <c r="J27" s="933" t="s">
        <v>3458</v>
      </c>
      <c r="K27" s="950"/>
      <c r="L27" s="950"/>
      <c r="M27" s="935">
        <v>313400</v>
      </c>
    </row>
    <row r="28" spans="2:13" ht="13.5" thickBot="1">
      <c r="B28" s="936" t="s">
        <v>3476</v>
      </c>
      <c r="C28" s="953" t="s">
        <v>3034</v>
      </c>
      <c r="D28" s="953">
        <v>120</v>
      </c>
      <c r="E28" s="935">
        <v>313400</v>
      </c>
      <c r="J28" s="936" t="s">
        <v>3476</v>
      </c>
      <c r="K28" s="953" t="s">
        <v>3034</v>
      </c>
      <c r="L28" s="953">
        <v>120</v>
      </c>
      <c r="M28" s="935">
        <v>313400</v>
      </c>
    </row>
    <row r="29" spans="2:13" ht="21" customHeight="1" thickBot="1">
      <c r="B29" s="932" t="s">
        <v>3461</v>
      </c>
      <c r="C29" s="723"/>
      <c r="D29" s="954"/>
      <c r="E29" s="724">
        <v>47750</v>
      </c>
      <c r="J29" s="932" t="s">
        <v>3461</v>
      </c>
      <c r="K29" s="723"/>
      <c r="L29" s="954"/>
      <c r="M29" s="724"/>
    </row>
    <row r="30" spans="2:13" ht="24" customHeight="1" thickBot="1">
      <c r="B30" s="936" t="s">
        <v>3461</v>
      </c>
      <c r="C30" s="937"/>
      <c r="D30" s="937"/>
      <c r="E30" s="734">
        <v>47750</v>
      </c>
      <c r="J30" s="936" t="s">
        <v>3461</v>
      </c>
      <c r="K30" s="937"/>
      <c r="L30" s="937"/>
      <c r="M30" s="734"/>
    </row>
    <row r="31" spans="2:13" ht="39" customHeight="1" thickBot="1">
      <c r="B31" s="936" t="s">
        <v>3478</v>
      </c>
      <c r="C31" s="953" t="s">
        <v>3030</v>
      </c>
      <c r="D31" s="953">
        <v>1</v>
      </c>
      <c r="E31" s="734"/>
      <c r="J31" s="936" t="s">
        <v>3478</v>
      </c>
      <c r="K31" s="953" t="s">
        <v>3030</v>
      </c>
      <c r="L31" s="953">
        <v>1</v>
      </c>
      <c r="M31" s="734"/>
    </row>
    <row r="32" spans="2:13">
      <c r="E32" s="941">
        <f>E4+E5+E10+E15+E22+E25+E27+E29</f>
        <v>2001896</v>
      </c>
      <c r="G32" t="e">
        <f>E4+E5+E10+E15+E29+#REF!+E31</f>
        <v>#REF!</v>
      </c>
      <c r="M32">
        <f>M4+M5+M10+M15+M22+M25+M27+M29</f>
        <v>1933904</v>
      </c>
    </row>
    <row r="33" spans="4:15">
      <c r="M33" s="941"/>
      <c r="O33">
        <f>M4+M5+M10+M15+M22+M27</f>
        <v>1683904</v>
      </c>
    </row>
    <row r="34" spans="4:15">
      <c r="E34">
        <f>(E31+M31)/2</f>
        <v>0</v>
      </c>
      <c r="J34" s="941">
        <f>E32+M32</f>
        <v>3935800</v>
      </c>
      <c r="K34" t="s">
        <v>3486</v>
      </c>
    </row>
    <row r="35" spans="4:15">
      <c r="G35">
        <v>1967900</v>
      </c>
      <c r="J35">
        <f>G5+O6+G15+O15</f>
        <v>3935800</v>
      </c>
      <c r="K35" t="s">
        <v>3485</v>
      </c>
    </row>
    <row r="36" spans="4:15">
      <c r="D36">
        <v>0</v>
      </c>
    </row>
    <row r="37" spans="4:15">
      <c r="G37">
        <v>3935800</v>
      </c>
      <c r="J37">
        <f>E32+M33</f>
        <v>2001896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J24"/>
  <sheetViews>
    <sheetView workbookViewId="0">
      <selection activeCell="Q18" sqref="Q18"/>
    </sheetView>
  </sheetViews>
  <sheetFormatPr defaultColWidth="8.85546875" defaultRowHeight="12.75"/>
  <cols>
    <col min="4" max="4" width="14.140625" customWidth="1"/>
    <col min="10" max="10" width="12.28515625" customWidth="1"/>
  </cols>
  <sheetData>
    <row r="2" spans="4:10" ht="13.5" thickBot="1"/>
    <row r="3" spans="4:10" ht="19.5" customHeight="1">
      <c r="D3" s="2735">
        <v>87475.64</v>
      </c>
      <c r="G3">
        <v>78728.08</v>
      </c>
      <c r="H3" s="616">
        <f>D3-G3</f>
        <v>8747.5599999999977</v>
      </c>
      <c r="J3" s="2735">
        <v>87475.64</v>
      </c>
    </row>
    <row r="4" spans="4:10" ht="13.5" thickBot="1">
      <c r="D4" s="2736"/>
      <c r="J4" s="2736"/>
    </row>
    <row r="5" spans="4:10" ht="15.75" thickBot="1">
      <c r="D5" s="612">
        <v>174951.27</v>
      </c>
      <c r="J5" s="612">
        <v>174951.27</v>
      </c>
    </row>
    <row r="6" spans="4:10" ht="15.75" thickBot="1">
      <c r="D6" s="612">
        <v>34990.25</v>
      </c>
      <c r="J6" s="612">
        <v>34990.25</v>
      </c>
    </row>
    <row r="7" spans="4:10" ht="15.75" thickBot="1">
      <c r="D7" s="612">
        <v>69980.509999999995</v>
      </c>
      <c r="J7" s="612">
        <v>69980.509999999995</v>
      </c>
    </row>
    <row r="8" spans="4:10" ht="15.75" thickBot="1">
      <c r="D8" s="612">
        <v>34990.25</v>
      </c>
      <c r="J8" s="612">
        <v>34990.25</v>
      </c>
    </row>
    <row r="9" spans="4:10" ht="15.75" thickBot="1">
      <c r="D9" s="612">
        <v>34990.25</v>
      </c>
      <c r="J9" s="612">
        <v>34990.25</v>
      </c>
    </row>
    <row r="10" spans="4:10" ht="15.75" thickBot="1">
      <c r="D10" s="612">
        <v>69980.509999999995</v>
      </c>
      <c r="J10" s="612">
        <v>69980.509999999995</v>
      </c>
    </row>
    <row r="11" spans="4:10" ht="15.75" thickBot="1">
      <c r="D11" s="612">
        <v>69980.509999999995</v>
      </c>
      <c r="J11" s="612">
        <v>69980.509999999995</v>
      </c>
    </row>
    <row r="12" spans="4:10" ht="15.75" thickBot="1">
      <c r="D12" s="612">
        <v>52485.38</v>
      </c>
      <c r="J12" s="612">
        <v>52485.38</v>
      </c>
    </row>
    <row r="13" spans="4:10" ht="15.75" thickBot="1">
      <c r="D13" s="612">
        <v>34990.25</v>
      </c>
      <c r="J13" s="612">
        <v>34990.25</v>
      </c>
    </row>
    <row r="14" spans="4:10" ht="15.75" thickBot="1">
      <c r="D14" s="612">
        <v>139961.01</v>
      </c>
      <c r="J14" s="612">
        <v>139961.01</v>
      </c>
    </row>
    <row r="15" spans="4:10" ht="15.75" thickBot="1">
      <c r="D15" s="1916">
        <v>17495.13</v>
      </c>
      <c r="J15" s="1916">
        <v>17495.13</v>
      </c>
    </row>
    <row r="16" spans="4:10" ht="15.75" thickBot="1">
      <c r="D16" s="612">
        <v>52485.38</v>
      </c>
      <c r="J16" s="612">
        <v>52485.38</v>
      </c>
    </row>
    <row r="17" spans="4:10" ht="15.75" thickBot="1">
      <c r="D17" s="612">
        <v>87475.63</v>
      </c>
      <c r="J17" s="612">
        <v>87475.63</v>
      </c>
    </row>
    <row r="18" spans="4:10" ht="15">
      <c r="D18" s="1917">
        <v>34990.25</v>
      </c>
      <c r="J18" s="1917">
        <v>34990.25</v>
      </c>
    </row>
    <row r="19" spans="4:10" ht="15.75" thickBot="1">
      <c r="D19" s="613" t="s">
        <v>1551</v>
      </c>
      <c r="J19" s="613" t="s">
        <v>1551</v>
      </c>
    </row>
    <row r="20" spans="4:10" ht="15.75" thickBot="1">
      <c r="D20" s="612">
        <v>17495.13</v>
      </c>
      <c r="J20" s="612">
        <v>17495.13</v>
      </c>
    </row>
    <row r="21" spans="4:10">
      <c r="D21" s="616">
        <f>D3+D5+D6+D7+D8+D9+D10+D11+D12+D13+D14+D15+D16+D17++D18+D20</f>
        <v>1014717.35</v>
      </c>
      <c r="J21" s="2735">
        <v>8747.56</v>
      </c>
    </row>
    <row r="22" spans="4:10">
      <c r="D22" s="616">
        <f>D21+H3</f>
        <v>1023464.9099999999</v>
      </c>
      <c r="J22" s="2737"/>
    </row>
    <row r="23" spans="4:10" ht="13.5" thickBot="1">
      <c r="J23" s="2736"/>
    </row>
    <row r="24" spans="4:10">
      <c r="J24" s="616">
        <f>J3+J5+J6+J7+J8+J9+J10+J11+J12+J13+J14+J15+J16+J17+J18+J20+J21</f>
        <v>1023464.91</v>
      </c>
    </row>
  </sheetData>
  <mergeCells count="3">
    <mergeCell ref="D3:D4"/>
    <mergeCell ref="J3:J4"/>
    <mergeCell ref="J21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4"/>
  <sheetViews>
    <sheetView topLeftCell="J1" workbookViewId="0">
      <selection activeCell="P15" sqref="P15"/>
    </sheetView>
  </sheetViews>
  <sheetFormatPr defaultColWidth="8.85546875" defaultRowHeight="12.75"/>
  <cols>
    <col min="2" max="2" width="26.140625" customWidth="1"/>
    <col min="5" max="5" width="12.7109375" customWidth="1"/>
    <col min="7" max="7" width="11.7109375" bestFit="1" customWidth="1"/>
    <col min="9" max="9" width="32.28515625" customWidth="1"/>
    <col min="12" max="12" width="23.42578125" customWidth="1"/>
    <col min="16" max="16" width="24.85546875" customWidth="1"/>
    <col min="19" max="19" width="11.42578125" customWidth="1"/>
    <col min="23" max="23" width="25" customWidth="1"/>
    <col min="26" max="26" width="11.7109375" bestFit="1" customWidth="1"/>
    <col min="28" max="28" width="11.7109375" bestFit="1" customWidth="1"/>
    <col min="29" max="29" width="10.7109375" bestFit="1" customWidth="1"/>
  </cols>
  <sheetData>
    <row r="2" spans="2:29" ht="13.5" thickBot="1"/>
    <row r="3" spans="2:29" ht="41.25" customHeight="1" thickBot="1">
      <c r="B3" s="942" t="s">
        <v>3432</v>
      </c>
      <c r="C3" s="943" t="s">
        <v>3030</v>
      </c>
      <c r="D3" s="943">
        <v>1</v>
      </c>
      <c r="E3" s="939">
        <v>460000</v>
      </c>
      <c r="G3" t="s">
        <v>3490</v>
      </c>
      <c r="I3" s="956" t="s">
        <v>3432</v>
      </c>
      <c r="J3" s="943" t="s">
        <v>3030</v>
      </c>
      <c r="K3" s="943">
        <v>1</v>
      </c>
      <c r="L3" s="939">
        <v>460000</v>
      </c>
      <c r="P3" s="956" t="s">
        <v>3432</v>
      </c>
      <c r="Q3" s="943" t="s">
        <v>3030</v>
      </c>
      <c r="R3" s="943">
        <v>1</v>
      </c>
      <c r="S3" s="939">
        <v>460000</v>
      </c>
      <c r="W3" s="942" t="s">
        <v>3432</v>
      </c>
      <c r="X3" s="943" t="s">
        <v>3030</v>
      </c>
      <c r="Y3" s="943">
        <v>1</v>
      </c>
      <c r="Z3" s="1922">
        <v>467053</v>
      </c>
    </row>
    <row r="4" spans="2:29" ht="29.25" customHeight="1" thickBot="1">
      <c r="B4" s="732" t="s">
        <v>3433</v>
      </c>
      <c r="C4" s="723"/>
      <c r="D4" s="723"/>
      <c r="E4" s="728">
        <v>16500</v>
      </c>
      <c r="G4" s="616">
        <f>E3+E4+E9</f>
        <v>1202395</v>
      </c>
      <c r="I4" s="732" t="s">
        <v>3433</v>
      </c>
      <c r="J4" s="723"/>
      <c r="K4" s="723"/>
      <c r="L4" s="728">
        <v>16500</v>
      </c>
      <c r="P4" s="732" t="s">
        <v>3433</v>
      </c>
      <c r="Q4" s="723"/>
      <c r="R4" s="723"/>
      <c r="S4" s="728">
        <v>16500</v>
      </c>
      <c r="W4" s="732" t="s">
        <v>3433</v>
      </c>
      <c r="X4" s="723"/>
      <c r="Y4" s="723"/>
      <c r="Z4" s="728">
        <v>14250</v>
      </c>
      <c r="AB4">
        <f>Z5+Z6+Z7+Z8</f>
        <v>14250</v>
      </c>
    </row>
    <row r="5" spans="2:29" ht="36" customHeight="1" thickBot="1">
      <c r="B5" s="731" t="s">
        <v>3434</v>
      </c>
      <c r="C5" s="725" t="s">
        <v>3031</v>
      </c>
      <c r="D5" s="725">
        <v>0.09</v>
      </c>
      <c r="E5" s="726">
        <v>4125</v>
      </c>
      <c r="I5" s="731" t="s">
        <v>3434</v>
      </c>
      <c r="J5" s="725" t="s">
        <v>3031</v>
      </c>
      <c r="K5" s="725">
        <v>0.09</v>
      </c>
      <c r="L5" s="726">
        <v>4125</v>
      </c>
      <c r="P5" s="731" t="s">
        <v>3434</v>
      </c>
      <c r="Q5" s="725" t="s">
        <v>3031</v>
      </c>
      <c r="R5" s="725">
        <v>0.09</v>
      </c>
      <c r="S5" s="726">
        <v>4125</v>
      </c>
      <c r="W5" s="731" t="s">
        <v>3434</v>
      </c>
      <c r="X5" s="725" t="s">
        <v>3031</v>
      </c>
      <c r="Y5" s="725">
        <v>0.09</v>
      </c>
      <c r="Z5" s="1923">
        <v>3875</v>
      </c>
    </row>
    <row r="6" spans="2:29" ht="21" customHeight="1" thickBot="1">
      <c r="B6" s="928" t="s">
        <v>3435</v>
      </c>
      <c r="C6" s="725" t="s">
        <v>3032</v>
      </c>
      <c r="D6" s="725">
        <v>3.1</v>
      </c>
      <c r="E6" s="726">
        <v>2475</v>
      </c>
      <c r="G6" t="s">
        <v>3491</v>
      </c>
      <c r="I6" s="928" t="s">
        <v>3435</v>
      </c>
      <c r="J6" s="725" t="s">
        <v>3032</v>
      </c>
      <c r="K6" s="725">
        <v>3.1</v>
      </c>
      <c r="L6" s="726">
        <v>2475</v>
      </c>
      <c r="P6" s="928" t="s">
        <v>3435</v>
      </c>
      <c r="Q6" s="725" t="s">
        <v>3032</v>
      </c>
      <c r="R6" s="725">
        <v>3.1</v>
      </c>
      <c r="S6" s="726">
        <v>2475</v>
      </c>
      <c r="W6" s="928" t="s">
        <v>3435</v>
      </c>
      <c r="X6" s="725" t="s">
        <v>3032</v>
      </c>
      <c r="Y6" s="725">
        <v>3.1</v>
      </c>
      <c r="Z6" s="726">
        <v>3325</v>
      </c>
    </row>
    <row r="7" spans="2:29" ht="19.5" customHeight="1" thickBot="1">
      <c r="B7" s="928" t="s">
        <v>3436</v>
      </c>
      <c r="C7" s="725" t="s">
        <v>1999</v>
      </c>
      <c r="D7" s="725">
        <v>1.2E-2</v>
      </c>
      <c r="E7" s="726">
        <v>4126</v>
      </c>
      <c r="I7" s="928" t="s">
        <v>3436</v>
      </c>
      <c r="J7" s="725" t="s">
        <v>1999</v>
      </c>
      <c r="K7" s="725">
        <v>1.2E-2</v>
      </c>
      <c r="L7" s="726">
        <v>4126</v>
      </c>
      <c r="P7" s="928" t="s">
        <v>3436</v>
      </c>
      <c r="Q7" s="725" t="s">
        <v>1999</v>
      </c>
      <c r="R7" s="725">
        <v>1.2E-2</v>
      </c>
      <c r="S7" s="726">
        <v>4126</v>
      </c>
      <c r="W7" s="928" t="s">
        <v>3436</v>
      </c>
      <c r="X7" s="725" t="s">
        <v>1999</v>
      </c>
      <c r="Y7" s="725">
        <v>1.2E-2</v>
      </c>
      <c r="Z7" s="726">
        <v>2985</v>
      </c>
    </row>
    <row r="8" spans="2:29" ht="12.75" customHeight="1" thickBot="1">
      <c r="B8" s="928" t="s">
        <v>3437</v>
      </c>
      <c r="C8" s="725" t="s">
        <v>3032</v>
      </c>
      <c r="D8" s="725">
        <v>14</v>
      </c>
      <c r="E8" s="726">
        <v>5774</v>
      </c>
      <c r="G8">
        <f>E17+E25+E28+E32+E34</f>
        <v>1386296</v>
      </c>
      <c r="I8" s="928" t="s">
        <v>3437</v>
      </c>
      <c r="J8" s="725" t="s">
        <v>3032</v>
      </c>
      <c r="K8" s="725">
        <v>14</v>
      </c>
      <c r="L8" s="726">
        <v>5774</v>
      </c>
      <c r="P8" s="928" t="s">
        <v>3437</v>
      </c>
      <c r="Q8" s="725" t="s">
        <v>3032</v>
      </c>
      <c r="R8" s="725">
        <v>14</v>
      </c>
      <c r="S8" s="726">
        <v>5774</v>
      </c>
      <c r="W8" s="928" t="s">
        <v>3437</v>
      </c>
      <c r="X8" s="725" t="s">
        <v>3032</v>
      </c>
      <c r="Y8" s="725">
        <v>9.4</v>
      </c>
      <c r="Z8" s="726">
        <v>4065</v>
      </c>
    </row>
    <row r="9" spans="2:29" ht="32.25" customHeight="1" thickBot="1">
      <c r="B9" s="732" t="s">
        <v>3047</v>
      </c>
      <c r="C9" s="733"/>
      <c r="D9" s="727"/>
      <c r="E9" s="724">
        <v>725895</v>
      </c>
      <c r="I9" s="732" t="s">
        <v>3047</v>
      </c>
      <c r="J9" s="733"/>
      <c r="K9" s="727"/>
      <c r="L9" s="724">
        <v>725895</v>
      </c>
      <c r="P9" s="732" t="s">
        <v>3047</v>
      </c>
      <c r="Q9" s="733"/>
      <c r="R9" s="727"/>
      <c r="S9" s="724">
        <v>725895</v>
      </c>
      <c r="W9" s="732" t="s">
        <v>3047</v>
      </c>
      <c r="X9" s="733"/>
      <c r="Y9" s="733"/>
      <c r="Z9" s="724">
        <v>360480</v>
      </c>
      <c r="AB9">
        <f>Z10+Z11+Z12+Z13+Z14+Z15</f>
        <v>360480</v>
      </c>
      <c r="AC9" t="e">
        <f>#REF!+#REF!+#REF!+#REF!+#REF!+#REF!</f>
        <v>#REF!</v>
      </c>
    </row>
    <row r="10" spans="2:29" ht="53.25" customHeight="1" thickBot="1">
      <c r="B10" s="929" t="s">
        <v>3045</v>
      </c>
      <c r="C10" s="930" t="s">
        <v>3032</v>
      </c>
      <c r="D10" s="930">
        <v>80</v>
      </c>
      <c r="E10" s="726">
        <v>39550</v>
      </c>
      <c r="I10" s="929" t="s">
        <v>3045</v>
      </c>
      <c r="J10" s="930" t="s">
        <v>3032</v>
      </c>
      <c r="K10" s="930">
        <v>80</v>
      </c>
      <c r="L10" s="726">
        <v>39550</v>
      </c>
      <c r="P10" s="929" t="s">
        <v>3045</v>
      </c>
      <c r="Q10" s="930" t="s">
        <v>3032</v>
      </c>
      <c r="R10" s="930">
        <v>80</v>
      </c>
      <c r="S10" s="726">
        <v>39550</v>
      </c>
      <c r="W10" s="731" t="s">
        <v>3045</v>
      </c>
      <c r="X10" s="725" t="s">
        <v>3032</v>
      </c>
      <c r="Y10" s="725">
        <v>153</v>
      </c>
      <c r="Z10" s="726">
        <v>74750</v>
      </c>
    </row>
    <row r="11" spans="2:29" ht="40.5" customHeight="1" thickBot="1">
      <c r="B11" s="929" t="s">
        <v>3046</v>
      </c>
      <c r="C11" s="930" t="s">
        <v>1999</v>
      </c>
      <c r="D11" s="930">
        <v>0.16</v>
      </c>
      <c r="E11" s="726">
        <v>4500</v>
      </c>
      <c r="I11" s="929" t="s">
        <v>3046</v>
      </c>
      <c r="J11" s="930" t="s">
        <v>1999</v>
      </c>
      <c r="K11" s="930">
        <v>0.16</v>
      </c>
      <c r="L11" s="726">
        <v>4500</v>
      </c>
      <c r="P11" s="929" t="s">
        <v>3046</v>
      </c>
      <c r="Q11" s="930" t="s">
        <v>1999</v>
      </c>
      <c r="R11" s="930">
        <v>0.16</v>
      </c>
      <c r="S11" s="726">
        <v>4500</v>
      </c>
      <c r="W11" s="731" t="s">
        <v>4371</v>
      </c>
      <c r="X11" s="725" t="s">
        <v>1999</v>
      </c>
      <c r="Y11" s="1924">
        <v>0.17299999999999999</v>
      </c>
      <c r="Z11" s="726">
        <v>17250</v>
      </c>
    </row>
    <row r="12" spans="2:29" ht="42" customHeight="1" thickBot="1">
      <c r="B12" s="929" t="s">
        <v>3438</v>
      </c>
      <c r="C12" s="930" t="s">
        <v>1999</v>
      </c>
      <c r="D12" s="930">
        <v>2.4</v>
      </c>
      <c r="E12" s="726">
        <v>487000</v>
      </c>
      <c r="I12" s="929" t="s">
        <v>3438</v>
      </c>
      <c r="J12" s="930" t="s">
        <v>1999</v>
      </c>
      <c r="K12" s="930">
        <v>2.4</v>
      </c>
      <c r="L12" s="726">
        <v>487000</v>
      </c>
      <c r="P12" s="929" t="s">
        <v>3438</v>
      </c>
      <c r="Q12" s="930" t="s">
        <v>1999</v>
      </c>
      <c r="R12" s="930">
        <v>2.4</v>
      </c>
      <c r="S12" s="726">
        <v>487000</v>
      </c>
      <c r="W12" s="731" t="s">
        <v>3440</v>
      </c>
      <c r="X12" s="725" t="s">
        <v>3468</v>
      </c>
      <c r="Y12" s="725">
        <v>15</v>
      </c>
      <c r="Z12" s="726">
        <v>112000</v>
      </c>
    </row>
    <row r="13" spans="2:29" ht="20.25" customHeight="1" thickBot="1">
      <c r="B13" s="929" t="s">
        <v>3439</v>
      </c>
      <c r="C13" s="930" t="s">
        <v>1999</v>
      </c>
      <c r="D13" s="930">
        <v>1.6799999999999999E-2</v>
      </c>
      <c r="E13" s="726">
        <v>32510</v>
      </c>
      <c r="I13" s="929" t="s">
        <v>3439</v>
      </c>
      <c r="J13" s="930" t="s">
        <v>1999</v>
      </c>
      <c r="K13" s="930">
        <v>1.6799999999999999E-2</v>
      </c>
      <c r="L13" s="726">
        <v>32510</v>
      </c>
      <c r="P13" s="929" t="s">
        <v>3439</v>
      </c>
      <c r="Q13" s="930" t="s">
        <v>1999</v>
      </c>
      <c r="R13" s="930">
        <v>1.6799999999999999E-2</v>
      </c>
      <c r="S13" s="726">
        <v>32510</v>
      </c>
      <c r="W13" s="731" t="s">
        <v>4372</v>
      </c>
      <c r="X13" s="725" t="s">
        <v>3032</v>
      </c>
      <c r="Y13" s="725">
        <v>137</v>
      </c>
      <c r="Z13" s="726">
        <v>28961</v>
      </c>
    </row>
    <row r="14" spans="2:29" ht="60" customHeight="1" thickBot="1">
      <c r="B14" s="929" t="s">
        <v>3440</v>
      </c>
      <c r="C14" s="931" t="s">
        <v>3441</v>
      </c>
      <c r="D14" s="930">
        <v>7</v>
      </c>
      <c r="E14" s="726">
        <v>102300</v>
      </c>
      <c r="I14" s="929" t="s">
        <v>3440</v>
      </c>
      <c r="J14" s="931" t="s">
        <v>3441</v>
      </c>
      <c r="K14" s="930">
        <v>7</v>
      </c>
      <c r="L14" s="726">
        <v>102300</v>
      </c>
      <c r="P14" s="929" t="s">
        <v>3440</v>
      </c>
      <c r="Q14" s="931" t="s">
        <v>3441</v>
      </c>
      <c r="R14" s="930">
        <v>7</v>
      </c>
      <c r="S14" s="726">
        <v>102300</v>
      </c>
      <c r="W14" s="731" t="s">
        <v>4373</v>
      </c>
      <c r="X14" s="725" t="s">
        <v>3032</v>
      </c>
      <c r="Y14" s="725">
        <v>335</v>
      </c>
      <c r="Z14" s="726">
        <v>71769</v>
      </c>
    </row>
    <row r="15" spans="2:29" ht="50.25" customHeight="1" thickBot="1">
      <c r="B15" s="929" t="s">
        <v>3442</v>
      </c>
      <c r="C15" s="930" t="s">
        <v>3032</v>
      </c>
      <c r="D15" s="930">
        <v>245</v>
      </c>
      <c r="E15" s="726">
        <v>38000</v>
      </c>
      <c r="I15" s="929" t="s">
        <v>3442</v>
      </c>
      <c r="J15" s="930" t="s">
        <v>3032</v>
      </c>
      <c r="K15" s="930">
        <v>245</v>
      </c>
      <c r="L15" s="726">
        <v>38000</v>
      </c>
      <c r="P15" s="929" t="s">
        <v>3442</v>
      </c>
      <c r="Q15" s="930" t="s">
        <v>3032</v>
      </c>
      <c r="R15" s="930">
        <v>245</v>
      </c>
      <c r="S15" s="726">
        <v>38000</v>
      </c>
      <c r="W15" s="731" t="s">
        <v>4374</v>
      </c>
      <c r="X15" s="725" t="s">
        <v>3032</v>
      </c>
      <c r="Y15" s="725">
        <v>335</v>
      </c>
      <c r="Z15" s="726">
        <v>55750</v>
      </c>
    </row>
    <row r="16" spans="2:29" ht="26.25" customHeight="1" thickBot="1">
      <c r="B16" s="929" t="s">
        <v>3443</v>
      </c>
      <c r="C16" s="930" t="s">
        <v>3032</v>
      </c>
      <c r="D16" s="930">
        <v>386</v>
      </c>
      <c r="E16" s="726">
        <v>22035</v>
      </c>
      <c r="I16" s="929" t="s">
        <v>3443</v>
      </c>
      <c r="J16" s="930" t="s">
        <v>3032</v>
      </c>
      <c r="K16" s="930">
        <v>386</v>
      </c>
      <c r="L16" s="726">
        <v>22035</v>
      </c>
      <c r="P16" s="929" t="s">
        <v>3443</v>
      </c>
      <c r="Q16" s="930" t="s">
        <v>3032</v>
      </c>
      <c r="R16" s="930">
        <v>386</v>
      </c>
      <c r="S16" s="726">
        <v>22035</v>
      </c>
      <c r="W16" s="932" t="s">
        <v>3444</v>
      </c>
      <c r="X16" s="733"/>
      <c r="Y16" s="733"/>
      <c r="Z16" s="724">
        <v>144778</v>
      </c>
    </row>
    <row r="17" spans="2:29" ht="30.75" customHeight="1" thickBot="1">
      <c r="B17" s="932" t="s">
        <v>3444</v>
      </c>
      <c r="C17" s="733"/>
      <c r="D17" s="727"/>
      <c r="E17" s="724">
        <v>150290</v>
      </c>
      <c r="I17" s="932" t="s">
        <v>3444</v>
      </c>
      <c r="J17" s="733"/>
      <c r="K17" s="727"/>
      <c r="L17" s="724">
        <v>150290</v>
      </c>
      <c r="P17" s="932" t="s">
        <v>3444</v>
      </c>
      <c r="Q17" s="733"/>
      <c r="R17" s="727"/>
      <c r="S17" s="724">
        <v>150290</v>
      </c>
      <c r="W17" s="731" t="s">
        <v>3445</v>
      </c>
      <c r="X17" s="725" t="s">
        <v>1999</v>
      </c>
      <c r="Y17" s="725">
        <v>0.05</v>
      </c>
      <c r="Z17" s="726">
        <v>2300</v>
      </c>
    </row>
    <row r="18" spans="2:29" ht="21.75" customHeight="1" thickBot="1">
      <c r="B18" s="731" t="s">
        <v>3445</v>
      </c>
      <c r="C18" s="725" t="s">
        <v>1999</v>
      </c>
      <c r="D18" s="725">
        <v>0.1</v>
      </c>
      <c r="E18" s="726">
        <v>4520</v>
      </c>
      <c r="I18" s="731" t="s">
        <v>3445</v>
      </c>
      <c r="J18" s="725" t="s">
        <v>1999</v>
      </c>
      <c r="K18" s="725">
        <v>0.1</v>
      </c>
      <c r="L18" s="726">
        <v>4520</v>
      </c>
      <c r="P18" s="731" t="s">
        <v>3445</v>
      </c>
      <c r="Q18" s="725" t="s">
        <v>1999</v>
      </c>
      <c r="R18" s="725">
        <v>0.1</v>
      </c>
      <c r="S18" s="726">
        <v>4520</v>
      </c>
      <c r="W18" s="731" t="s">
        <v>4375</v>
      </c>
      <c r="X18" s="725" t="s">
        <v>3033</v>
      </c>
      <c r="Y18" s="725">
        <v>1</v>
      </c>
      <c r="Z18" s="726">
        <v>46000</v>
      </c>
    </row>
    <row r="19" spans="2:29" ht="18.75" customHeight="1" thickBot="1">
      <c r="B19" s="731" t="s">
        <v>3446</v>
      </c>
      <c r="C19" s="725" t="s">
        <v>3033</v>
      </c>
      <c r="D19" s="725">
        <v>2</v>
      </c>
      <c r="E19" s="726">
        <v>67800</v>
      </c>
      <c r="I19" s="731" t="s">
        <v>3446</v>
      </c>
      <c r="J19" s="725" t="s">
        <v>3033</v>
      </c>
      <c r="K19" s="725">
        <v>2</v>
      </c>
      <c r="L19" s="726">
        <v>67800</v>
      </c>
      <c r="P19" s="731" t="s">
        <v>3446</v>
      </c>
      <c r="Q19" s="725" t="s">
        <v>3033</v>
      </c>
      <c r="R19" s="725">
        <v>2</v>
      </c>
      <c r="S19" s="726">
        <v>67800</v>
      </c>
      <c r="W19" s="731" t="s">
        <v>3439</v>
      </c>
      <c r="X19" s="725" t="s">
        <v>1999</v>
      </c>
      <c r="Y19" s="725">
        <v>0.01</v>
      </c>
      <c r="Z19" s="726">
        <v>9200</v>
      </c>
    </row>
    <row r="20" spans="2:29" ht="25.5" customHeight="1" thickBot="1">
      <c r="B20" s="731" t="s">
        <v>3439</v>
      </c>
      <c r="C20" s="725" t="s">
        <v>1999</v>
      </c>
      <c r="D20" s="725">
        <v>0.01</v>
      </c>
      <c r="E20" s="726">
        <v>9040</v>
      </c>
      <c r="I20" s="731" t="s">
        <v>3439</v>
      </c>
      <c r="J20" s="725" t="s">
        <v>1999</v>
      </c>
      <c r="K20" s="725">
        <v>0.01</v>
      </c>
      <c r="L20" s="726">
        <v>9040</v>
      </c>
      <c r="P20" s="731" t="s">
        <v>3439</v>
      </c>
      <c r="Q20" s="725" t="s">
        <v>1999</v>
      </c>
      <c r="R20" s="725">
        <v>0.01</v>
      </c>
      <c r="S20" s="726">
        <v>9040</v>
      </c>
      <c r="W20" s="731" t="s">
        <v>3447</v>
      </c>
      <c r="X20" s="725" t="s">
        <v>1999</v>
      </c>
      <c r="Y20" s="725">
        <v>6.8000000000000005E-2</v>
      </c>
      <c r="Z20" s="726">
        <v>13978</v>
      </c>
    </row>
    <row r="21" spans="2:29" ht="41.25" customHeight="1" thickBot="1">
      <c r="B21" s="731" t="s">
        <v>3447</v>
      </c>
      <c r="C21" s="725" t="s">
        <v>1999</v>
      </c>
      <c r="D21" s="725">
        <v>6.8000000000000005E-2</v>
      </c>
      <c r="E21" s="726">
        <v>13560</v>
      </c>
      <c r="I21" s="731" t="s">
        <v>3447</v>
      </c>
      <c r="J21" s="725" t="s">
        <v>1999</v>
      </c>
      <c r="K21" s="725">
        <v>6.8000000000000005E-2</v>
      </c>
      <c r="L21" s="726">
        <v>13560</v>
      </c>
      <c r="P21" s="731" t="s">
        <v>3447</v>
      </c>
      <c r="Q21" s="725" t="s">
        <v>1999</v>
      </c>
      <c r="R21" s="725">
        <v>6.8000000000000005E-2</v>
      </c>
      <c r="S21" s="726">
        <v>13560</v>
      </c>
      <c r="W21" s="731" t="s">
        <v>3448</v>
      </c>
      <c r="X21" s="725" t="s">
        <v>3032</v>
      </c>
      <c r="Y21" s="725">
        <v>43</v>
      </c>
      <c r="Z21" s="726">
        <v>33000</v>
      </c>
    </row>
    <row r="22" spans="2:29" ht="33" customHeight="1" thickBot="1">
      <c r="B22" s="731" t="s">
        <v>3448</v>
      </c>
      <c r="C22" s="725" t="s">
        <v>3032</v>
      </c>
      <c r="D22" s="725">
        <v>78.599999999999994</v>
      </c>
      <c r="E22" s="726">
        <v>6780</v>
      </c>
      <c r="I22" s="731" t="s">
        <v>3448</v>
      </c>
      <c r="J22" s="725" t="s">
        <v>3032</v>
      </c>
      <c r="K22" s="725">
        <v>78.599999999999994</v>
      </c>
      <c r="L22" s="726">
        <v>6780</v>
      </c>
      <c r="P22" s="731" t="s">
        <v>3448</v>
      </c>
      <c r="Q22" s="725" t="s">
        <v>3032</v>
      </c>
      <c r="R22" s="725">
        <v>78.599999999999994</v>
      </c>
      <c r="S22" s="726">
        <v>6780</v>
      </c>
      <c r="W22" s="731" t="s">
        <v>3449</v>
      </c>
      <c r="X22" s="725" t="s">
        <v>3032</v>
      </c>
      <c r="Y22" s="725">
        <v>12</v>
      </c>
      <c r="Z22" s="726">
        <v>2300</v>
      </c>
    </row>
    <row r="23" spans="2:29" ht="22.5" customHeight="1" thickBot="1">
      <c r="B23" s="731" t="s">
        <v>3449</v>
      </c>
      <c r="C23" s="725" t="s">
        <v>3032</v>
      </c>
      <c r="D23" s="725">
        <v>12</v>
      </c>
      <c r="E23" s="726">
        <v>3390</v>
      </c>
      <c r="I23" s="731" t="s">
        <v>3449</v>
      </c>
      <c r="J23" s="725" t="s">
        <v>3032</v>
      </c>
      <c r="K23" s="725">
        <v>12</v>
      </c>
      <c r="L23" s="726">
        <v>3390</v>
      </c>
      <c r="P23" s="731" t="s">
        <v>3449</v>
      </c>
      <c r="Q23" s="725" t="s">
        <v>3032</v>
      </c>
      <c r="R23" s="725">
        <v>12</v>
      </c>
      <c r="S23" s="726">
        <v>3390</v>
      </c>
      <c r="W23" s="731" t="s">
        <v>3450</v>
      </c>
      <c r="X23" s="725" t="s">
        <v>3032</v>
      </c>
      <c r="Y23" s="725">
        <v>57</v>
      </c>
      <c r="Z23" s="726">
        <v>38000</v>
      </c>
    </row>
    <row r="24" spans="2:29" ht="12.75" customHeight="1" thickBot="1">
      <c r="B24" s="731" t="s">
        <v>3450</v>
      </c>
      <c r="C24" s="725" t="s">
        <v>3032</v>
      </c>
      <c r="D24" s="725">
        <v>155</v>
      </c>
      <c r="E24" s="726">
        <v>45200</v>
      </c>
      <c r="I24" s="731" t="s">
        <v>3450</v>
      </c>
      <c r="J24" s="725" t="s">
        <v>3032</v>
      </c>
      <c r="K24" s="725">
        <v>155</v>
      </c>
      <c r="L24" s="726">
        <v>45200</v>
      </c>
      <c r="P24" s="731" t="s">
        <v>3450</v>
      </c>
      <c r="Q24" s="725" t="s">
        <v>3032</v>
      </c>
      <c r="R24" s="725">
        <v>155</v>
      </c>
      <c r="S24" s="726">
        <v>45200</v>
      </c>
      <c r="W24" s="932" t="s">
        <v>3451</v>
      </c>
      <c r="X24" s="733"/>
      <c r="Y24" s="733"/>
      <c r="Z24" s="724">
        <v>40100</v>
      </c>
    </row>
    <row r="25" spans="2:29" ht="24" customHeight="1" thickBot="1">
      <c r="B25" s="932" t="s">
        <v>3451</v>
      </c>
      <c r="C25" s="733"/>
      <c r="D25" s="727"/>
      <c r="E25" s="724">
        <v>45990</v>
      </c>
      <c r="I25" s="932" t="s">
        <v>3451</v>
      </c>
      <c r="J25" s="733"/>
      <c r="K25" s="727"/>
      <c r="L25" s="724">
        <v>45990</v>
      </c>
      <c r="P25" s="932" t="s">
        <v>3451</v>
      </c>
      <c r="Q25" s="733"/>
      <c r="R25" s="727"/>
      <c r="S25" s="724">
        <v>45990</v>
      </c>
      <c r="W25" s="731" t="s">
        <v>3452</v>
      </c>
      <c r="X25" s="725" t="s">
        <v>3034</v>
      </c>
      <c r="Y25" s="725">
        <v>85</v>
      </c>
      <c r="Z25" s="726">
        <v>19400</v>
      </c>
    </row>
    <row r="26" spans="2:29" ht="13.5" thickBot="1">
      <c r="B26" s="731" t="s">
        <v>3452</v>
      </c>
      <c r="C26" s="725" t="s">
        <v>3034</v>
      </c>
      <c r="D26" s="725">
        <v>90</v>
      </c>
      <c r="E26" s="726">
        <v>21300</v>
      </c>
      <c r="I26" s="731" t="s">
        <v>3452</v>
      </c>
      <c r="J26" s="725" t="s">
        <v>3034</v>
      </c>
      <c r="K26" s="725">
        <v>90</v>
      </c>
      <c r="L26" s="726">
        <v>21300</v>
      </c>
      <c r="P26" s="731" t="s">
        <v>3452</v>
      </c>
      <c r="Q26" s="725" t="s">
        <v>3034</v>
      </c>
      <c r="R26" s="725">
        <v>90</v>
      </c>
      <c r="S26" s="726">
        <v>21300</v>
      </c>
      <c r="W26" s="731" t="s">
        <v>3453</v>
      </c>
      <c r="X26" s="955" t="s">
        <v>3035</v>
      </c>
      <c r="Y26" s="955">
        <v>21</v>
      </c>
      <c r="Z26" s="726">
        <v>20700</v>
      </c>
    </row>
    <row r="27" spans="2:29" ht="22.5" customHeight="1" thickBot="1">
      <c r="B27" s="731" t="s">
        <v>3453</v>
      </c>
      <c r="C27" s="725" t="s">
        <v>3035</v>
      </c>
      <c r="D27" s="725">
        <v>14</v>
      </c>
      <c r="E27" s="726">
        <v>24690</v>
      </c>
      <c r="I27" s="731" t="s">
        <v>3453</v>
      </c>
      <c r="J27" s="725" t="s">
        <v>3035</v>
      </c>
      <c r="K27" s="725">
        <v>14</v>
      </c>
      <c r="L27" s="726">
        <v>24690</v>
      </c>
      <c r="P27" s="731" t="s">
        <v>3453</v>
      </c>
      <c r="Q27" s="725" t="s">
        <v>3035</v>
      </c>
      <c r="R27" s="725">
        <v>14</v>
      </c>
      <c r="S27" s="726">
        <v>24690</v>
      </c>
      <c r="W27" s="932" t="s">
        <v>3477</v>
      </c>
      <c r="X27" s="1926" t="s">
        <v>3034</v>
      </c>
      <c r="Y27" s="1926">
        <v>80</v>
      </c>
      <c r="Z27" s="724">
        <v>179411</v>
      </c>
    </row>
    <row r="28" spans="2:29" ht="24" customHeight="1" thickBot="1">
      <c r="B28" s="932" t="s">
        <v>3454</v>
      </c>
      <c r="C28" s="733"/>
      <c r="D28" s="727"/>
      <c r="E28" s="724">
        <v>213160</v>
      </c>
      <c r="I28" s="932" t="s">
        <v>3454</v>
      </c>
      <c r="J28" s="733"/>
      <c r="K28" s="727"/>
      <c r="L28" s="724">
        <v>213160</v>
      </c>
      <c r="P28" s="932" t="s">
        <v>3454</v>
      </c>
      <c r="Q28" s="733"/>
      <c r="R28" s="727"/>
      <c r="S28" s="724">
        <v>213160</v>
      </c>
      <c r="W28" s="932" t="s">
        <v>3460</v>
      </c>
      <c r="X28" s="1926" t="s">
        <v>3034</v>
      </c>
      <c r="Y28" s="1926">
        <v>120</v>
      </c>
      <c r="Z28" s="1927">
        <v>242482</v>
      </c>
    </row>
    <row r="29" spans="2:29" ht="24.75" customHeight="1" thickBot="1">
      <c r="B29" s="731" t="s">
        <v>3455</v>
      </c>
      <c r="C29" s="725" t="s">
        <v>3034</v>
      </c>
      <c r="D29" s="725">
        <v>160</v>
      </c>
      <c r="E29" s="726">
        <v>120000</v>
      </c>
      <c r="I29" s="731" t="s">
        <v>3455</v>
      </c>
      <c r="J29" s="725" t="s">
        <v>3034</v>
      </c>
      <c r="K29" s="725">
        <v>160</v>
      </c>
      <c r="L29" s="726">
        <v>120000</v>
      </c>
      <c r="P29" s="731" t="s">
        <v>3455</v>
      </c>
      <c r="Q29" s="725" t="s">
        <v>3034</v>
      </c>
      <c r="R29" s="725">
        <v>160</v>
      </c>
      <c r="S29" s="726">
        <v>120000</v>
      </c>
      <c r="W29" s="932" t="s">
        <v>4376</v>
      </c>
      <c r="X29" s="723" t="s">
        <v>3030</v>
      </c>
      <c r="Y29" s="1928">
        <v>1</v>
      </c>
      <c r="Z29" s="724">
        <f>519000+436137+40100</f>
        <v>995237</v>
      </c>
      <c r="AB29" s="616">
        <f>Z3+Z4+Z9+Z16+Z24+Z27+Z28+Z29</f>
        <v>2443791</v>
      </c>
    </row>
    <row r="30" spans="2:29" ht="20.25" customHeight="1" thickBot="1">
      <c r="B30" s="731" t="s">
        <v>3456</v>
      </c>
      <c r="C30" s="725" t="s">
        <v>3035</v>
      </c>
      <c r="D30" s="725">
        <v>1</v>
      </c>
      <c r="E30" s="726">
        <v>84160</v>
      </c>
      <c r="I30" s="731" t="s">
        <v>3456</v>
      </c>
      <c r="J30" s="725" t="s">
        <v>3035</v>
      </c>
      <c r="K30" s="725">
        <v>1</v>
      </c>
      <c r="L30" s="726">
        <v>84160</v>
      </c>
      <c r="P30" s="731" t="s">
        <v>3456</v>
      </c>
      <c r="Q30" s="725" t="s">
        <v>3035</v>
      </c>
      <c r="R30" s="725">
        <v>1</v>
      </c>
      <c r="S30" s="726">
        <v>84160</v>
      </c>
      <c r="Z30" s="616">
        <f>Z3+Z4+Z9+Z16+Z24+Z27+Z29+Z28</f>
        <v>2443791</v>
      </c>
      <c r="AC30" s="1925"/>
    </row>
    <row r="31" spans="2:29" ht="17.25" customHeight="1" thickBot="1">
      <c r="B31" s="731" t="s">
        <v>3457</v>
      </c>
      <c r="C31" s="725" t="s">
        <v>3035</v>
      </c>
      <c r="D31" s="725">
        <v>1</v>
      </c>
      <c r="E31" s="726">
        <v>9000</v>
      </c>
      <c r="I31" s="731" t="s">
        <v>3457</v>
      </c>
      <c r="J31" s="725" t="s">
        <v>3035</v>
      </c>
      <c r="K31" s="725">
        <v>1</v>
      </c>
      <c r="L31" s="726">
        <v>9000</v>
      </c>
      <c r="P31" s="731" t="s">
        <v>3457</v>
      </c>
      <c r="Q31" s="725" t="s">
        <v>3035</v>
      </c>
      <c r="R31" s="725">
        <v>1</v>
      </c>
      <c r="S31" s="726">
        <v>9000</v>
      </c>
      <c r="AC31" s="616"/>
    </row>
    <row r="32" spans="2:29" ht="13.5" thickBot="1">
      <c r="B32" s="932" t="s">
        <v>3458</v>
      </c>
      <c r="C32" s="725"/>
      <c r="D32" s="725"/>
      <c r="E32" s="724">
        <v>296000</v>
      </c>
      <c r="I32" s="932" t="s">
        <v>3458</v>
      </c>
      <c r="J32" s="725"/>
      <c r="K32" s="725"/>
      <c r="L32" s="724">
        <v>296000</v>
      </c>
      <c r="P32" s="932" t="s">
        <v>3458</v>
      </c>
      <c r="Q32" s="725"/>
      <c r="R32" s="725"/>
      <c r="S32" s="724">
        <v>296000</v>
      </c>
    </row>
    <row r="33" spans="2:19" ht="27" customHeight="1" thickBot="1">
      <c r="B33" s="731" t="s">
        <v>3460</v>
      </c>
      <c r="C33" s="725" t="s">
        <v>3030</v>
      </c>
      <c r="D33" s="725">
        <v>1</v>
      </c>
      <c r="E33" s="726" t="s">
        <v>3459</v>
      </c>
      <c r="I33" s="731" t="s">
        <v>3460</v>
      </c>
      <c r="J33" s="725" t="s">
        <v>3030</v>
      </c>
      <c r="K33" s="725">
        <v>1</v>
      </c>
      <c r="L33" s="726" t="s">
        <v>3459</v>
      </c>
      <c r="P33" s="731" t="s">
        <v>3460</v>
      </c>
      <c r="Q33" s="725" t="s">
        <v>3030</v>
      </c>
      <c r="R33" s="725">
        <v>1</v>
      </c>
      <c r="S33" s="726" t="s">
        <v>3459</v>
      </c>
    </row>
    <row r="34" spans="2:19" ht="41.25" customHeight="1" thickBot="1">
      <c r="B34" s="731" t="s">
        <v>3463</v>
      </c>
      <c r="C34" s="955" t="s">
        <v>3030</v>
      </c>
      <c r="D34" s="955">
        <v>1</v>
      </c>
      <c r="E34" s="726">
        <v>680856</v>
      </c>
      <c r="I34" s="932" t="s">
        <v>3461</v>
      </c>
      <c r="J34" s="725" t="s">
        <v>3030</v>
      </c>
      <c r="K34" s="725">
        <v>1</v>
      </c>
      <c r="L34" s="724">
        <v>45200</v>
      </c>
      <c r="P34" s="932" t="s">
        <v>3461</v>
      </c>
      <c r="Q34" s="725" t="s">
        <v>3030</v>
      </c>
      <c r="R34" s="725">
        <v>1</v>
      </c>
      <c r="S34" s="724">
        <v>45200</v>
      </c>
    </row>
    <row r="35" spans="2:19" ht="27.75" customHeight="1" thickBot="1">
      <c r="I35" s="731" t="s">
        <v>3462</v>
      </c>
      <c r="J35" s="725"/>
      <c r="K35" s="725"/>
      <c r="L35" s="726">
        <v>45200</v>
      </c>
      <c r="P35" s="731" t="s">
        <v>3462</v>
      </c>
      <c r="Q35" s="725"/>
      <c r="R35" s="725"/>
      <c r="S35" s="726">
        <v>45200</v>
      </c>
    </row>
    <row r="36" spans="2:19" ht="38.25" customHeight="1" thickBot="1">
      <c r="E36" s="616">
        <f>E3+E4+E9+E17+E25+E28+E32+E34</f>
        <v>2588691</v>
      </c>
      <c r="I36" s="731" t="s">
        <v>3463</v>
      </c>
      <c r="J36" s="955" t="s">
        <v>3030</v>
      </c>
      <c r="K36" s="955">
        <v>1</v>
      </c>
      <c r="L36" s="726">
        <v>795160</v>
      </c>
      <c r="P36" s="731" t="s">
        <v>3463</v>
      </c>
      <c r="Q36" s="955" t="s">
        <v>3030</v>
      </c>
      <c r="R36" s="955">
        <v>1</v>
      </c>
      <c r="S36" s="724">
        <v>775160</v>
      </c>
    </row>
    <row r="37" spans="2:19">
      <c r="L37" s="616">
        <f>L3+L4+L9+L17+L25+L28+L32+L36</f>
        <v>2702995</v>
      </c>
      <c r="S37" s="616">
        <f>S3+S4+S9+S17+S25+S28+S32+S34+S36</f>
        <v>2728195</v>
      </c>
    </row>
    <row r="39" spans="2:19">
      <c r="P39" t="s">
        <v>3487</v>
      </c>
    </row>
    <row r="41" spans="2:19">
      <c r="P41" t="s">
        <v>3488</v>
      </c>
    </row>
    <row r="44" spans="2:19">
      <c r="P44" t="s">
        <v>3489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Диаграммы</vt:lpstr>
      </vt:variant>
      <vt:variant>
        <vt:i4>2</vt:i4>
      </vt:variant>
    </vt:vector>
  </HeadingPairs>
  <TitlesOfParts>
    <vt:vector size="7" baseType="lpstr">
      <vt:lpstr>ТО</vt:lpstr>
      <vt:lpstr>СМР </vt:lpstr>
      <vt:lpstr>Саядян</vt:lpstr>
      <vt:lpstr>Лист1</vt:lpstr>
      <vt:lpstr>Миносян</vt:lpstr>
      <vt:lpstr>Диаграмма5</vt:lpstr>
      <vt:lpstr>Диаграмма6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Lenovo</cp:lastModifiedBy>
  <cp:revision>1</cp:revision>
  <cp:lastPrinted>2022-09-08T11:23:39Z</cp:lastPrinted>
  <dcterms:created xsi:type="dcterms:W3CDTF">2015-04-01T17:39:21Z</dcterms:created>
  <dcterms:modified xsi:type="dcterms:W3CDTF">2026-02-27T07:50:20Z</dcterms:modified>
  <dc:language>en-US</dc:language>
</cp:coreProperties>
</file>